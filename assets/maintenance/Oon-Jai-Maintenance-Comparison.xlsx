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50ae29c4a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8737530369d4458f"/>
    <x:sheet xmlns:r="http://schemas.openxmlformats.org/officeDocument/2006/relationships" name="App Data" sheetId="2" r:id="R1ba2c0cbf96b4679"/>
    <x:sheet xmlns:r="http://schemas.openxmlformats.org/officeDocument/2006/relationships" name="External Data" sheetId="3" r:id="R252add3dae4e4d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(#,##0.00);0.00"/>
  </x:numFmts>
  <x:fonts count="7">
    <x:font>
      <x:sz val="11"/>
      <x:name val="Carlito"/>
    </x:font>
    <x:font>
      <x:sz val="10"/>
      <x:color rgb="FF202B25"/>
      <x:name val="Arial"/>
    </x:font>
    <x:font>
      <x:b/>
      <x:sz val="16"/>
      <x:color rgb="FF163E30"/>
      <x:name val="Arial"/>
    </x:font>
    <x:font>
      <x:b/>
      <x:sz val="10"/>
      <x:color rgb="FFFFFFFF"/>
      <x:name val="Arial"/>
    </x:font>
    <x:font>
      <x:b/>
      <x:sz val="10"/>
      <x:color rgb="FF163E30"/>
      <x:name val="Arial"/>
    </x:font>
    <x:font>
      <x:sz val="10"/>
      <x:color rgb="FF204EAA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E30"/>
      </x:patternFill>
    </x:fill>
    <x:fill>
      <x:patternFill patternType="solid">
        <x:fgColor rgb="FFFFF9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C2424"/>
      </x:font>
      <x:fill>
        <x:patternFill patternType="solid">
          <x:bgColor rgb="FFFCE8E6"/>
        </x:patternFill>
      </x:fill>
    </x:dxf>
    <x:dxf>
      <x:font>
        <x:b/>
        <x:color rgb="FF9C2424"/>
      </x:font>
      <x:fill>
        <x:patternFill patternType="solid">
          <x:bgColor rgb="FFFCE8E6"/>
        </x:patternFill>
      </x:fill>
    </x:dxf>
    <x:dxf>
      <x:font>
        <x:b/>
        <x:color rgb="FF9C2424"/>
      </x:font>
      <x:fill>
        <x:patternFill patternType="solid">
          <x:bgColor rgb="FFFCE8E6"/>
        </x:patternFill>
      </x:fill>
    </x:dxf>
    <x:dxf>
      <x:font>
        <x:b/>
        <x:color rgb="FF9C24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a7efa99a3546db" /><Relationship Type="http://schemas.openxmlformats.org/officeDocument/2006/relationships/theme" Target="/xl/theme/theme1.xml" Id="R24486ee89d6043ef" /><Relationship Type="http://schemas.openxmlformats.org/officeDocument/2006/relationships/sharedStrings" Target="/xl/sharedStrings.xml" Id="R646e761433754e23" /><Relationship Type="http://schemas.openxmlformats.org/officeDocument/2006/relationships/worksheet" Target="/xl/worksheets/sheet1.xml" Id="R8737530369d4458f" /><Relationship Type="http://schemas.openxmlformats.org/officeDocument/2006/relationships/worksheet" Target="/xl/worksheets/sheet2.xml" Id="R1ba2c0cbf96b4679" /><Relationship Type="http://schemas.openxmlformats.org/officeDocument/2006/relationships/worksheet" Target="/xl/worksheets/sheet3.xml" Id="R252add3dae4e4d34" /></Relationships>
</file>

<file path=xl/tables/table1.xml><?xml version="1.0" encoding="utf-8"?>
<x:table xmlns:x="http://schemas.openxmlformats.org/spreadsheetml/2006/main" id="1" name="AppRecords" displayName="AppRecords" ref="A1:K1001" headerRowCount="1" totalsRowCount="0" totalsRowShown="0">
  <x:tableColumns count="11">
    <x:tableColumn id="1" name="dataset"/>
    <x:tableColumn id="2" name="record_id"/>
    <x:tableColumn id="3" name="period"/>
    <x:tableColumn id="4" name="currency"/>
    <x:tableColumn id="5" name="amount"/>
    <x:tableColumn id="6" name="description"/>
    <x:tableColumn id="7" name="Own key count"/>
    <x:tableColumn id="8" name="Other key count"/>
    <x:tableColumn id="9" name="Other amount"/>
    <x:tableColumn id="10" name="Difference"/>
    <x:tableColumn id="11" name="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ernalRecords" displayName="ExternalRecords" ref="A1:K1001" headerRowCount="1" totalsRowCount="0" totalsRowShown="0">
  <x:tableColumns count="11">
    <x:tableColumn id="1" name="dataset"/>
    <x:tableColumn id="2" name="record_id"/>
    <x:tableColumn id="3" name="period"/>
    <x:tableColumn id="4" name="currency"/>
    <x:tableColumn id="5" name="amount"/>
    <x:tableColumn id="6" name="description"/>
    <x:tableColumn id="7" name="Own key count"/>
    <x:tableColumn id="8" name="Other key count"/>
    <x:tableColumn id="9" name="Other amount"/>
    <x:tableColumn id="10" name="Difference"/>
    <x:tableColumn id="11" name="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956ae7c97443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1a0305ec5e4353" /></Relationships>
</file>

<file path=xl/worksheets/sheet1.xml><?xml version="1.0" encoding="utf-8"?>
<x:worksheet xmlns:x="http://schemas.openxmlformats.org/spreadsheetml/2006/main">
  <x:sheetPr>
    <x:tabColor rgb="FF176249"/>
  </x:sheetPr>
  <x:sheetViews>
    <x:sheetView showGridLines="0" workbookViewId="0"/>
  </x:sheetViews>
  <x:sheetFormatPr defaultRowHeight="15"/>
  <x:cols>
    <x:col min="1" max="1" width="39" hidden="0" customWidth="1"/>
    <x:col min="2" max="2" width="4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Maintenance comparison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5" t="str">
        <x:v>Check</x:v>
      </x:c>
      <x:c r="B4" s="5" t="str">
        <x:v>Result</x:v>
      </x:c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 t="str">
        <x:v>App records</x:v>
      </x:c>
      <x:c r="B5" s="2" t="n">
        <x:f>COUNTA('App Data'!A:A)-1</x:f>
        <x:v>0</x:v>
      </x:c>
      <x:c r="C5" s="2"/>
      <x:c r="D5" s="2"/>
      <x:c r="E5" s="2"/>
      <x:c r="F5" s="2"/>
      <x:c r="G5" s="2"/>
      <x:c r="H5" s="2"/>
      <x:c r="I5" s="2"/>
      <x:c r="J5" s="2"/>
      <x:c r="K5" s="2"/>
    </x:row>
    <x:row r="6" ht="24" customHeight="1">
      <x:c r="A6" s="2" t="str">
        <x:v>External records</x:v>
      </x:c>
      <x:c r="B6" s="2" t="n">
        <x:f>COUNTA('External Data'!A:A)-1</x:f>
        <x:v>0</x:v>
      </x:c>
      <x:c r="C6" s="2"/>
      <x:c r="D6" s="2"/>
      <x:c r="E6" s="2"/>
      <x:c r="F6" s="2"/>
      <x:c r="G6" s="2"/>
      <x:c r="H6" s="2"/>
      <x:c r="I6" s="2"/>
      <x:c r="J6" s="2"/>
      <x:c r="K6" s="2"/>
    </x:row>
    <x:row r="7" ht="24" customHeight="1">
      <x:c r="A7" s="2" t="str">
        <x:v>App exceptions</x:v>
      </x:c>
      <x:c r="B7" s="2" t="n">
        <x:f>COUNTIFS('App Data'!K2:K1001,"Missing / invalid input")+COUNTIFS('App Data'!K2:K1001,"Duplicate key in this source")+COUNTIFS('App Data'!K2:K1001,"Missing in other source")+COUNTIFS('App Data'!K2:K1001,"Duplicate in other source")+COUNTIFS('App Data'!K2:K1001,"Other amount is invalid")+COUNTIFS('App Data'!K2:K1001,"Amount differs")</x:f>
        <x:v>0</x:v>
      </x:c>
      <x:c r="C7" s="2"/>
      <x:c r="D7" s="2"/>
      <x:c r="E7" s="2"/>
      <x:c r="F7" s="2"/>
      <x:c r="G7" s="2"/>
      <x:c r="H7" s="2"/>
      <x:c r="I7" s="2"/>
      <x:c r="J7" s="2"/>
      <x:c r="K7" s="2"/>
    </x:row>
    <x:row r="8" ht="24" customHeight="1">
      <x:c r="A8" s="2" t="str">
        <x:v>External exceptions</x:v>
      </x:c>
      <x:c r="B8" s="2" t="n">
        <x:f>COUNTIFS('External Data'!K2:K1001,"Missing / invalid input")+COUNTIFS('External Data'!K2:K1001,"Duplicate key in this source")+COUNTIFS('External Data'!K2:K1001,"Missing in other source")+COUNTIFS('External Data'!K2:K1001,"Duplicate in other source")+COUNTIFS('External Data'!K2:K1001,"Other amount is invalid")+COUNTIFS('External Data'!K2:K1001,"Amount differs")</x:f>
        <x:v>0</x:v>
      </x:c>
      <x:c r="C8" s="2"/>
      <x:c r="D8" s="2"/>
      <x:c r="E8" s="2"/>
      <x:c r="F8" s="2"/>
      <x:c r="G8" s="2"/>
      <x:c r="H8" s="2"/>
      <x:c r="I8" s="2"/>
      <x:c r="J8" s="2"/>
      <x:c r="K8" s="2"/>
    </x:row>
    <x:row r="9" ht="24" customHeight="1">
      <x:c r="A9" s="2" t="str">
        <x:v>Input capacity</x:v>
      </x:c>
      <x:c r="B9" s="2" t="str">
        <x:f>IF(OR(B5&gt;1000,B6&gt;1000),"Over capacity: split the comparison", "Within 1,000 rows per source")</x:f>
        <x:v>Within 1,000 rows per source</x:v>
      </x:c>
      <x:c r="C9" s="2"/>
      <x:c r="D9" s="2"/>
      <x:c r="E9" s="2"/>
      <x:c r="F9" s="2"/>
      <x:c r="G9" s="2"/>
      <x:c r="H9" s="2"/>
      <x:c r="I9" s="2"/>
      <x:c r="J9" s="2"/>
      <x:c r="K9" s="2"/>
    </x:row>
    <x:row r="10" ht="24" customHeight="1">
      <x:c r="A10" s="2" t="str">
        <x:v>Review status</x:v>
      </x:c>
      <x:c r="B10" s="2" t="str">
        <x:f>IF(OR(B5=0,B6=0),"Load both sources",IF(OR(B5&gt;1000,B6&gt;1000),"Over capacity",IF(B7+B8&gt;0,"Review flagged rows","Amounts match for loaded keys")))</x:f>
        <x:v>Load both sources</x:v>
      </x:c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>
      <x:c r="A13" s="6" t="str">
        <x:v>How to compare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>
      <x:c r="A15" s="2" t="str">
        <x:v>1. In Maintenance &amp; Audit, choose the month and export maintenance data.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>
      <x:c r="A16" s="2" t="str">
        <x:v>2. Open comparison-YYYY-MM.csv. Paste its six data columns into App Data A2:F1001.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>
      <x:c r="A17" s="2" t="str">
        <x:v>3. Paste outside-system records in External Data with the same column order.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>
      <x:c r="A18" s="2" t="str">
        <x:v>4. Filter Check on either data sheet. Review missing, duplicate and differing records.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 t="str">
        <x:v>5. Clear old input values in A2:F1001 on both sheets before the next comparison.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" t="str">
        <x:v>Match keys are dataset, record_id, period and currency. Keep IDs and periods as text.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>
      <x:c r="A21" s="2" t="str">
        <x:v>balance = cumulative posted ledger at month-end. Debit is positive; credit is negative.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>
      <x:c r="A22" s="2" t="str">
        <x:v>payroll = saved net pay per run and employee for the selected month, including drafts.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>
      <x:c r="A23" s="2" t="str">
        <x:v>Map outside payroll IDs to run_id:employee_id. Draft status appears in Description.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>
      <x:c r="A24" s="2" t="str">
        <x:v>Currencies are never added together. Amount differences use two-decimal rounding.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>
      <x:c r="A25" s="2" t="str">
        <x:v>Capacity: 1,000 rows per source. Split larger files into the same key groups on both sides.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>
      <x:c r="A26" s="2" t="str">
        <x:v>A match checks the loaded amounts only. It does not recalculate payroll tax or prove completeness.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>
      <x:c r="A27" s="2" t="str">
        <x:v>Inputs are blue on pale yellow. Calculated columns G:M must remain intact.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</x:row>
    <x:row r="20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</x:row>
    <x:row r="202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</x:row>
    <x:row r="203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</x:row>
    <x:row r="204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</x:row>
    <x:row r="20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</x:row>
    <x:row r="206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</x:row>
    <x:row r="20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</x:row>
    <x:row r="208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</x:row>
    <x:row r="20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</x:row>
    <x:row r="210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</x:row>
    <x:row r="21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</x:row>
    <x:row r="212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</x:row>
    <x:row r="213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</x:row>
    <x:row r="214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</x:row>
    <x:row r="21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</x:row>
    <x:row r="216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</x:row>
    <x:row r="21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</x:row>
    <x:row r="218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</x:row>
    <x:row r="21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</x:row>
    <x:row r="220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</x:row>
    <x:row r="22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</x:row>
    <x:row r="222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</x:row>
    <x:row r="223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</x:row>
    <x:row r="224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</x:row>
    <x:row r="22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</x:row>
    <x:row r="226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</x:row>
    <x:row r="22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</x:row>
    <x:row r="228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</x:row>
    <x:row r="22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</x:row>
    <x:row r="230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</x:row>
    <x:row r="23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</x:row>
    <x:row r="232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</x:row>
    <x:row r="233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</x:row>
    <x:row r="234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</x:row>
    <x:row r="23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</x:row>
    <x:row r="236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</x:row>
    <x:row r="23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</x:row>
    <x:row r="238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</x:row>
    <x:row r="239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</x:row>
    <x:row r="240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</x:row>
    <x:row r="24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</x:row>
    <x:row r="242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</x:row>
    <x:row r="243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</x:row>
    <x:row r="244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</x:row>
    <x:row r="245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</x:row>
    <x:row r="246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</x:row>
    <x:row r="247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</x:row>
    <x:row r="248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</x:row>
    <x:row r="249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</x:row>
    <x:row r="250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</x:row>
    <x:row r="25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</x:row>
    <x:row r="252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</x:row>
    <x:row r="253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</x:row>
    <x:row r="254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</x:row>
    <x:row r="255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</x:row>
    <x:row r="256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</x:row>
    <x:row r="257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</x:row>
    <x:row r="258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</x:row>
    <x:row r="259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</x:row>
    <x:row r="260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</x:row>
    <x:row r="26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</x:row>
    <x:row r="262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</x:row>
    <x:row r="263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</x:row>
    <x:row r="264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</x:row>
    <x:row r="265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</x:row>
    <x:row r="266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</x:row>
    <x:row r="267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</x:row>
    <x:row r="268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</x:row>
    <x:row r="269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</x:row>
    <x:row r="270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</x:row>
    <x:row r="27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</x:row>
    <x:row r="272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</x:row>
    <x:row r="273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</x:row>
    <x:row r="274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</x:row>
    <x:row r="275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</x:row>
    <x:row r="276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</x:row>
    <x:row r="277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</x:row>
    <x:row r="278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</x:row>
    <x:row r="279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</x:row>
    <x:row r="280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</x:row>
    <x:row r="28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</x:row>
    <x:row r="282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</x:row>
    <x:row r="283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</x:row>
    <x:row r="284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</x:row>
    <x:row r="285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</x:row>
    <x:row r="286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</x:row>
    <x:row r="287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</x:row>
    <x:row r="288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</x:row>
    <x:row r="289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</x:row>
    <x:row r="290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</x:row>
    <x:row r="29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</x:row>
    <x:row r="292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</x:row>
    <x:row r="293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</x:row>
    <x:row r="294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</x:row>
    <x:row r="295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</x:row>
    <x:row r="296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</x:row>
    <x:row r="297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</x:row>
    <x:row r="298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</x:row>
    <x:row r="299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</x:row>
    <x:row r="300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</x:row>
    <x:row r="30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</x:row>
    <x:row r="302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</x:row>
    <x:row r="303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</x:row>
    <x:row r="304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</x:row>
    <x:row r="305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</x:row>
    <x:row r="306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</x:row>
    <x:row r="307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</x:row>
    <x:row r="308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</x:row>
    <x:row r="309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</x:row>
    <x:row r="310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</x:row>
    <x:row r="31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</x:row>
    <x:row r="312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</x:row>
    <x:row r="313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</x:row>
    <x:row r="314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</x:row>
    <x:row r="315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</x:row>
    <x:row r="316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</x:row>
    <x:row r="317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</x:row>
    <x:row r="318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</x:row>
    <x:row r="319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</x:row>
    <x:row r="320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</x:row>
    <x:row r="32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</x:row>
    <x:row r="322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</x:row>
    <x:row r="323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</x:row>
    <x:row r="324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</x:row>
    <x:row r="325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</x:row>
    <x:row r="326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</x:row>
    <x:row r="327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</x:row>
    <x:row r="328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</x:row>
    <x:row r="329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</x:row>
    <x:row r="330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</x:row>
    <x:row r="33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</x:row>
    <x:row r="332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</x:row>
    <x:row r="333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</x:row>
    <x:row r="334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</x:row>
    <x:row r="335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</x:row>
    <x:row r="336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</x:row>
    <x:row r="337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</x:row>
    <x:row r="338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</x:row>
    <x:row r="339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</x:row>
    <x:row r="340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</x:row>
    <x:row r="34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</x:row>
    <x:row r="342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</x:row>
    <x:row r="343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</x:row>
    <x:row r="344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</x:row>
    <x:row r="345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</x:row>
    <x:row r="346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</x:row>
    <x:row r="347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</x:row>
    <x:row r="348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</x:row>
    <x:row r="349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</x:row>
    <x:row r="350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</x:row>
    <x:row r="35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</x:row>
    <x:row r="352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</x:row>
    <x:row r="353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</x:row>
    <x:row r="354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</x:row>
    <x:row r="355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</x:row>
    <x:row r="356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</x:row>
    <x:row r="357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</x:row>
    <x:row r="358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</x:row>
    <x:row r="359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</x:row>
    <x:row r="360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</x:row>
    <x:row r="36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</x:row>
    <x:row r="362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</x:row>
    <x:row r="363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</x:row>
    <x:row r="364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</x:row>
    <x:row r="365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</x:row>
    <x:row r="366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</x:row>
    <x:row r="367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</x:row>
    <x:row r="368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</x:row>
    <x:row r="369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</x:row>
    <x:row r="370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</x:row>
    <x:row r="37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</x:row>
    <x:row r="372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</x:row>
    <x:row r="373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</x:row>
    <x:row r="374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</x:row>
    <x:row r="375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</x:row>
    <x:row r="376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</x:row>
    <x:row r="377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</x:row>
    <x:row r="378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</x:row>
    <x:row r="379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</x:row>
    <x:row r="380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</x:row>
    <x:row r="38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</x:row>
    <x:row r="382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</x:row>
    <x:row r="383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</x:row>
    <x:row r="384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</x:row>
    <x:row r="385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</x:row>
    <x:row r="386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</x:row>
    <x:row r="387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</x:row>
    <x:row r="388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</x:row>
    <x:row r="389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</x:row>
    <x:row r="390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</x:row>
    <x:row r="39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</x:row>
    <x:row r="392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</x:row>
    <x:row r="39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</x:row>
    <x:row r="394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</x:row>
    <x:row r="395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</x:row>
    <x:row r="396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</x:row>
    <x:row r="397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</x:row>
    <x:row r="398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</x:row>
    <x:row r="399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</x:row>
    <x:row r="400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</x:row>
    <x:row r="40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</x:row>
    <x:row r="402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</x:row>
    <x:row r="403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</x:row>
    <x:row r="404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</x:row>
    <x:row r="405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</x:row>
    <x:row r="406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</x:row>
    <x:row r="407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</x:row>
    <x:row r="408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</x:row>
    <x:row r="409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</x:row>
    <x:row r="410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</x:row>
    <x:row r="41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</x:row>
    <x:row r="412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</x:row>
    <x:row r="413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</x:row>
    <x:row r="414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</x:row>
    <x:row r="415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</x:row>
    <x:row r="416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</x:row>
    <x:row r="417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</x:row>
    <x:row r="418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</x:row>
    <x:row r="419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</x:row>
    <x:row r="420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</x:row>
    <x:row r="42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</x:row>
    <x:row r="422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</x:row>
    <x:row r="423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</x:row>
    <x:row r="424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</x:row>
    <x:row r="425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</x:row>
    <x:row r="426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</x:row>
    <x:row r="427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</x:row>
    <x:row r="428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</x:row>
    <x:row r="429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</x:row>
    <x:row r="430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</x:row>
    <x:row r="43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</x:row>
    <x:row r="432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</x:row>
    <x:row r="433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</x:row>
    <x:row r="434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</x:row>
    <x:row r="435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</x:row>
    <x:row r="436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</x:row>
    <x:row r="437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</x:row>
    <x:row r="438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</x:row>
    <x:row r="439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</x:row>
    <x:row r="440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</x:row>
    <x:row r="44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</x:row>
    <x:row r="442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</x:row>
    <x:row r="443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</x:row>
    <x:row r="444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</x:row>
    <x:row r="445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</x:row>
    <x:row r="446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</x:row>
    <x:row r="447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</x:row>
    <x:row r="448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</x:row>
    <x:row r="449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</x:row>
    <x:row r="450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</x:row>
    <x:row r="45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</x:row>
    <x:row r="452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</x:row>
    <x:row r="453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</x:row>
    <x:row r="454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</x:row>
    <x:row r="455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</x:row>
    <x:row r="456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</x:row>
    <x:row r="457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</x:row>
    <x:row r="458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</x:row>
    <x:row r="459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</x:row>
    <x:row r="460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</x:row>
    <x:row r="46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</x:row>
    <x:row r="462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</x:row>
    <x:row r="463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</x:row>
    <x:row r="464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</x:row>
    <x:row r="465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</x:row>
    <x:row r="466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</x:row>
    <x:row r="467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</x:row>
    <x:row r="468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</x:row>
    <x:row r="469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</x:row>
    <x:row r="470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</x:row>
    <x:row r="47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</x:row>
    <x:row r="472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</x:row>
    <x:row r="473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</x:row>
    <x:row r="474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</x:row>
    <x:row r="475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</x:row>
    <x:row r="476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</x:row>
    <x:row r="477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</x:row>
    <x:row r="478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</x:row>
    <x:row r="479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</x:row>
    <x:row r="480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</x:row>
    <x:row r="48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</x:row>
    <x:row r="482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</x:row>
    <x:row r="483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</x:row>
    <x:row r="484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</x:row>
    <x:row r="485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</x:row>
    <x:row r="486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</x:row>
    <x:row r="487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</x:row>
    <x:row r="488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</x:row>
    <x:row r="489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</x:row>
    <x:row r="490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</x:row>
    <x:row r="49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</x:row>
    <x:row r="492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</x:row>
    <x:row r="493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</x:row>
    <x:row r="494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</x:row>
    <x:row r="495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</x:row>
    <x:row r="496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</x:row>
    <x:row r="497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</x:row>
    <x:row r="498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</x:row>
    <x:row r="499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</x:row>
    <x:row r="500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</x:row>
    <x:row r="50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</x:row>
    <x:row r="502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</x:row>
    <x:row r="503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</x:row>
    <x:row r="504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</x:row>
    <x:row r="505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</x:row>
    <x:row r="506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</x:row>
    <x:row r="507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</x:row>
    <x:row r="508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</x:row>
    <x:row r="509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</x:row>
    <x:row r="510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</x:row>
    <x:row r="51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</x:row>
    <x:row r="512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</x:row>
    <x:row r="513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</x:row>
    <x:row r="514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</x:row>
    <x:row r="515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</x:row>
    <x:row r="516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</x:row>
    <x:row r="517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</x:row>
    <x:row r="518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</x:row>
    <x:row r="519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</x:row>
    <x:row r="520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</x:row>
    <x:row r="52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</x:row>
    <x:row r="522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</x:row>
    <x:row r="523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</x:row>
    <x:row r="524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</x:row>
    <x:row r="525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</x:row>
    <x:row r="526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</x:row>
    <x:row r="527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</x:row>
    <x:row r="528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</x:row>
    <x:row r="529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</x:row>
    <x:row r="530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</x:row>
    <x:row r="53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</x:row>
    <x:row r="532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</x:row>
    <x:row r="533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</x:row>
    <x:row r="534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</x:row>
    <x:row r="535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</x:row>
    <x:row r="536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</x:row>
    <x:row r="537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</x:row>
    <x:row r="538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</x:row>
    <x:row r="539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</x:row>
    <x:row r="540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</x:row>
    <x:row r="54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</x:row>
    <x:row r="542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</x:row>
    <x:row r="543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</x:row>
    <x:row r="544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</x:row>
    <x:row r="545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</x:row>
    <x:row r="546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</x:row>
    <x:row r="547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</x:row>
    <x:row r="548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</x:row>
    <x:row r="549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</x:row>
    <x:row r="550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</x:row>
    <x:row r="551">
      <x:c r="A551" s="2"/>
      <x:c r="B551" s="2"/>
      <x:c r="C551" s="2"/>
      <x:c r="D551" s="2"/>
      <x:c r="E551" s="2"/>
      <x:c r="F551" s="2"/>
      <x:c r="G551" s="2"/>
      <x:c r="H551" s="2"/>
      <x:c r="I551" s="2"/>
      <x:c r="J551" s="2"/>
      <x:c r="K551" s="2"/>
    </x:row>
    <x:row r="552">
      <x:c r="A552" s="2"/>
      <x:c r="B552" s="2"/>
      <x:c r="C552" s="2"/>
      <x:c r="D552" s="2"/>
      <x:c r="E552" s="2"/>
      <x:c r="F552" s="2"/>
      <x:c r="G552" s="2"/>
      <x:c r="H552" s="2"/>
      <x:c r="I552" s="2"/>
      <x:c r="J552" s="2"/>
      <x:c r="K552" s="2"/>
    </x:row>
    <x:row r="553">
      <x:c r="A553" s="2"/>
      <x:c r="B553" s="2"/>
      <x:c r="C553" s="2"/>
      <x:c r="D553" s="2"/>
      <x:c r="E553" s="2"/>
      <x:c r="F553" s="2"/>
      <x:c r="G553" s="2"/>
      <x:c r="H553" s="2"/>
      <x:c r="I553" s="2"/>
      <x:c r="J553" s="2"/>
      <x:c r="K553" s="2"/>
    </x:row>
    <x:row r="554">
      <x:c r="A554" s="2"/>
      <x:c r="B554" s="2"/>
      <x:c r="C554" s="2"/>
      <x:c r="D554" s="2"/>
      <x:c r="E554" s="2"/>
      <x:c r="F554" s="2"/>
      <x:c r="G554" s="2"/>
      <x:c r="H554" s="2"/>
      <x:c r="I554" s="2"/>
      <x:c r="J554" s="2"/>
      <x:c r="K554" s="2"/>
    </x:row>
    <x:row r="555">
      <x:c r="A555" s="2"/>
      <x:c r="B555" s="2"/>
      <x:c r="C555" s="2"/>
      <x:c r="D555" s="2"/>
      <x:c r="E555" s="2"/>
      <x:c r="F555" s="2"/>
      <x:c r="G555" s="2"/>
      <x:c r="H555" s="2"/>
      <x:c r="I555" s="2"/>
      <x:c r="J555" s="2"/>
      <x:c r="K555" s="2"/>
    </x:row>
    <x:row r="556">
      <x:c r="A556" s="2"/>
      <x:c r="B556" s="2"/>
      <x:c r="C556" s="2"/>
      <x:c r="D556" s="2"/>
      <x:c r="E556" s="2"/>
      <x:c r="F556" s="2"/>
      <x:c r="G556" s="2"/>
      <x:c r="H556" s="2"/>
      <x:c r="I556" s="2"/>
      <x:c r="J556" s="2"/>
      <x:c r="K556" s="2"/>
    </x:row>
    <x:row r="557">
      <x:c r="A557" s="2"/>
      <x:c r="B557" s="2"/>
      <x:c r="C557" s="2"/>
      <x:c r="D557" s="2"/>
      <x:c r="E557" s="2"/>
      <x:c r="F557" s="2"/>
      <x:c r="G557" s="2"/>
      <x:c r="H557" s="2"/>
      <x:c r="I557" s="2"/>
      <x:c r="J557" s="2"/>
      <x:c r="K557" s="2"/>
    </x:row>
    <x:row r="558">
      <x:c r="A558" s="2"/>
      <x:c r="B558" s="2"/>
      <x:c r="C558" s="2"/>
      <x:c r="D558" s="2"/>
      <x:c r="E558" s="2"/>
      <x:c r="F558" s="2"/>
      <x:c r="G558" s="2"/>
      <x:c r="H558" s="2"/>
      <x:c r="I558" s="2"/>
      <x:c r="J558" s="2"/>
      <x:c r="K558" s="2"/>
    </x:row>
    <x:row r="559">
      <x:c r="A559" s="2"/>
      <x:c r="B559" s="2"/>
      <x:c r="C559" s="2"/>
      <x:c r="D559" s="2"/>
      <x:c r="E559" s="2"/>
      <x:c r="F559" s="2"/>
      <x:c r="G559" s="2"/>
      <x:c r="H559" s="2"/>
      <x:c r="I559" s="2"/>
      <x:c r="J559" s="2"/>
      <x:c r="K559" s="2"/>
    </x:row>
    <x:row r="560">
      <x:c r="A560" s="2"/>
      <x:c r="B560" s="2"/>
      <x:c r="C560" s="2"/>
      <x:c r="D560" s="2"/>
      <x:c r="E560" s="2"/>
      <x:c r="F560" s="2"/>
      <x:c r="G560" s="2"/>
      <x:c r="H560" s="2"/>
      <x:c r="I560" s="2"/>
      <x:c r="J560" s="2"/>
      <x:c r="K560" s="2"/>
    </x:row>
    <x:row r="561">
      <x:c r="A561" s="2"/>
      <x:c r="B561" s="2"/>
      <x:c r="C561" s="2"/>
      <x:c r="D561" s="2"/>
      <x:c r="E561" s="2"/>
      <x:c r="F561" s="2"/>
      <x:c r="G561" s="2"/>
      <x:c r="H561" s="2"/>
      <x:c r="I561" s="2"/>
      <x:c r="J561" s="2"/>
      <x:c r="K561" s="2"/>
    </x:row>
    <x:row r="562">
      <x:c r="A562" s="2"/>
      <x:c r="B562" s="2"/>
      <x:c r="C562" s="2"/>
      <x:c r="D562" s="2"/>
      <x:c r="E562" s="2"/>
      <x:c r="F562" s="2"/>
      <x:c r="G562" s="2"/>
      <x:c r="H562" s="2"/>
      <x:c r="I562" s="2"/>
      <x:c r="J562" s="2"/>
      <x:c r="K562" s="2"/>
    </x:row>
    <x:row r="563">
      <x:c r="A563" s="2"/>
      <x:c r="B563" s="2"/>
      <x:c r="C563" s="2"/>
      <x:c r="D563" s="2"/>
      <x:c r="E563" s="2"/>
      <x:c r="F563" s="2"/>
      <x:c r="G563" s="2"/>
      <x:c r="H563" s="2"/>
      <x:c r="I563" s="2"/>
      <x:c r="J563" s="2"/>
      <x:c r="K563" s="2"/>
    </x:row>
    <x:row r="564">
      <x:c r="A564" s="2"/>
      <x:c r="B564" s="2"/>
      <x:c r="C564" s="2"/>
      <x:c r="D564" s="2"/>
      <x:c r="E564" s="2"/>
      <x:c r="F564" s="2"/>
      <x:c r="G564" s="2"/>
      <x:c r="H564" s="2"/>
      <x:c r="I564" s="2"/>
      <x:c r="J564" s="2"/>
      <x:c r="K564" s="2"/>
    </x:row>
    <x:row r="565">
      <x:c r="A565" s="2"/>
      <x:c r="B565" s="2"/>
      <x:c r="C565" s="2"/>
      <x:c r="D565" s="2"/>
      <x:c r="E565" s="2"/>
      <x:c r="F565" s="2"/>
      <x:c r="G565" s="2"/>
      <x:c r="H565" s="2"/>
      <x:c r="I565" s="2"/>
      <x:c r="J565" s="2"/>
      <x:c r="K565" s="2"/>
    </x:row>
    <x:row r="566">
      <x:c r="A566" s="2"/>
      <x:c r="B566" s="2"/>
      <x:c r="C566" s="2"/>
      <x:c r="D566" s="2"/>
      <x:c r="E566" s="2"/>
      <x:c r="F566" s="2"/>
      <x:c r="G566" s="2"/>
      <x:c r="H566" s="2"/>
      <x:c r="I566" s="2"/>
      <x:c r="J566" s="2"/>
      <x:c r="K566" s="2"/>
    </x:row>
    <x:row r="567">
      <x:c r="A567" s="2"/>
      <x:c r="B567" s="2"/>
      <x:c r="C567" s="2"/>
      <x:c r="D567" s="2"/>
      <x:c r="E567" s="2"/>
      <x:c r="F567" s="2"/>
      <x:c r="G567" s="2"/>
      <x:c r="H567" s="2"/>
      <x:c r="I567" s="2"/>
      <x:c r="J567" s="2"/>
      <x:c r="K567" s="2"/>
    </x:row>
    <x:row r="568">
      <x:c r="A568" s="2"/>
      <x:c r="B568" s="2"/>
      <x:c r="C568" s="2"/>
      <x:c r="D568" s="2"/>
      <x:c r="E568" s="2"/>
      <x:c r="F568" s="2"/>
      <x:c r="G568" s="2"/>
      <x:c r="H568" s="2"/>
      <x:c r="I568" s="2"/>
      <x:c r="J568" s="2"/>
      <x:c r="K568" s="2"/>
    </x:row>
    <x:row r="569">
      <x:c r="A569" s="2"/>
      <x:c r="B569" s="2"/>
      <x:c r="C569" s="2"/>
      <x:c r="D569" s="2"/>
      <x:c r="E569" s="2"/>
      <x:c r="F569" s="2"/>
      <x:c r="G569" s="2"/>
      <x:c r="H569" s="2"/>
      <x:c r="I569" s="2"/>
      <x:c r="J569" s="2"/>
      <x:c r="K569" s="2"/>
    </x:row>
    <x:row r="570">
      <x:c r="A570" s="2"/>
      <x:c r="B570" s="2"/>
      <x:c r="C570" s="2"/>
      <x:c r="D570" s="2"/>
      <x:c r="E570" s="2"/>
      <x:c r="F570" s="2"/>
      <x:c r="G570" s="2"/>
      <x:c r="H570" s="2"/>
      <x:c r="I570" s="2"/>
      <x:c r="J570" s="2"/>
      <x:c r="K570" s="2"/>
    </x:row>
    <x:row r="571">
      <x:c r="A571" s="2"/>
      <x:c r="B571" s="2"/>
      <x:c r="C571" s="2"/>
      <x:c r="D571" s="2"/>
      <x:c r="E571" s="2"/>
      <x:c r="F571" s="2"/>
      <x:c r="G571" s="2"/>
      <x:c r="H571" s="2"/>
      <x:c r="I571" s="2"/>
      <x:c r="J571" s="2"/>
      <x:c r="K571" s="2"/>
    </x:row>
    <x:row r="572">
      <x:c r="A572" s="2"/>
      <x:c r="B572" s="2"/>
      <x:c r="C572" s="2"/>
      <x:c r="D572" s="2"/>
      <x:c r="E572" s="2"/>
      <x:c r="F572" s="2"/>
      <x:c r="G572" s="2"/>
      <x:c r="H572" s="2"/>
      <x:c r="I572" s="2"/>
      <x:c r="J572" s="2"/>
      <x:c r="K572" s="2"/>
    </x:row>
    <x:row r="573">
      <x:c r="A573" s="2"/>
      <x:c r="B573" s="2"/>
      <x:c r="C573" s="2"/>
      <x:c r="D573" s="2"/>
      <x:c r="E573" s="2"/>
      <x:c r="F573" s="2"/>
      <x:c r="G573" s="2"/>
      <x:c r="H573" s="2"/>
      <x:c r="I573" s="2"/>
      <x:c r="J573" s="2"/>
      <x:c r="K573" s="2"/>
    </x:row>
    <x:row r="574">
      <x:c r="A574" s="2"/>
      <x:c r="B574" s="2"/>
      <x:c r="C574" s="2"/>
      <x:c r="D574" s="2"/>
      <x:c r="E574" s="2"/>
      <x:c r="F574" s="2"/>
      <x:c r="G574" s="2"/>
      <x:c r="H574" s="2"/>
      <x:c r="I574" s="2"/>
      <x:c r="J574" s="2"/>
      <x:c r="K574" s="2"/>
    </x:row>
    <x:row r="575">
      <x:c r="A575" s="2"/>
      <x:c r="B575" s="2"/>
      <x:c r="C575" s="2"/>
      <x:c r="D575" s="2"/>
      <x:c r="E575" s="2"/>
      <x:c r="F575" s="2"/>
      <x:c r="G575" s="2"/>
      <x:c r="H575" s="2"/>
      <x:c r="I575" s="2"/>
      <x:c r="J575" s="2"/>
      <x:c r="K575" s="2"/>
    </x:row>
    <x:row r="576">
      <x:c r="A576" s="2"/>
      <x:c r="B576" s="2"/>
      <x:c r="C576" s="2"/>
      <x:c r="D576" s="2"/>
      <x:c r="E576" s="2"/>
      <x:c r="F576" s="2"/>
      <x:c r="G576" s="2"/>
      <x:c r="H576" s="2"/>
      <x:c r="I576" s="2"/>
      <x:c r="J576" s="2"/>
      <x:c r="K576" s="2"/>
    </x:row>
    <x:row r="577">
      <x:c r="A577" s="2"/>
      <x:c r="B577" s="2"/>
      <x:c r="C577" s="2"/>
      <x:c r="D577" s="2"/>
      <x:c r="E577" s="2"/>
      <x:c r="F577" s="2"/>
      <x:c r="G577" s="2"/>
      <x:c r="H577" s="2"/>
      <x:c r="I577" s="2"/>
      <x:c r="J577" s="2"/>
      <x:c r="K577" s="2"/>
    </x:row>
    <x:row r="578">
      <x:c r="A578" s="2"/>
      <x:c r="B578" s="2"/>
      <x:c r="C578" s="2"/>
      <x:c r="D578" s="2"/>
      <x:c r="E578" s="2"/>
      <x:c r="F578" s="2"/>
      <x:c r="G578" s="2"/>
      <x:c r="H578" s="2"/>
      <x:c r="I578" s="2"/>
      <x:c r="J578" s="2"/>
      <x:c r="K578" s="2"/>
    </x:row>
    <x:row r="579">
      <x:c r="A579" s="2"/>
      <x:c r="B579" s="2"/>
      <x:c r="C579" s="2"/>
      <x:c r="D579" s="2"/>
      <x:c r="E579" s="2"/>
      <x:c r="F579" s="2"/>
      <x:c r="G579" s="2"/>
      <x:c r="H579" s="2"/>
      <x:c r="I579" s="2"/>
      <x:c r="J579" s="2"/>
      <x:c r="K579" s="2"/>
    </x:row>
    <x:row r="580">
      <x:c r="A580" s="2"/>
      <x:c r="B580" s="2"/>
      <x:c r="C580" s="2"/>
      <x:c r="D580" s="2"/>
      <x:c r="E580" s="2"/>
      <x:c r="F580" s="2"/>
      <x:c r="G580" s="2"/>
      <x:c r="H580" s="2"/>
      <x:c r="I580" s="2"/>
      <x:c r="J580" s="2"/>
      <x:c r="K580" s="2"/>
    </x:row>
    <x:row r="581">
      <x:c r="A581" s="2"/>
      <x:c r="B581" s="2"/>
      <x:c r="C581" s="2"/>
      <x:c r="D581" s="2"/>
      <x:c r="E581" s="2"/>
      <x:c r="F581" s="2"/>
      <x:c r="G581" s="2"/>
      <x:c r="H581" s="2"/>
      <x:c r="I581" s="2"/>
      <x:c r="J581" s="2"/>
      <x:c r="K581" s="2"/>
    </x:row>
    <x:row r="582">
      <x:c r="A582" s="2"/>
      <x:c r="B582" s="2"/>
      <x:c r="C582" s="2"/>
      <x:c r="D582" s="2"/>
      <x:c r="E582" s="2"/>
      <x:c r="F582" s="2"/>
      <x:c r="G582" s="2"/>
      <x:c r="H582" s="2"/>
      <x:c r="I582" s="2"/>
      <x:c r="J582" s="2"/>
      <x:c r="K582" s="2"/>
    </x:row>
    <x:row r="583">
      <x:c r="A583" s="2"/>
      <x:c r="B583" s="2"/>
      <x:c r="C583" s="2"/>
      <x:c r="D583" s="2"/>
      <x:c r="E583" s="2"/>
      <x:c r="F583" s="2"/>
      <x:c r="G583" s="2"/>
      <x:c r="H583" s="2"/>
      <x:c r="I583" s="2"/>
      <x:c r="J583" s="2"/>
      <x:c r="K583" s="2"/>
    </x:row>
    <x:row r="584">
      <x:c r="A584" s="2"/>
      <x:c r="B584" s="2"/>
      <x:c r="C584" s="2"/>
      <x:c r="D584" s="2"/>
      <x:c r="E584" s="2"/>
      <x:c r="F584" s="2"/>
      <x:c r="G584" s="2"/>
      <x:c r="H584" s="2"/>
      <x:c r="I584" s="2"/>
      <x:c r="J584" s="2"/>
      <x:c r="K584" s="2"/>
    </x:row>
    <x:row r="585">
      <x:c r="A585" s="2"/>
      <x:c r="B585" s="2"/>
      <x:c r="C585" s="2"/>
      <x:c r="D585" s="2"/>
      <x:c r="E585" s="2"/>
      <x:c r="F585" s="2"/>
      <x:c r="G585" s="2"/>
      <x:c r="H585" s="2"/>
      <x:c r="I585" s="2"/>
      <x:c r="J585" s="2"/>
      <x:c r="K585" s="2"/>
    </x:row>
    <x:row r="586">
      <x:c r="A586" s="2"/>
      <x:c r="B586" s="2"/>
      <x:c r="C586" s="2"/>
      <x:c r="D586" s="2"/>
      <x:c r="E586" s="2"/>
      <x:c r="F586" s="2"/>
      <x:c r="G586" s="2"/>
      <x:c r="H586" s="2"/>
      <x:c r="I586" s="2"/>
      <x:c r="J586" s="2"/>
      <x:c r="K586" s="2"/>
    </x:row>
    <x:row r="587">
      <x:c r="A587" s="2"/>
      <x:c r="B587" s="2"/>
      <x:c r="C587" s="2"/>
      <x:c r="D587" s="2"/>
      <x:c r="E587" s="2"/>
      <x:c r="F587" s="2"/>
      <x:c r="G587" s="2"/>
      <x:c r="H587" s="2"/>
      <x:c r="I587" s="2"/>
      <x:c r="J587" s="2"/>
      <x:c r="K587" s="2"/>
    </x:row>
    <x:row r="588">
      <x:c r="A588" s="2"/>
      <x:c r="B588" s="2"/>
      <x:c r="C588" s="2"/>
      <x:c r="D588" s="2"/>
      <x:c r="E588" s="2"/>
      <x:c r="F588" s="2"/>
      <x:c r="G588" s="2"/>
      <x:c r="H588" s="2"/>
      <x:c r="I588" s="2"/>
      <x:c r="J588" s="2"/>
      <x:c r="K588" s="2"/>
    </x:row>
    <x:row r="589">
      <x:c r="A589" s="2"/>
      <x:c r="B589" s="2"/>
      <x:c r="C589" s="2"/>
      <x:c r="D589" s="2"/>
      <x:c r="E589" s="2"/>
      <x:c r="F589" s="2"/>
      <x:c r="G589" s="2"/>
      <x:c r="H589" s="2"/>
      <x:c r="I589" s="2"/>
      <x:c r="J589" s="2"/>
      <x:c r="K589" s="2"/>
    </x:row>
    <x:row r="590">
      <x:c r="A590" s="2"/>
      <x:c r="B590" s="2"/>
      <x:c r="C590" s="2"/>
      <x:c r="D590" s="2"/>
      <x:c r="E590" s="2"/>
      <x:c r="F590" s="2"/>
      <x:c r="G590" s="2"/>
      <x:c r="H590" s="2"/>
      <x:c r="I590" s="2"/>
      <x:c r="J590" s="2"/>
      <x:c r="K590" s="2"/>
    </x:row>
    <x:row r="591">
      <x:c r="A591" s="2"/>
      <x:c r="B591" s="2"/>
      <x:c r="C591" s="2"/>
      <x:c r="D591" s="2"/>
      <x:c r="E591" s="2"/>
      <x:c r="F591" s="2"/>
      <x:c r="G591" s="2"/>
      <x:c r="H591" s="2"/>
      <x:c r="I591" s="2"/>
      <x:c r="J591" s="2"/>
      <x:c r="K591" s="2"/>
    </x:row>
    <x:row r="592">
      <x:c r="A592" s="2"/>
      <x:c r="B592" s="2"/>
      <x:c r="C592" s="2"/>
      <x:c r="D592" s="2"/>
      <x:c r="E592" s="2"/>
      <x:c r="F592" s="2"/>
      <x:c r="G592" s="2"/>
      <x:c r="H592" s="2"/>
      <x:c r="I592" s="2"/>
      <x:c r="J592" s="2"/>
      <x:c r="K592" s="2"/>
    </x:row>
    <x:row r="593">
      <x:c r="A593" s="2"/>
      <x:c r="B593" s="2"/>
      <x:c r="C593" s="2"/>
      <x:c r="D593" s="2"/>
      <x:c r="E593" s="2"/>
      <x:c r="F593" s="2"/>
      <x:c r="G593" s="2"/>
      <x:c r="H593" s="2"/>
      <x:c r="I593" s="2"/>
      <x:c r="J593" s="2"/>
      <x:c r="K593" s="2"/>
    </x:row>
    <x:row r="594">
      <x:c r="A594" s="2"/>
      <x:c r="B594" s="2"/>
      <x:c r="C594" s="2"/>
      <x:c r="D594" s="2"/>
      <x:c r="E594" s="2"/>
      <x:c r="F594" s="2"/>
      <x:c r="G594" s="2"/>
      <x:c r="H594" s="2"/>
      <x:c r="I594" s="2"/>
      <x:c r="J594" s="2"/>
      <x:c r="K594" s="2"/>
    </x:row>
    <x:row r="595">
      <x:c r="A595" s="2"/>
      <x:c r="B595" s="2"/>
      <x:c r="C595" s="2"/>
      <x:c r="D595" s="2"/>
      <x:c r="E595" s="2"/>
      <x:c r="F595" s="2"/>
      <x:c r="G595" s="2"/>
      <x:c r="H595" s="2"/>
      <x:c r="I595" s="2"/>
      <x:c r="J595" s="2"/>
      <x:c r="K595" s="2"/>
    </x:row>
    <x:row r="596">
      <x:c r="A596" s="2"/>
      <x:c r="B596" s="2"/>
      <x:c r="C596" s="2"/>
      <x:c r="D596" s="2"/>
      <x:c r="E596" s="2"/>
      <x:c r="F596" s="2"/>
      <x:c r="G596" s="2"/>
      <x:c r="H596" s="2"/>
      <x:c r="I596" s="2"/>
      <x:c r="J596" s="2"/>
      <x:c r="K596" s="2"/>
    </x:row>
    <x:row r="597">
      <x:c r="A597" s="2"/>
      <x:c r="B597" s="2"/>
      <x:c r="C597" s="2"/>
      <x:c r="D597" s="2"/>
      <x:c r="E597" s="2"/>
      <x:c r="F597" s="2"/>
      <x:c r="G597" s="2"/>
      <x:c r="H597" s="2"/>
      <x:c r="I597" s="2"/>
      <x:c r="J597" s="2"/>
      <x:c r="K597" s="2"/>
    </x:row>
    <x:row r="598">
      <x:c r="A598" s="2"/>
      <x:c r="B598" s="2"/>
      <x:c r="C598" s="2"/>
      <x:c r="D598" s="2"/>
      <x:c r="E598" s="2"/>
      <x:c r="F598" s="2"/>
      <x:c r="G598" s="2"/>
      <x:c r="H598" s="2"/>
      <x:c r="I598" s="2"/>
      <x:c r="J598" s="2"/>
      <x:c r="K598" s="2"/>
    </x:row>
    <x:row r="599">
      <x:c r="A599" s="2"/>
      <x:c r="B599" s="2"/>
      <x:c r="C599" s="2"/>
      <x:c r="D599" s="2"/>
      <x:c r="E599" s="2"/>
      <x:c r="F599" s="2"/>
      <x:c r="G599" s="2"/>
      <x:c r="H599" s="2"/>
      <x:c r="I599" s="2"/>
      <x:c r="J599" s="2"/>
      <x:c r="K599" s="2"/>
    </x:row>
    <x:row r="600">
      <x:c r="A600" s="2"/>
      <x:c r="B600" s="2"/>
      <x:c r="C600" s="2"/>
      <x:c r="D600" s="2"/>
      <x:c r="E600" s="2"/>
      <x:c r="F600" s="2"/>
      <x:c r="G600" s="2"/>
      <x:c r="H600" s="2"/>
      <x:c r="I600" s="2"/>
      <x:c r="J600" s="2"/>
      <x:c r="K600" s="2"/>
    </x:row>
    <x:row r="601">
      <x:c r="A601" s="2"/>
      <x:c r="B601" s="2"/>
      <x:c r="C601" s="2"/>
      <x:c r="D601" s="2"/>
      <x:c r="E601" s="2"/>
      <x:c r="F601" s="2"/>
      <x:c r="G601" s="2"/>
      <x:c r="H601" s="2"/>
      <x:c r="I601" s="2"/>
      <x:c r="J601" s="2"/>
      <x:c r="K601" s="2"/>
    </x:row>
    <x:row r="602">
      <x:c r="A602" s="2"/>
      <x:c r="B602" s="2"/>
      <x:c r="C602" s="2"/>
      <x:c r="D602" s="2"/>
      <x:c r="E602" s="2"/>
      <x:c r="F602" s="2"/>
      <x:c r="G602" s="2"/>
      <x:c r="H602" s="2"/>
      <x:c r="I602" s="2"/>
      <x:c r="J602" s="2"/>
      <x:c r="K602" s="2"/>
    </x:row>
    <x:row r="603">
      <x:c r="A603" s="2"/>
      <x:c r="B603" s="2"/>
      <x:c r="C603" s="2"/>
      <x:c r="D603" s="2"/>
      <x:c r="E603" s="2"/>
      <x:c r="F603" s="2"/>
      <x:c r="G603" s="2"/>
      <x:c r="H603" s="2"/>
      <x:c r="I603" s="2"/>
      <x:c r="J603" s="2"/>
      <x:c r="K603" s="2"/>
    </x:row>
    <x:row r="604">
      <x:c r="A604" s="2"/>
      <x:c r="B604" s="2"/>
      <x:c r="C604" s="2"/>
      <x:c r="D604" s="2"/>
      <x:c r="E604" s="2"/>
      <x:c r="F604" s="2"/>
      <x:c r="G604" s="2"/>
      <x:c r="H604" s="2"/>
      <x:c r="I604" s="2"/>
      <x:c r="J604" s="2"/>
      <x:c r="K604" s="2"/>
    </x:row>
    <x:row r="605">
      <x:c r="A605" s="2"/>
      <x:c r="B605" s="2"/>
      <x:c r="C605" s="2"/>
      <x:c r="D605" s="2"/>
      <x:c r="E605" s="2"/>
      <x:c r="F605" s="2"/>
      <x:c r="G605" s="2"/>
      <x:c r="H605" s="2"/>
      <x:c r="I605" s="2"/>
      <x:c r="J605" s="2"/>
      <x:c r="K605" s="2"/>
    </x:row>
    <x:row r="606">
      <x:c r="A606" s="2"/>
      <x:c r="B606" s="2"/>
      <x:c r="C606" s="2"/>
      <x:c r="D606" s="2"/>
      <x:c r="E606" s="2"/>
      <x:c r="F606" s="2"/>
      <x:c r="G606" s="2"/>
      <x:c r="H606" s="2"/>
      <x:c r="I606" s="2"/>
      <x:c r="J606" s="2"/>
      <x:c r="K606" s="2"/>
    </x:row>
    <x:row r="607">
      <x:c r="A607" s="2"/>
      <x:c r="B607" s="2"/>
      <x:c r="C607" s="2"/>
      <x:c r="D607" s="2"/>
      <x:c r="E607" s="2"/>
      <x:c r="F607" s="2"/>
      <x:c r="G607" s="2"/>
      <x:c r="H607" s="2"/>
      <x:c r="I607" s="2"/>
      <x:c r="J607" s="2"/>
      <x:c r="K607" s="2"/>
    </x:row>
    <x:row r="608">
      <x:c r="A608" s="2"/>
      <x:c r="B608" s="2"/>
      <x:c r="C608" s="2"/>
      <x:c r="D608" s="2"/>
      <x:c r="E608" s="2"/>
      <x:c r="F608" s="2"/>
      <x:c r="G608" s="2"/>
      <x:c r="H608" s="2"/>
      <x:c r="I608" s="2"/>
      <x:c r="J608" s="2"/>
      <x:c r="K608" s="2"/>
    </x:row>
    <x:row r="609">
      <x:c r="A609" s="2"/>
      <x:c r="B609" s="2"/>
      <x:c r="C609" s="2"/>
      <x:c r="D609" s="2"/>
      <x:c r="E609" s="2"/>
      <x:c r="F609" s="2"/>
      <x:c r="G609" s="2"/>
      <x:c r="H609" s="2"/>
      <x:c r="I609" s="2"/>
      <x:c r="J609" s="2"/>
      <x:c r="K609" s="2"/>
    </x:row>
    <x:row r="610">
      <x:c r="A610" s="2"/>
      <x:c r="B610" s="2"/>
      <x:c r="C610" s="2"/>
      <x:c r="D610" s="2"/>
      <x:c r="E610" s="2"/>
      <x:c r="F610" s="2"/>
      <x:c r="G610" s="2"/>
      <x:c r="H610" s="2"/>
      <x:c r="I610" s="2"/>
      <x:c r="J610" s="2"/>
      <x:c r="K610" s="2"/>
    </x:row>
    <x:row r="611">
      <x:c r="A611" s="2"/>
      <x:c r="B611" s="2"/>
      <x:c r="C611" s="2"/>
      <x:c r="D611" s="2"/>
      <x:c r="E611" s="2"/>
      <x:c r="F611" s="2"/>
      <x:c r="G611" s="2"/>
      <x:c r="H611" s="2"/>
      <x:c r="I611" s="2"/>
      <x:c r="J611" s="2"/>
      <x:c r="K611" s="2"/>
    </x:row>
    <x:row r="612">
      <x:c r="A612" s="2"/>
      <x:c r="B612" s="2"/>
      <x:c r="C612" s="2"/>
      <x:c r="D612" s="2"/>
      <x:c r="E612" s="2"/>
      <x:c r="F612" s="2"/>
      <x:c r="G612" s="2"/>
      <x:c r="H612" s="2"/>
      <x:c r="I612" s="2"/>
      <x:c r="J612" s="2"/>
      <x:c r="K612" s="2"/>
    </x:row>
    <x:row r="613">
      <x:c r="A613" s="2"/>
      <x:c r="B613" s="2"/>
      <x:c r="C613" s="2"/>
      <x:c r="D613" s="2"/>
      <x:c r="E613" s="2"/>
      <x:c r="F613" s="2"/>
      <x:c r="G613" s="2"/>
      <x:c r="H613" s="2"/>
      <x:c r="I613" s="2"/>
      <x:c r="J613" s="2"/>
      <x:c r="K613" s="2"/>
    </x:row>
    <x:row r="614">
      <x:c r="A614" s="2"/>
      <x:c r="B614" s="2"/>
      <x:c r="C614" s="2"/>
      <x:c r="D614" s="2"/>
      <x:c r="E614" s="2"/>
      <x:c r="F614" s="2"/>
      <x:c r="G614" s="2"/>
      <x:c r="H614" s="2"/>
      <x:c r="I614" s="2"/>
      <x:c r="J614" s="2"/>
      <x:c r="K614" s="2"/>
    </x:row>
    <x:row r="615">
      <x:c r="A615" s="2"/>
      <x:c r="B615" s="2"/>
      <x:c r="C615" s="2"/>
      <x:c r="D615" s="2"/>
      <x:c r="E615" s="2"/>
      <x:c r="F615" s="2"/>
      <x:c r="G615" s="2"/>
      <x:c r="H615" s="2"/>
      <x:c r="I615" s="2"/>
      <x:c r="J615" s="2"/>
      <x:c r="K615" s="2"/>
    </x:row>
    <x:row r="616">
      <x:c r="A616" s="2"/>
      <x:c r="B616" s="2"/>
      <x:c r="C616" s="2"/>
      <x:c r="D616" s="2"/>
      <x:c r="E616" s="2"/>
      <x:c r="F616" s="2"/>
      <x:c r="G616" s="2"/>
      <x:c r="H616" s="2"/>
      <x:c r="I616" s="2"/>
      <x:c r="J616" s="2"/>
      <x:c r="K616" s="2"/>
    </x:row>
    <x:row r="617">
      <x:c r="A617" s="2"/>
      <x:c r="B617" s="2"/>
      <x:c r="C617" s="2"/>
      <x:c r="D617" s="2"/>
      <x:c r="E617" s="2"/>
      <x:c r="F617" s="2"/>
      <x:c r="G617" s="2"/>
      <x:c r="H617" s="2"/>
      <x:c r="I617" s="2"/>
      <x:c r="J617" s="2"/>
      <x:c r="K617" s="2"/>
    </x:row>
    <x:row r="618">
      <x:c r="A618" s="2"/>
      <x:c r="B618" s="2"/>
      <x:c r="C618" s="2"/>
      <x:c r="D618" s="2"/>
      <x:c r="E618" s="2"/>
      <x:c r="F618" s="2"/>
      <x:c r="G618" s="2"/>
      <x:c r="H618" s="2"/>
      <x:c r="I618" s="2"/>
      <x:c r="J618" s="2"/>
      <x:c r="K618" s="2"/>
    </x:row>
    <x:row r="619">
      <x:c r="A619" s="2"/>
      <x:c r="B619" s="2"/>
      <x:c r="C619" s="2"/>
      <x:c r="D619" s="2"/>
      <x:c r="E619" s="2"/>
      <x:c r="F619" s="2"/>
      <x:c r="G619" s="2"/>
      <x:c r="H619" s="2"/>
      <x:c r="I619" s="2"/>
      <x:c r="J619" s="2"/>
      <x:c r="K619" s="2"/>
    </x:row>
    <x:row r="620">
      <x:c r="A620" s="2"/>
      <x:c r="B620" s="2"/>
      <x:c r="C620" s="2"/>
      <x:c r="D620" s="2"/>
      <x:c r="E620" s="2"/>
      <x:c r="F620" s="2"/>
      <x:c r="G620" s="2"/>
      <x:c r="H620" s="2"/>
      <x:c r="I620" s="2"/>
      <x:c r="J620" s="2"/>
      <x:c r="K620" s="2"/>
    </x:row>
    <x:row r="621">
      <x:c r="A621" s="2"/>
      <x:c r="B621" s="2"/>
      <x:c r="C621" s="2"/>
      <x:c r="D621" s="2"/>
      <x:c r="E621" s="2"/>
      <x:c r="F621" s="2"/>
      <x:c r="G621" s="2"/>
      <x:c r="H621" s="2"/>
      <x:c r="I621" s="2"/>
      <x:c r="J621" s="2"/>
      <x:c r="K621" s="2"/>
    </x:row>
    <x:row r="622">
      <x:c r="A622" s="2"/>
      <x:c r="B622" s="2"/>
      <x:c r="C622" s="2"/>
      <x:c r="D622" s="2"/>
      <x:c r="E622" s="2"/>
      <x:c r="F622" s="2"/>
      <x:c r="G622" s="2"/>
      <x:c r="H622" s="2"/>
      <x:c r="I622" s="2"/>
      <x:c r="J622" s="2"/>
      <x:c r="K622" s="2"/>
    </x:row>
    <x:row r="623">
      <x:c r="A623" s="2"/>
      <x:c r="B623" s="2"/>
      <x:c r="C623" s="2"/>
      <x:c r="D623" s="2"/>
      <x:c r="E623" s="2"/>
      <x:c r="F623" s="2"/>
      <x:c r="G623" s="2"/>
      <x:c r="H623" s="2"/>
      <x:c r="I623" s="2"/>
      <x:c r="J623" s="2"/>
      <x:c r="K623" s="2"/>
    </x:row>
    <x:row r="624">
      <x:c r="A624" s="2"/>
      <x:c r="B624" s="2"/>
      <x:c r="C624" s="2"/>
      <x:c r="D624" s="2"/>
      <x:c r="E624" s="2"/>
      <x:c r="F624" s="2"/>
      <x:c r="G624" s="2"/>
      <x:c r="H624" s="2"/>
      <x:c r="I624" s="2"/>
      <x:c r="J624" s="2"/>
      <x:c r="K624" s="2"/>
    </x:row>
    <x:row r="625">
      <x:c r="A625" s="2"/>
      <x:c r="B625" s="2"/>
      <x:c r="C625" s="2"/>
      <x:c r="D625" s="2"/>
      <x:c r="E625" s="2"/>
      <x:c r="F625" s="2"/>
      <x:c r="G625" s="2"/>
      <x:c r="H625" s="2"/>
      <x:c r="I625" s="2"/>
      <x:c r="J625" s="2"/>
      <x:c r="K625" s="2"/>
    </x:row>
    <x:row r="626">
      <x:c r="A626" s="2"/>
      <x:c r="B626" s="2"/>
      <x:c r="C626" s="2"/>
      <x:c r="D626" s="2"/>
      <x:c r="E626" s="2"/>
      <x:c r="F626" s="2"/>
      <x:c r="G626" s="2"/>
      <x:c r="H626" s="2"/>
      <x:c r="I626" s="2"/>
      <x:c r="J626" s="2"/>
      <x:c r="K626" s="2"/>
    </x:row>
    <x:row r="627">
      <x:c r="A627" s="2"/>
      <x:c r="B627" s="2"/>
      <x:c r="C627" s="2"/>
      <x:c r="D627" s="2"/>
      <x:c r="E627" s="2"/>
      <x:c r="F627" s="2"/>
      <x:c r="G627" s="2"/>
      <x:c r="H627" s="2"/>
      <x:c r="I627" s="2"/>
      <x:c r="J627" s="2"/>
      <x:c r="K627" s="2"/>
    </x:row>
    <x:row r="628">
      <x:c r="A628" s="2"/>
      <x:c r="B628" s="2"/>
      <x:c r="C628" s="2"/>
      <x:c r="D628" s="2"/>
      <x:c r="E628" s="2"/>
      <x:c r="F628" s="2"/>
      <x:c r="G628" s="2"/>
      <x:c r="H628" s="2"/>
      <x:c r="I628" s="2"/>
      <x:c r="J628" s="2"/>
      <x:c r="K628" s="2"/>
    </x:row>
    <x:row r="629">
      <x:c r="A629" s="2"/>
      <x:c r="B629" s="2"/>
      <x:c r="C629" s="2"/>
      <x:c r="D629" s="2"/>
      <x:c r="E629" s="2"/>
      <x:c r="F629" s="2"/>
      <x:c r="G629" s="2"/>
      <x:c r="H629" s="2"/>
      <x:c r="I629" s="2"/>
      <x:c r="J629" s="2"/>
      <x:c r="K629" s="2"/>
    </x:row>
    <x:row r="630">
      <x:c r="A630" s="2"/>
      <x:c r="B630" s="2"/>
      <x:c r="C630" s="2"/>
      <x:c r="D630" s="2"/>
      <x:c r="E630" s="2"/>
      <x:c r="F630" s="2"/>
      <x:c r="G630" s="2"/>
      <x:c r="H630" s="2"/>
      <x:c r="I630" s="2"/>
      <x:c r="J630" s="2"/>
      <x:c r="K630" s="2"/>
    </x:row>
    <x:row r="631">
      <x:c r="A631" s="2"/>
      <x:c r="B631" s="2"/>
      <x:c r="C631" s="2"/>
      <x:c r="D631" s="2"/>
      <x:c r="E631" s="2"/>
      <x:c r="F631" s="2"/>
      <x:c r="G631" s="2"/>
      <x:c r="H631" s="2"/>
      <x:c r="I631" s="2"/>
      <x:c r="J631" s="2"/>
      <x:c r="K631" s="2"/>
    </x:row>
    <x:row r="632">
      <x:c r="A632" s="2"/>
      <x:c r="B632" s="2"/>
      <x:c r="C632" s="2"/>
      <x:c r="D632" s="2"/>
      <x:c r="E632" s="2"/>
      <x:c r="F632" s="2"/>
      <x:c r="G632" s="2"/>
      <x:c r="H632" s="2"/>
      <x:c r="I632" s="2"/>
      <x:c r="J632" s="2"/>
      <x:c r="K632" s="2"/>
    </x:row>
    <x:row r="633">
      <x:c r="A633" s="2"/>
      <x:c r="B633" s="2"/>
      <x:c r="C633" s="2"/>
      <x:c r="D633" s="2"/>
      <x:c r="E633" s="2"/>
      <x:c r="F633" s="2"/>
      <x:c r="G633" s="2"/>
      <x:c r="H633" s="2"/>
      <x:c r="I633" s="2"/>
      <x:c r="J633" s="2"/>
      <x:c r="K633" s="2"/>
    </x:row>
    <x:row r="634">
      <x:c r="A634" s="2"/>
      <x:c r="B634" s="2"/>
      <x:c r="C634" s="2"/>
      <x:c r="D634" s="2"/>
      <x:c r="E634" s="2"/>
      <x:c r="F634" s="2"/>
      <x:c r="G634" s="2"/>
      <x:c r="H634" s="2"/>
      <x:c r="I634" s="2"/>
      <x:c r="J634" s="2"/>
      <x:c r="K634" s="2"/>
    </x:row>
    <x:row r="635">
      <x:c r="A635" s="2"/>
      <x:c r="B635" s="2"/>
      <x:c r="C635" s="2"/>
      <x:c r="D635" s="2"/>
      <x:c r="E635" s="2"/>
      <x:c r="F635" s="2"/>
      <x:c r="G635" s="2"/>
      <x:c r="H635" s="2"/>
      <x:c r="I635" s="2"/>
      <x:c r="J635" s="2"/>
      <x:c r="K635" s="2"/>
    </x:row>
    <x:row r="636">
      <x:c r="A636" s="2"/>
      <x:c r="B636" s="2"/>
      <x:c r="C636" s="2"/>
      <x:c r="D636" s="2"/>
      <x:c r="E636" s="2"/>
      <x:c r="F636" s="2"/>
      <x:c r="G636" s="2"/>
      <x:c r="H636" s="2"/>
      <x:c r="I636" s="2"/>
      <x:c r="J636" s="2"/>
      <x:c r="K636" s="2"/>
    </x:row>
    <x:row r="637">
      <x:c r="A637" s="2"/>
      <x:c r="B637" s="2"/>
      <x:c r="C637" s="2"/>
      <x:c r="D637" s="2"/>
      <x:c r="E637" s="2"/>
      <x:c r="F637" s="2"/>
      <x:c r="G637" s="2"/>
      <x:c r="H637" s="2"/>
      <x:c r="I637" s="2"/>
      <x:c r="J637" s="2"/>
      <x:c r="K637" s="2"/>
    </x:row>
    <x:row r="638">
      <x:c r="A638" s="2"/>
      <x:c r="B638" s="2"/>
      <x:c r="C638" s="2"/>
      <x:c r="D638" s="2"/>
      <x:c r="E638" s="2"/>
      <x:c r="F638" s="2"/>
      <x:c r="G638" s="2"/>
      <x:c r="H638" s="2"/>
      <x:c r="I638" s="2"/>
      <x:c r="J638" s="2"/>
      <x:c r="K638" s="2"/>
    </x:row>
    <x:row r="639">
      <x:c r="A639" s="2"/>
      <x:c r="B639" s="2"/>
      <x:c r="C639" s="2"/>
      <x:c r="D639" s="2"/>
      <x:c r="E639" s="2"/>
      <x:c r="F639" s="2"/>
      <x:c r="G639" s="2"/>
      <x:c r="H639" s="2"/>
      <x:c r="I639" s="2"/>
      <x:c r="J639" s="2"/>
      <x:c r="K639" s="2"/>
    </x:row>
    <x:row r="640">
      <x:c r="A640" s="2"/>
      <x:c r="B640" s="2"/>
      <x:c r="C640" s="2"/>
      <x:c r="D640" s="2"/>
      <x:c r="E640" s="2"/>
      <x:c r="F640" s="2"/>
      <x:c r="G640" s="2"/>
      <x:c r="H640" s="2"/>
      <x:c r="I640" s="2"/>
      <x:c r="J640" s="2"/>
      <x:c r="K640" s="2"/>
    </x:row>
    <x:row r="641">
      <x:c r="A641" s="2"/>
      <x:c r="B641" s="2"/>
      <x:c r="C641" s="2"/>
      <x:c r="D641" s="2"/>
      <x:c r="E641" s="2"/>
      <x:c r="F641" s="2"/>
      <x:c r="G641" s="2"/>
      <x:c r="H641" s="2"/>
      <x:c r="I641" s="2"/>
      <x:c r="J641" s="2"/>
      <x:c r="K641" s="2"/>
    </x:row>
    <x:row r="642">
      <x:c r="A642" s="2"/>
      <x:c r="B642" s="2"/>
      <x:c r="C642" s="2"/>
      <x:c r="D642" s="2"/>
      <x:c r="E642" s="2"/>
      <x:c r="F642" s="2"/>
      <x:c r="G642" s="2"/>
      <x:c r="H642" s="2"/>
      <x:c r="I642" s="2"/>
      <x:c r="J642" s="2"/>
      <x:c r="K642" s="2"/>
    </x:row>
    <x:row r="643">
      <x:c r="A643" s="2"/>
      <x:c r="B643" s="2"/>
      <x:c r="C643" s="2"/>
      <x:c r="D643" s="2"/>
      <x:c r="E643" s="2"/>
      <x:c r="F643" s="2"/>
      <x:c r="G643" s="2"/>
      <x:c r="H643" s="2"/>
      <x:c r="I643" s="2"/>
      <x:c r="J643" s="2"/>
      <x:c r="K643" s="2"/>
    </x:row>
    <x:row r="644">
      <x:c r="A644" s="2"/>
      <x:c r="B644" s="2"/>
      <x:c r="C644" s="2"/>
      <x:c r="D644" s="2"/>
      <x:c r="E644" s="2"/>
      <x:c r="F644" s="2"/>
      <x:c r="G644" s="2"/>
      <x:c r="H644" s="2"/>
      <x:c r="I644" s="2"/>
      <x:c r="J644" s="2"/>
      <x:c r="K644" s="2"/>
    </x:row>
    <x:row r="645">
      <x:c r="A645" s="2"/>
      <x:c r="B645" s="2"/>
      <x:c r="C645" s="2"/>
      <x:c r="D645" s="2"/>
      <x:c r="E645" s="2"/>
      <x:c r="F645" s="2"/>
      <x:c r="G645" s="2"/>
      <x:c r="H645" s="2"/>
      <x:c r="I645" s="2"/>
      <x:c r="J645" s="2"/>
      <x:c r="K645" s="2"/>
    </x:row>
    <x:row r="646">
      <x:c r="A646" s="2"/>
      <x:c r="B646" s="2"/>
      <x:c r="C646" s="2"/>
      <x:c r="D646" s="2"/>
      <x:c r="E646" s="2"/>
      <x:c r="F646" s="2"/>
      <x:c r="G646" s="2"/>
      <x:c r="H646" s="2"/>
      <x:c r="I646" s="2"/>
      <x:c r="J646" s="2"/>
      <x:c r="K646" s="2"/>
    </x:row>
    <x:row r="647">
      <x:c r="A647" s="2"/>
      <x:c r="B647" s="2"/>
      <x:c r="C647" s="2"/>
      <x:c r="D647" s="2"/>
      <x:c r="E647" s="2"/>
      <x:c r="F647" s="2"/>
      <x:c r="G647" s="2"/>
      <x:c r="H647" s="2"/>
      <x:c r="I647" s="2"/>
      <x:c r="J647" s="2"/>
      <x:c r="K647" s="2"/>
    </x:row>
    <x:row r="648">
      <x:c r="A648" s="2"/>
      <x:c r="B648" s="2"/>
      <x:c r="C648" s="2"/>
      <x:c r="D648" s="2"/>
      <x:c r="E648" s="2"/>
      <x:c r="F648" s="2"/>
      <x:c r="G648" s="2"/>
      <x:c r="H648" s="2"/>
      <x:c r="I648" s="2"/>
      <x:c r="J648" s="2"/>
      <x:c r="K648" s="2"/>
    </x:row>
    <x:row r="649">
      <x:c r="A649" s="2"/>
      <x:c r="B649" s="2"/>
      <x:c r="C649" s="2"/>
      <x:c r="D649" s="2"/>
      <x:c r="E649" s="2"/>
      <x:c r="F649" s="2"/>
      <x:c r="G649" s="2"/>
      <x:c r="H649" s="2"/>
      <x:c r="I649" s="2"/>
      <x:c r="J649" s="2"/>
      <x:c r="K649" s="2"/>
    </x:row>
    <x:row r="650">
      <x:c r="A650" s="2"/>
      <x:c r="B650" s="2"/>
      <x:c r="C650" s="2"/>
      <x:c r="D650" s="2"/>
      <x:c r="E650" s="2"/>
      <x:c r="F650" s="2"/>
      <x:c r="G650" s="2"/>
      <x:c r="H650" s="2"/>
      <x:c r="I650" s="2"/>
      <x:c r="J650" s="2"/>
      <x:c r="K650" s="2"/>
    </x:row>
    <x:row r="651">
      <x:c r="A651" s="2"/>
      <x:c r="B651" s="2"/>
      <x:c r="C651" s="2"/>
      <x:c r="D651" s="2"/>
      <x:c r="E651" s="2"/>
      <x:c r="F651" s="2"/>
      <x:c r="G651" s="2"/>
      <x:c r="H651" s="2"/>
      <x:c r="I651" s="2"/>
      <x:c r="J651" s="2"/>
      <x:c r="K651" s="2"/>
    </x:row>
    <x:row r="652">
      <x:c r="A652" s="2"/>
      <x:c r="B652" s="2"/>
      <x:c r="C652" s="2"/>
      <x:c r="D652" s="2"/>
      <x:c r="E652" s="2"/>
      <x:c r="F652" s="2"/>
      <x:c r="G652" s="2"/>
      <x:c r="H652" s="2"/>
      <x:c r="I652" s="2"/>
      <x:c r="J652" s="2"/>
      <x:c r="K652" s="2"/>
    </x:row>
    <x:row r="653">
      <x:c r="A653" s="2"/>
      <x:c r="B653" s="2"/>
      <x:c r="C653" s="2"/>
      <x:c r="D653" s="2"/>
      <x:c r="E653" s="2"/>
      <x:c r="F653" s="2"/>
      <x:c r="G653" s="2"/>
      <x:c r="H653" s="2"/>
      <x:c r="I653" s="2"/>
      <x:c r="J653" s="2"/>
      <x:c r="K653" s="2"/>
    </x:row>
    <x:row r="654">
      <x:c r="A654" s="2"/>
      <x:c r="B654" s="2"/>
      <x:c r="C654" s="2"/>
      <x:c r="D654" s="2"/>
      <x:c r="E654" s="2"/>
      <x:c r="F654" s="2"/>
      <x:c r="G654" s="2"/>
      <x:c r="H654" s="2"/>
      <x:c r="I654" s="2"/>
      <x:c r="J654" s="2"/>
      <x:c r="K654" s="2"/>
    </x:row>
    <x:row r="655">
      <x:c r="A655" s="2"/>
      <x:c r="B655" s="2"/>
      <x:c r="C655" s="2"/>
      <x:c r="D655" s="2"/>
      <x:c r="E655" s="2"/>
      <x:c r="F655" s="2"/>
      <x:c r="G655" s="2"/>
      <x:c r="H655" s="2"/>
      <x:c r="I655" s="2"/>
      <x:c r="J655" s="2"/>
      <x:c r="K655" s="2"/>
    </x:row>
    <x:row r="656">
      <x:c r="A656" s="2"/>
      <x:c r="B656" s="2"/>
      <x:c r="C656" s="2"/>
      <x:c r="D656" s="2"/>
      <x:c r="E656" s="2"/>
      <x:c r="F656" s="2"/>
      <x:c r="G656" s="2"/>
      <x:c r="H656" s="2"/>
      <x:c r="I656" s="2"/>
      <x:c r="J656" s="2"/>
      <x:c r="K656" s="2"/>
    </x:row>
    <x:row r="657">
      <x:c r="A657" s="2"/>
      <x:c r="B657" s="2"/>
      <x:c r="C657" s="2"/>
      <x:c r="D657" s="2"/>
      <x:c r="E657" s="2"/>
      <x:c r="F657" s="2"/>
      <x:c r="G657" s="2"/>
      <x:c r="H657" s="2"/>
      <x:c r="I657" s="2"/>
      <x:c r="J657" s="2"/>
      <x:c r="K657" s="2"/>
    </x:row>
    <x:row r="658">
      <x:c r="A658" s="2"/>
      <x:c r="B658" s="2"/>
      <x:c r="C658" s="2"/>
      <x:c r="D658" s="2"/>
      <x:c r="E658" s="2"/>
      <x:c r="F658" s="2"/>
      <x:c r="G658" s="2"/>
      <x:c r="H658" s="2"/>
      <x:c r="I658" s="2"/>
      <x:c r="J658" s="2"/>
      <x:c r="K658" s="2"/>
    </x:row>
    <x:row r="659">
      <x:c r="A659" s="2"/>
      <x:c r="B659" s="2"/>
      <x:c r="C659" s="2"/>
      <x:c r="D659" s="2"/>
      <x:c r="E659" s="2"/>
      <x:c r="F659" s="2"/>
      <x:c r="G659" s="2"/>
      <x:c r="H659" s="2"/>
      <x:c r="I659" s="2"/>
      <x:c r="J659" s="2"/>
      <x:c r="K659" s="2"/>
    </x:row>
    <x:row r="660">
      <x:c r="A660" s="2"/>
      <x:c r="B660" s="2"/>
      <x:c r="C660" s="2"/>
      <x:c r="D660" s="2"/>
      <x:c r="E660" s="2"/>
      <x:c r="F660" s="2"/>
      <x:c r="G660" s="2"/>
      <x:c r="H660" s="2"/>
      <x:c r="I660" s="2"/>
      <x:c r="J660" s="2"/>
      <x:c r="K660" s="2"/>
    </x:row>
    <x:row r="661">
      <x:c r="A661" s="2"/>
      <x:c r="B661" s="2"/>
      <x:c r="C661" s="2"/>
      <x:c r="D661" s="2"/>
      <x:c r="E661" s="2"/>
      <x:c r="F661" s="2"/>
      <x:c r="G661" s="2"/>
      <x:c r="H661" s="2"/>
      <x:c r="I661" s="2"/>
      <x:c r="J661" s="2"/>
      <x:c r="K661" s="2"/>
    </x:row>
    <x:row r="662">
      <x:c r="A662" s="2"/>
      <x:c r="B662" s="2"/>
      <x:c r="C662" s="2"/>
      <x:c r="D662" s="2"/>
      <x:c r="E662" s="2"/>
      <x:c r="F662" s="2"/>
      <x:c r="G662" s="2"/>
      <x:c r="H662" s="2"/>
      <x:c r="I662" s="2"/>
      <x:c r="J662" s="2"/>
      <x:c r="K662" s="2"/>
    </x:row>
    <x:row r="663">
      <x:c r="A663" s="2"/>
      <x:c r="B663" s="2"/>
      <x:c r="C663" s="2"/>
      <x:c r="D663" s="2"/>
      <x:c r="E663" s="2"/>
      <x:c r="F663" s="2"/>
      <x:c r="G663" s="2"/>
      <x:c r="H663" s="2"/>
      <x:c r="I663" s="2"/>
      <x:c r="J663" s="2"/>
      <x:c r="K663" s="2"/>
    </x:row>
    <x:row r="664">
      <x:c r="A664" s="2"/>
      <x:c r="B664" s="2"/>
      <x:c r="C664" s="2"/>
      <x:c r="D664" s="2"/>
      <x:c r="E664" s="2"/>
      <x:c r="F664" s="2"/>
      <x:c r="G664" s="2"/>
      <x:c r="H664" s="2"/>
      <x:c r="I664" s="2"/>
      <x:c r="J664" s="2"/>
      <x:c r="K664" s="2"/>
    </x:row>
    <x:row r="665">
      <x:c r="A665" s="2"/>
      <x:c r="B665" s="2"/>
      <x:c r="C665" s="2"/>
      <x:c r="D665" s="2"/>
      <x:c r="E665" s="2"/>
      <x:c r="F665" s="2"/>
      <x:c r="G665" s="2"/>
      <x:c r="H665" s="2"/>
      <x:c r="I665" s="2"/>
      <x:c r="J665" s="2"/>
      <x:c r="K665" s="2"/>
    </x:row>
    <x:row r="666">
      <x:c r="A666" s="2"/>
      <x:c r="B666" s="2"/>
      <x:c r="C666" s="2"/>
      <x:c r="D666" s="2"/>
      <x:c r="E666" s="2"/>
      <x:c r="F666" s="2"/>
      <x:c r="G666" s="2"/>
      <x:c r="H666" s="2"/>
      <x:c r="I666" s="2"/>
      <x:c r="J666" s="2"/>
      <x:c r="K666" s="2"/>
    </x:row>
    <x:row r="667">
      <x:c r="A667" s="2"/>
      <x:c r="B667" s="2"/>
      <x:c r="C667" s="2"/>
      <x:c r="D667" s="2"/>
      <x:c r="E667" s="2"/>
      <x:c r="F667" s="2"/>
      <x:c r="G667" s="2"/>
      <x:c r="H667" s="2"/>
      <x:c r="I667" s="2"/>
      <x:c r="J667" s="2"/>
      <x:c r="K667" s="2"/>
    </x:row>
    <x:row r="668">
      <x:c r="A668" s="2"/>
      <x:c r="B668" s="2"/>
      <x:c r="C668" s="2"/>
      <x:c r="D668" s="2"/>
      <x:c r="E668" s="2"/>
      <x:c r="F668" s="2"/>
      <x:c r="G668" s="2"/>
      <x:c r="H668" s="2"/>
      <x:c r="I668" s="2"/>
      <x:c r="J668" s="2"/>
      <x:c r="K668" s="2"/>
    </x:row>
    <x:row r="669">
      <x:c r="A669" s="2"/>
      <x:c r="B669" s="2"/>
      <x:c r="C669" s="2"/>
      <x:c r="D669" s="2"/>
      <x:c r="E669" s="2"/>
      <x:c r="F669" s="2"/>
      <x:c r="G669" s="2"/>
      <x:c r="H669" s="2"/>
      <x:c r="I669" s="2"/>
      <x:c r="J669" s="2"/>
      <x:c r="K669" s="2"/>
    </x:row>
    <x:row r="670">
      <x:c r="A670" s="2"/>
      <x:c r="B670" s="2"/>
      <x:c r="C670" s="2"/>
      <x:c r="D670" s="2"/>
      <x:c r="E670" s="2"/>
      <x:c r="F670" s="2"/>
      <x:c r="G670" s="2"/>
      <x:c r="H670" s="2"/>
      <x:c r="I670" s="2"/>
      <x:c r="J670" s="2"/>
      <x:c r="K670" s="2"/>
    </x:row>
    <x:row r="671">
      <x:c r="A671" s="2"/>
      <x:c r="B671" s="2"/>
      <x:c r="C671" s="2"/>
      <x:c r="D671" s="2"/>
      <x:c r="E671" s="2"/>
      <x:c r="F671" s="2"/>
      <x:c r="G671" s="2"/>
      <x:c r="H671" s="2"/>
      <x:c r="I671" s="2"/>
      <x:c r="J671" s="2"/>
      <x:c r="K671" s="2"/>
    </x:row>
    <x:row r="672">
      <x:c r="A672" s="2"/>
      <x:c r="B672" s="2"/>
      <x:c r="C672" s="2"/>
      <x:c r="D672" s="2"/>
      <x:c r="E672" s="2"/>
      <x:c r="F672" s="2"/>
      <x:c r="G672" s="2"/>
      <x:c r="H672" s="2"/>
      <x:c r="I672" s="2"/>
      <x:c r="J672" s="2"/>
      <x:c r="K672" s="2"/>
    </x:row>
    <x:row r="673">
      <x:c r="A673" s="2"/>
      <x:c r="B673" s="2"/>
      <x:c r="C673" s="2"/>
      <x:c r="D673" s="2"/>
      <x:c r="E673" s="2"/>
      <x:c r="F673" s="2"/>
      <x:c r="G673" s="2"/>
      <x:c r="H673" s="2"/>
      <x:c r="I673" s="2"/>
      <x:c r="J673" s="2"/>
      <x:c r="K673" s="2"/>
    </x:row>
    <x:row r="674">
      <x:c r="A674" s="2"/>
      <x:c r="B674" s="2"/>
      <x:c r="C674" s="2"/>
      <x:c r="D674" s="2"/>
      <x:c r="E674" s="2"/>
      <x:c r="F674" s="2"/>
      <x:c r="G674" s="2"/>
      <x:c r="H674" s="2"/>
      <x:c r="I674" s="2"/>
      <x:c r="J674" s="2"/>
      <x:c r="K674" s="2"/>
    </x:row>
    <x:row r="675">
      <x:c r="A675" s="2"/>
      <x:c r="B675" s="2"/>
      <x:c r="C675" s="2"/>
      <x:c r="D675" s="2"/>
      <x:c r="E675" s="2"/>
      <x:c r="F675" s="2"/>
      <x:c r="G675" s="2"/>
      <x:c r="H675" s="2"/>
      <x:c r="I675" s="2"/>
      <x:c r="J675" s="2"/>
      <x:c r="K675" s="2"/>
    </x:row>
    <x:row r="676">
      <x:c r="A676" s="2"/>
      <x:c r="B676" s="2"/>
      <x:c r="C676" s="2"/>
      <x:c r="D676" s="2"/>
      <x:c r="E676" s="2"/>
      <x:c r="F676" s="2"/>
      <x:c r="G676" s="2"/>
      <x:c r="H676" s="2"/>
      <x:c r="I676" s="2"/>
      <x:c r="J676" s="2"/>
      <x:c r="K676" s="2"/>
    </x:row>
    <x:row r="677">
      <x:c r="A677" s="2"/>
      <x:c r="B677" s="2"/>
      <x:c r="C677" s="2"/>
      <x:c r="D677" s="2"/>
      <x:c r="E677" s="2"/>
      <x:c r="F677" s="2"/>
      <x:c r="G677" s="2"/>
      <x:c r="H677" s="2"/>
      <x:c r="I677" s="2"/>
      <x:c r="J677" s="2"/>
      <x:c r="K677" s="2"/>
    </x:row>
    <x:row r="678">
      <x:c r="A678" s="2"/>
      <x:c r="B678" s="2"/>
      <x:c r="C678" s="2"/>
      <x:c r="D678" s="2"/>
      <x:c r="E678" s="2"/>
      <x:c r="F678" s="2"/>
      <x:c r="G678" s="2"/>
      <x:c r="H678" s="2"/>
      <x:c r="I678" s="2"/>
      <x:c r="J678" s="2"/>
      <x:c r="K678" s="2"/>
    </x:row>
    <x:row r="679">
      <x:c r="A679" s="2"/>
      <x:c r="B679" s="2"/>
      <x:c r="C679" s="2"/>
      <x:c r="D679" s="2"/>
      <x:c r="E679" s="2"/>
      <x:c r="F679" s="2"/>
      <x:c r="G679" s="2"/>
      <x:c r="H679" s="2"/>
      <x:c r="I679" s="2"/>
      <x:c r="J679" s="2"/>
      <x:c r="K679" s="2"/>
    </x:row>
    <x:row r="680">
      <x:c r="A680" s="2"/>
      <x:c r="B680" s="2"/>
      <x:c r="C680" s="2"/>
      <x:c r="D680" s="2"/>
      <x:c r="E680" s="2"/>
      <x:c r="F680" s="2"/>
      <x:c r="G680" s="2"/>
      <x:c r="H680" s="2"/>
      <x:c r="I680" s="2"/>
      <x:c r="J680" s="2"/>
      <x:c r="K680" s="2"/>
    </x:row>
    <x:row r="681">
      <x:c r="A681" s="2"/>
      <x:c r="B681" s="2"/>
      <x:c r="C681" s="2"/>
      <x:c r="D681" s="2"/>
      <x:c r="E681" s="2"/>
      <x:c r="F681" s="2"/>
      <x:c r="G681" s="2"/>
      <x:c r="H681" s="2"/>
      <x:c r="I681" s="2"/>
      <x:c r="J681" s="2"/>
      <x:c r="K681" s="2"/>
    </x:row>
    <x:row r="682">
      <x:c r="A682" s="2"/>
      <x:c r="B682" s="2"/>
      <x:c r="C682" s="2"/>
      <x:c r="D682" s="2"/>
      <x:c r="E682" s="2"/>
      <x:c r="F682" s="2"/>
      <x:c r="G682" s="2"/>
      <x:c r="H682" s="2"/>
      <x:c r="I682" s="2"/>
      <x:c r="J682" s="2"/>
      <x:c r="K682" s="2"/>
    </x:row>
    <x:row r="683">
      <x:c r="A683" s="2"/>
      <x:c r="B683" s="2"/>
      <x:c r="C683" s="2"/>
      <x:c r="D683" s="2"/>
      <x:c r="E683" s="2"/>
      <x:c r="F683" s="2"/>
      <x:c r="G683" s="2"/>
      <x:c r="H683" s="2"/>
      <x:c r="I683" s="2"/>
      <x:c r="J683" s="2"/>
      <x:c r="K683" s="2"/>
    </x:row>
    <x:row r="684">
      <x:c r="A684" s="2"/>
      <x:c r="B684" s="2"/>
      <x:c r="C684" s="2"/>
      <x:c r="D684" s="2"/>
      <x:c r="E684" s="2"/>
      <x:c r="F684" s="2"/>
      <x:c r="G684" s="2"/>
      <x:c r="H684" s="2"/>
      <x:c r="I684" s="2"/>
      <x:c r="J684" s="2"/>
      <x:c r="K684" s="2"/>
    </x:row>
    <x:row r="685">
      <x:c r="A685" s="2"/>
      <x:c r="B685" s="2"/>
      <x:c r="C685" s="2"/>
      <x:c r="D685" s="2"/>
      <x:c r="E685" s="2"/>
      <x:c r="F685" s="2"/>
      <x:c r="G685" s="2"/>
      <x:c r="H685" s="2"/>
      <x:c r="I685" s="2"/>
      <x:c r="J685" s="2"/>
      <x:c r="K685" s="2"/>
    </x:row>
    <x:row r="686">
      <x:c r="A686" s="2"/>
      <x:c r="B686" s="2"/>
      <x:c r="C686" s="2"/>
      <x:c r="D686" s="2"/>
      <x:c r="E686" s="2"/>
      <x:c r="F686" s="2"/>
      <x:c r="G686" s="2"/>
      <x:c r="H686" s="2"/>
      <x:c r="I686" s="2"/>
      <x:c r="J686" s="2"/>
      <x:c r="K686" s="2"/>
    </x:row>
    <x:row r="687">
      <x:c r="A687" s="2"/>
      <x:c r="B687" s="2"/>
      <x:c r="C687" s="2"/>
      <x:c r="D687" s="2"/>
      <x:c r="E687" s="2"/>
      <x:c r="F687" s="2"/>
      <x:c r="G687" s="2"/>
      <x:c r="H687" s="2"/>
      <x:c r="I687" s="2"/>
      <x:c r="J687" s="2"/>
      <x:c r="K687" s="2"/>
    </x:row>
    <x:row r="688">
      <x:c r="A688" s="2"/>
      <x:c r="B688" s="2"/>
      <x:c r="C688" s="2"/>
      <x:c r="D688" s="2"/>
      <x:c r="E688" s="2"/>
      <x:c r="F688" s="2"/>
      <x:c r="G688" s="2"/>
      <x:c r="H688" s="2"/>
      <x:c r="I688" s="2"/>
      <x:c r="J688" s="2"/>
      <x:c r="K688" s="2"/>
    </x:row>
    <x:row r="689">
      <x:c r="A689" s="2"/>
      <x:c r="B689" s="2"/>
      <x:c r="C689" s="2"/>
      <x:c r="D689" s="2"/>
      <x:c r="E689" s="2"/>
      <x:c r="F689" s="2"/>
      <x:c r="G689" s="2"/>
      <x:c r="H689" s="2"/>
      <x:c r="I689" s="2"/>
      <x:c r="J689" s="2"/>
      <x:c r="K689" s="2"/>
    </x:row>
    <x:row r="690">
      <x:c r="A690" s="2"/>
      <x:c r="B690" s="2"/>
      <x:c r="C690" s="2"/>
      <x:c r="D690" s="2"/>
      <x:c r="E690" s="2"/>
      <x:c r="F690" s="2"/>
      <x:c r="G690" s="2"/>
      <x:c r="H690" s="2"/>
      <x:c r="I690" s="2"/>
      <x:c r="J690" s="2"/>
      <x:c r="K690" s="2"/>
    </x:row>
    <x:row r="691">
      <x:c r="A691" s="2"/>
      <x:c r="B691" s="2"/>
      <x:c r="C691" s="2"/>
      <x:c r="D691" s="2"/>
      <x:c r="E691" s="2"/>
      <x:c r="F691" s="2"/>
      <x:c r="G691" s="2"/>
      <x:c r="H691" s="2"/>
      <x:c r="I691" s="2"/>
      <x:c r="J691" s="2"/>
      <x:c r="K691" s="2"/>
    </x:row>
    <x:row r="692">
      <x:c r="A692" s="2"/>
      <x:c r="B692" s="2"/>
      <x:c r="C692" s="2"/>
      <x:c r="D692" s="2"/>
      <x:c r="E692" s="2"/>
      <x:c r="F692" s="2"/>
      <x:c r="G692" s="2"/>
      <x:c r="H692" s="2"/>
      <x:c r="I692" s="2"/>
      <x:c r="J692" s="2"/>
      <x:c r="K692" s="2"/>
    </x:row>
    <x:row r="693">
      <x:c r="A693" s="2"/>
      <x:c r="B693" s="2"/>
      <x:c r="C693" s="2"/>
      <x:c r="D693" s="2"/>
      <x:c r="E693" s="2"/>
      <x:c r="F693" s="2"/>
      <x:c r="G693" s="2"/>
      <x:c r="H693" s="2"/>
      <x:c r="I693" s="2"/>
      <x:c r="J693" s="2"/>
      <x:c r="K693" s="2"/>
    </x:row>
    <x:row r="694">
      <x:c r="A694" s="2"/>
      <x:c r="B694" s="2"/>
      <x:c r="C694" s="2"/>
      <x:c r="D694" s="2"/>
      <x:c r="E694" s="2"/>
      <x:c r="F694" s="2"/>
      <x:c r="G694" s="2"/>
      <x:c r="H694" s="2"/>
      <x:c r="I694" s="2"/>
      <x:c r="J694" s="2"/>
      <x:c r="K694" s="2"/>
    </x:row>
    <x:row r="695">
      <x:c r="A695" s="2"/>
      <x:c r="B695" s="2"/>
      <x:c r="C695" s="2"/>
      <x:c r="D695" s="2"/>
      <x:c r="E695" s="2"/>
      <x:c r="F695" s="2"/>
      <x:c r="G695" s="2"/>
      <x:c r="H695" s="2"/>
      <x:c r="I695" s="2"/>
      <x:c r="J695" s="2"/>
      <x:c r="K695" s="2"/>
    </x:row>
    <x:row r="696">
      <x:c r="A696" s="2"/>
      <x:c r="B696" s="2"/>
      <x:c r="C696" s="2"/>
      <x:c r="D696" s="2"/>
      <x:c r="E696" s="2"/>
      <x:c r="F696" s="2"/>
      <x:c r="G696" s="2"/>
      <x:c r="H696" s="2"/>
      <x:c r="I696" s="2"/>
      <x:c r="J696" s="2"/>
      <x:c r="K696" s="2"/>
    </x:row>
    <x:row r="697">
      <x:c r="A697" s="2"/>
      <x:c r="B697" s="2"/>
      <x:c r="C697" s="2"/>
      <x:c r="D697" s="2"/>
      <x:c r="E697" s="2"/>
      <x:c r="F697" s="2"/>
      <x:c r="G697" s="2"/>
      <x:c r="H697" s="2"/>
      <x:c r="I697" s="2"/>
      <x:c r="J697" s="2"/>
      <x:c r="K697" s="2"/>
    </x:row>
    <x:row r="698">
      <x:c r="A698" s="2"/>
      <x:c r="B698" s="2"/>
      <x:c r="C698" s="2"/>
      <x:c r="D698" s="2"/>
      <x:c r="E698" s="2"/>
      <x:c r="F698" s="2"/>
      <x:c r="G698" s="2"/>
      <x:c r="H698" s="2"/>
      <x:c r="I698" s="2"/>
      <x:c r="J698" s="2"/>
      <x:c r="K698" s="2"/>
    </x:row>
    <x:row r="699">
      <x:c r="A699" s="2"/>
      <x:c r="B699" s="2"/>
      <x:c r="C699" s="2"/>
      <x:c r="D699" s="2"/>
      <x:c r="E699" s="2"/>
      <x:c r="F699" s="2"/>
      <x:c r="G699" s="2"/>
      <x:c r="H699" s="2"/>
      <x:c r="I699" s="2"/>
      <x:c r="J699" s="2"/>
      <x:c r="K699" s="2"/>
    </x:row>
    <x:row r="700">
      <x:c r="A700" s="2"/>
      <x:c r="B700" s="2"/>
      <x:c r="C700" s="2"/>
      <x:c r="D700" s="2"/>
      <x:c r="E700" s="2"/>
      <x:c r="F700" s="2"/>
      <x:c r="G700" s="2"/>
      <x:c r="H700" s="2"/>
      <x:c r="I700" s="2"/>
      <x:c r="J700" s="2"/>
      <x:c r="K700" s="2"/>
    </x:row>
    <x:row r="701">
      <x:c r="A701" s="2"/>
      <x:c r="B701" s="2"/>
      <x:c r="C701" s="2"/>
      <x:c r="D701" s="2"/>
      <x:c r="E701" s="2"/>
      <x:c r="F701" s="2"/>
      <x:c r="G701" s="2"/>
      <x:c r="H701" s="2"/>
      <x:c r="I701" s="2"/>
      <x:c r="J701" s="2"/>
      <x:c r="K701" s="2"/>
    </x:row>
    <x:row r="702">
      <x:c r="A702" s="2"/>
      <x:c r="B702" s="2"/>
      <x:c r="C702" s="2"/>
      <x:c r="D702" s="2"/>
      <x:c r="E702" s="2"/>
      <x:c r="F702" s="2"/>
      <x:c r="G702" s="2"/>
      <x:c r="H702" s="2"/>
      <x:c r="I702" s="2"/>
      <x:c r="J702" s="2"/>
      <x:c r="K702" s="2"/>
    </x:row>
    <x:row r="703">
      <x:c r="A703" s="2"/>
      <x:c r="B703" s="2"/>
      <x:c r="C703" s="2"/>
      <x:c r="D703" s="2"/>
      <x:c r="E703" s="2"/>
      <x:c r="F703" s="2"/>
      <x:c r="G703" s="2"/>
      <x:c r="H703" s="2"/>
      <x:c r="I703" s="2"/>
      <x:c r="J703" s="2"/>
      <x:c r="K703" s="2"/>
    </x:row>
    <x:row r="704">
      <x:c r="A704" s="2"/>
      <x:c r="B704" s="2"/>
      <x:c r="C704" s="2"/>
      <x:c r="D704" s="2"/>
      <x:c r="E704" s="2"/>
      <x:c r="F704" s="2"/>
      <x:c r="G704" s="2"/>
      <x:c r="H704" s="2"/>
      <x:c r="I704" s="2"/>
      <x:c r="J704" s="2"/>
      <x:c r="K704" s="2"/>
    </x:row>
    <x:row r="705">
      <x:c r="A705" s="2"/>
      <x:c r="B705" s="2"/>
      <x:c r="C705" s="2"/>
      <x:c r="D705" s="2"/>
      <x:c r="E705" s="2"/>
      <x:c r="F705" s="2"/>
      <x:c r="G705" s="2"/>
      <x:c r="H705" s="2"/>
      <x:c r="I705" s="2"/>
      <x:c r="J705" s="2"/>
      <x:c r="K705" s="2"/>
    </x:row>
    <x:row r="706">
      <x:c r="A706" s="2"/>
      <x:c r="B706" s="2"/>
      <x:c r="C706" s="2"/>
      <x:c r="D706" s="2"/>
      <x:c r="E706" s="2"/>
      <x:c r="F706" s="2"/>
      <x:c r="G706" s="2"/>
      <x:c r="H706" s="2"/>
      <x:c r="I706" s="2"/>
      <x:c r="J706" s="2"/>
      <x:c r="K706" s="2"/>
    </x:row>
    <x:row r="707">
      <x:c r="A707" s="2"/>
      <x:c r="B707" s="2"/>
      <x:c r="C707" s="2"/>
      <x:c r="D707" s="2"/>
      <x:c r="E707" s="2"/>
      <x:c r="F707" s="2"/>
      <x:c r="G707" s="2"/>
      <x:c r="H707" s="2"/>
      <x:c r="I707" s="2"/>
      <x:c r="J707" s="2"/>
      <x:c r="K707" s="2"/>
    </x:row>
    <x:row r="708">
      <x:c r="A708" s="2"/>
      <x:c r="B708" s="2"/>
      <x:c r="C708" s="2"/>
      <x:c r="D708" s="2"/>
      <x:c r="E708" s="2"/>
      <x:c r="F708" s="2"/>
      <x:c r="G708" s="2"/>
      <x:c r="H708" s="2"/>
      <x:c r="I708" s="2"/>
      <x:c r="J708" s="2"/>
      <x:c r="K708" s="2"/>
    </x:row>
    <x:row r="709">
      <x:c r="A709" s="2"/>
      <x:c r="B709" s="2"/>
      <x:c r="C709" s="2"/>
      <x:c r="D709" s="2"/>
      <x:c r="E709" s="2"/>
      <x:c r="F709" s="2"/>
      <x:c r="G709" s="2"/>
      <x:c r="H709" s="2"/>
      <x:c r="I709" s="2"/>
      <x:c r="J709" s="2"/>
      <x:c r="K709" s="2"/>
    </x:row>
    <x:row r="710">
      <x:c r="A710" s="2"/>
      <x:c r="B710" s="2"/>
      <x:c r="C710" s="2"/>
      <x:c r="D710" s="2"/>
      <x:c r="E710" s="2"/>
      <x:c r="F710" s="2"/>
      <x:c r="G710" s="2"/>
      <x:c r="H710" s="2"/>
      <x:c r="I710" s="2"/>
      <x:c r="J710" s="2"/>
      <x:c r="K710" s="2"/>
    </x:row>
    <x:row r="711">
      <x:c r="A711" s="2"/>
      <x:c r="B711" s="2"/>
      <x:c r="C711" s="2"/>
      <x:c r="D711" s="2"/>
      <x:c r="E711" s="2"/>
      <x:c r="F711" s="2"/>
      <x:c r="G711" s="2"/>
      <x:c r="H711" s="2"/>
      <x:c r="I711" s="2"/>
      <x:c r="J711" s="2"/>
      <x:c r="K711" s="2"/>
    </x:row>
    <x:row r="712">
      <x:c r="A712" s="2"/>
      <x:c r="B712" s="2"/>
      <x:c r="C712" s="2"/>
      <x:c r="D712" s="2"/>
      <x:c r="E712" s="2"/>
      <x:c r="F712" s="2"/>
      <x:c r="G712" s="2"/>
      <x:c r="H712" s="2"/>
      <x:c r="I712" s="2"/>
      <x:c r="J712" s="2"/>
      <x:c r="K712" s="2"/>
    </x:row>
    <x:row r="713">
      <x:c r="A713" s="2"/>
      <x:c r="B713" s="2"/>
      <x:c r="C713" s="2"/>
      <x:c r="D713" s="2"/>
      <x:c r="E713" s="2"/>
      <x:c r="F713" s="2"/>
      <x:c r="G713" s="2"/>
      <x:c r="H713" s="2"/>
      <x:c r="I713" s="2"/>
      <x:c r="J713" s="2"/>
      <x:c r="K713" s="2"/>
    </x:row>
    <x:row r="714">
      <x:c r="A714" s="2"/>
      <x:c r="B714" s="2"/>
      <x:c r="C714" s="2"/>
      <x:c r="D714" s="2"/>
      <x:c r="E714" s="2"/>
      <x:c r="F714" s="2"/>
      <x:c r="G714" s="2"/>
      <x:c r="H714" s="2"/>
      <x:c r="I714" s="2"/>
      <x:c r="J714" s="2"/>
      <x:c r="K714" s="2"/>
    </x:row>
    <x:row r="715">
      <x:c r="A715" s="2"/>
      <x:c r="B715" s="2"/>
      <x:c r="C715" s="2"/>
      <x:c r="D715" s="2"/>
      <x:c r="E715" s="2"/>
      <x:c r="F715" s="2"/>
      <x:c r="G715" s="2"/>
      <x:c r="H715" s="2"/>
      <x:c r="I715" s="2"/>
      <x:c r="J715" s="2"/>
      <x:c r="K715" s="2"/>
    </x:row>
    <x:row r="716">
      <x:c r="A716" s="2"/>
      <x:c r="B716" s="2"/>
      <x:c r="C716" s="2"/>
      <x:c r="D716" s="2"/>
      <x:c r="E716" s="2"/>
      <x:c r="F716" s="2"/>
      <x:c r="G716" s="2"/>
      <x:c r="H716" s="2"/>
      <x:c r="I716" s="2"/>
      <x:c r="J716" s="2"/>
      <x:c r="K716" s="2"/>
    </x:row>
    <x:row r="717">
      <x:c r="A717" s="2"/>
      <x:c r="B717" s="2"/>
      <x:c r="C717" s="2"/>
      <x:c r="D717" s="2"/>
      <x:c r="E717" s="2"/>
      <x:c r="F717" s="2"/>
      <x:c r="G717" s="2"/>
      <x:c r="H717" s="2"/>
      <x:c r="I717" s="2"/>
      <x:c r="J717" s="2"/>
      <x:c r="K717" s="2"/>
    </x:row>
    <x:row r="718">
      <x:c r="A718" s="2"/>
      <x:c r="B718" s="2"/>
      <x:c r="C718" s="2"/>
      <x:c r="D718" s="2"/>
      <x:c r="E718" s="2"/>
      <x:c r="F718" s="2"/>
      <x:c r="G718" s="2"/>
      <x:c r="H718" s="2"/>
      <x:c r="I718" s="2"/>
      <x:c r="J718" s="2"/>
      <x:c r="K718" s="2"/>
    </x:row>
    <x:row r="719">
      <x:c r="A719" s="2"/>
      <x:c r="B719" s="2"/>
      <x:c r="C719" s="2"/>
      <x:c r="D719" s="2"/>
      <x:c r="E719" s="2"/>
      <x:c r="F719" s="2"/>
      <x:c r="G719" s="2"/>
      <x:c r="H719" s="2"/>
      <x:c r="I719" s="2"/>
      <x:c r="J719" s="2"/>
      <x:c r="K719" s="2"/>
    </x:row>
    <x:row r="720">
      <x:c r="A720" s="2"/>
      <x:c r="B720" s="2"/>
      <x:c r="C720" s="2"/>
      <x:c r="D720" s="2"/>
      <x:c r="E720" s="2"/>
      <x:c r="F720" s="2"/>
      <x:c r="G720" s="2"/>
      <x:c r="H720" s="2"/>
      <x:c r="I720" s="2"/>
      <x:c r="J720" s="2"/>
      <x:c r="K720" s="2"/>
    </x:row>
    <x:row r="721">
      <x:c r="A721" s="2"/>
      <x:c r="B721" s="2"/>
      <x:c r="C721" s="2"/>
      <x:c r="D721" s="2"/>
      <x:c r="E721" s="2"/>
      <x:c r="F721" s="2"/>
      <x:c r="G721" s="2"/>
      <x:c r="H721" s="2"/>
      <x:c r="I721" s="2"/>
      <x:c r="J721" s="2"/>
      <x:c r="K721" s="2"/>
    </x:row>
    <x:row r="722">
      <x:c r="A722" s="2"/>
      <x:c r="B722" s="2"/>
      <x:c r="C722" s="2"/>
      <x:c r="D722" s="2"/>
      <x:c r="E722" s="2"/>
      <x:c r="F722" s="2"/>
      <x:c r="G722" s="2"/>
      <x:c r="H722" s="2"/>
      <x:c r="I722" s="2"/>
      <x:c r="J722" s="2"/>
      <x:c r="K722" s="2"/>
    </x:row>
    <x:row r="723">
      <x:c r="A723" s="2"/>
      <x:c r="B723" s="2"/>
      <x:c r="C723" s="2"/>
      <x:c r="D723" s="2"/>
      <x:c r="E723" s="2"/>
      <x:c r="F723" s="2"/>
      <x:c r="G723" s="2"/>
      <x:c r="H723" s="2"/>
      <x:c r="I723" s="2"/>
      <x:c r="J723" s="2"/>
      <x:c r="K723" s="2"/>
    </x:row>
    <x:row r="724">
      <x:c r="A724" s="2"/>
      <x:c r="B724" s="2"/>
      <x:c r="C724" s="2"/>
      <x:c r="D724" s="2"/>
      <x:c r="E724" s="2"/>
      <x:c r="F724" s="2"/>
      <x:c r="G724" s="2"/>
      <x:c r="H724" s="2"/>
      <x:c r="I724" s="2"/>
      <x:c r="J724" s="2"/>
      <x:c r="K724" s="2"/>
    </x:row>
    <x:row r="725">
      <x:c r="A725" s="2"/>
      <x:c r="B725" s="2"/>
      <x:c r="C725" s="2"/>
      <x:c r="D725" s="2"/>
      <x:c r="E725" s="2"/>
      <x:c r="F725" s="2"/>
      <x:c r="G725" s="2"/>
      <x:c r="H725" s="2"/>
      <x:c r="I725" s="2"/>
      <x:c r="J725" s="2"/>
      <x:c r="K725" s="2"/>
    </x:row>
    <x:row r="726">
      <x:c r="A726" s="2"/>
      <x:c r="B726" s="2"/>
      <x:c r="C726" s="2"/>
      <x:c r="D726" s="2"/>
      <x:c r="E726" s="2"/>
      <x:c r="F726" s="2"/>
      <x:c r="G726" s="2"/>
      <x:c r="H726" s="2"/>
      <x:c r="I726" s="2"/>
      <x:c r="J726" s="2"/>
      <x:c r="K726" s="2"/>
    </x:row>
    <x:row r="727">
      <x:c r="A727" s="2"/>
      <x:c r="B727" s="2"/>
      <x:c r="C727" s="2"/>
      <x:c r="D727" s="2"/>
      <x:c r="E727" s="2"/>
      <x:c r="F727" s="2"/>
      <x:c r="G727" s="2"/>
      <x:c r="H727" s="2"/>
      <x:c r="I727" s="2"/>
      <x:c r="J727" s="2"/>
      <x:c r="K727" s="2"/>
    </x:row>
    <x:row r="728">
      <x:c r="A728" s="2"/>
      <x:c r="B728" s="2"/>
      <x:c r="C728" s="2"/>
      <x:c r="D728" s="2"/>
      <x:c r="E728" s="2"/>
      <x:c r="F728" s="2"/>
      <x:c r="G728" s="2"/>
      <x:c r="H728" s="2"/>
      <x:c r="I728" s="2"/>
      <x:c r="J728" s="2"/>
      <x:c r="K728" s="2"/>
    </x:row>
    <x:row r="729">
      <x:c r="A729" s="2"/>
      <x:c r="B729" s="2"/>
      <x:c r="C729" s="2"/>
      <x:c r="D729" s="2"/>
      <x:c r="E729" s="2"/>
      <x:c r="F729" s="2"/>
      <x:c r="G729" s="2"/>
      <x:c r="H729" s="2"/>
      <x:c r="I729" s="2"/>
      <x:c r="J729" s="2"/>
      <x:c r="K729" s="2"/>
    </x:row>
    <x:row r="730">
      <x:c r="A730" s="2"/>
      <x:c r="B730" s="2"/>
      <x:c r="C730" s="2"/>
      <x:c r="D730" s="2"/>
      <x:c r="E730" s="2"/>
      <x:c r="F730" s="2"/>
      <x:c r="G730" s="2"/>
      <x:c r="H730" s="2"/>
      <x:c r="I730" s="2"/>
      <x:c r="J730" s="2"/>
      <x:c r="K730" s="2"/>
    </x:row>
    <x:row r="731">
      <x:c r="A731" s="2"/>
      <x:c r="B731" s="2"/>
      <x:c r="C731" s="2"/>
      <x:c r="D731" s="2"/>
      <x:c r="E731" s="2"/>
      <x:c r="F731" s="2"/>
      <x:c r="G731" s="2"/>
      <x:c r="H731" s="2"/>
      <x:c r="I731" s="2"/>
      <x:c r="J731" s="2"/>
      <x:c r="K731" s="2"/>
    </x:row>
    <x:row r="732">
      <x:c r="A732" s="2"/>
      <x:c r="B732" s="2"/>
      <x:c r="C732" s="2"/>
      <x:c r="D732" s="2"/>
      <x:c r="E732" s="2"/>
      <x:c r="F732" s="2"/>
      <x:c r="G732" s="2"/>
      <x:c r="H732" s="2"/>
      <x:c r="I732" s="2"/>
      <x:c r="J732" s="2"/>
      <x:c r="K732" s="2"/>
    </x:row>
    <x:row r="733">
      <x:c r="A733" s="2"/>
      <x:c r="B733" s="2"/>
      <x:c r="C733" s="2"/>
      <x:c r="D733" s="2"/>
      <x:c r="E733" s="2"/>
      <x:c r="F733" s="2"/>
      <x:c r="G733" s="2"/>
      <x:c r="H733" s="2"/>
      <x:c r="I733" s="2"/>
      <x:c r="J733" s="2"/>
      <x:c r="K733" s="2"/>
    </x:row>
    <x:row r="734">
      <x:c r="A734" s="2"/>
      <x:c r="B734" s="2"/>
      <x:c r="C734" s="2"/>
      <x:c r="D734" s="2"/>
      <x:c r="E734" s="2"/>
      <x:c r="F734" s="2"/>
      <x:c r="G734" s="2"/>
      <x:c r="H734" s="2"/>
      <x:c r="I734" s="2"/>
      <x:c r="J734" s="2"/>
      <x:c r="K734" s="2"/>
    </x:row>
    <x:row r="735">
      <x:c r="A735" s="2"/>
      <x:c r="B735" s="2"/>
      <x:c r="C735" s="2"/>
      <x:c r="D735" s="2"/>
      <x:c r="E735" s="2"/>
      <x:c r="F735" s="2"/>
      <x:c r="G735" s="2"/>
      <x:c r="H735" s="2"/>
      <x:c r="I735" s="2"/>
      <x:c r="J735" s="2"/>
      <x:c r="K735" s="2"/>
    </x:row>
    <x:row r="736">
      <x:c r="A736" s="2"/>
      <x:c r="B736" s="2"/>
      <x:c r="C736" s="2"/>
      <x:c r="D736" s="2"/>
      <x:c r="E736" s="2"/>
      <x:c r="F736" s="2"/>
      <x:c r="G736" s="2"/>
      <x:c r="H736" s="2"/>
      <x:c r="I736" s="2"/>
      <x:c r="J736" s="2"/>
      <x:c r="K736" s="2"/>
    </x:row>
    <x:row r="737">
      <x:c r="A737" s="2"/>
      <x:c r="B737" s="2"/>
      <x:c r="C737" s="2"/>
      <x:c r="D737" s="2"/>
      <x:c r="E737" s="2"/>
      <x:c r="F737" s="2"/>
      <x:c r="G737" s="2"/>
      <x:c r="H737" s="2"/>
      <x:c r="I737" s="2"/>
      <x:c r="J737" s="2"/>
      <x:c r="K737" s="2"/>
    </x:row>
    <x:row r="738">
      <x:c r="A738" s="2"/>
      <x:c r="B738" s="2"/>
      <x:c r="C738" s="2"/>
      <x:c r="D738" s="2"/>
      <x:c r="E738" s="2"/>
      <x:c r="F738" s="2"/>
      <x:c r="G738" s="2"/>
      <x:c r="H738" s="2"/>
      <x:c r="I738" s="2"/>
      <x:c r="J738" s="2"/>
      <x:c r="K738" s="2"/>
    </x:row>
    <x:row r="739">
      <x:c r="A739" s="2"/>
      <x:c r="B739" s="2"/>
      <x:c r="C739" s="2"/>
      <x:c r="D739" s="2"/>
      <x:c r="E739" s="2"/>
      <x:c r="F739" s="2"/>
      <x:c r="G739" s="2"/>
      <x:c r="H739" s="2"/>
      <x:c r="I739" s="2"/>
      <x:c r="J739" s="2"/>
      <x:c r="K739" s="2"/>
    </x:row>
    <x:row r="740">
      <x:c r="A740" s="2"/>
      <x:c r="B740" s="2"/>
      <x:c r="C740" s="2"/>
      <x:c r="D740" s="2"/>
      <x:c r="E740" s="2"/>
      <x:c r="F740" s="2"/>
      <x:c r="G740" s="2"/>
      <x:c r="H740" s="2"/>
      <x:c r="I740" s="2"/>
      <x:c r="J740" s="2"/>
      <x:c r="K740" s="2"/>
    </x:row>
    <x:row r="741">
      <x:c r="A741" s="2"/>
      <x:c r="B741" s="2"/>
      <x:c r="C741" s="2"/>
      <x:c r="D741" s="2"/>
      <x:c r="E741" s="2"/>
      <x:c r="F741" s="2"/>
      <x:c r="G741" s="2"/>
      <x:c r="H741" s="2"/>
      <x:c r="I741" s="2"/>
      <x:c r="J741" s="2"/>
      <x:c r="K741" s="2"/>
    </x:row>
    <x:row r="742">
      <x:c r="A742" s="2"/>
      <x:c r="B742" s="2"/>
      <x:c r="C742" s="2"/>
      <x:c r="D742" s="2"/>
      <x:c r="E742" s="2"/>
      <x:c r="F742" s="2"/>
      <x:c r="G742" s="2"/>
      <x:c r="H742" s="2"/>
      <x:c r="I742" s="2"/>
      <x:c r="J742" s="2"/>
      <x:c r="K742" s="2"/>
    </x:row>
    <x:row r="743">
      <x:c r="A743" s="2"/>
      <x:c r="B743" s="2"/>
      <x:c r="C743" s="2"/>
      <x:c r="D743" s="2"/>
      <x:c r="E743" s="2"/>
      <x:c r="F743" s="2"/>
      <x:c r="G743" s="2"/>
      <x:c r="H743" s="2"/>
      <x:c r="I743" s="2"/>
      <x:c r="J743" s="2"/>
      <x:c r="K743" s="2"/>
    </x:row>
    <x:row r="744">
      <x:c r="A744" s="2"/>
      <x:c r="B744" s="2"/>
      <x:c r="C744" s="2"/>
      <x:c r="D744" s="2"/>
      <x:c r="E744" s="2"/>
      <x:c r="F744" s="2"/>
      <x:c r="G744" s="2"/>
      <x:c r="H744" s="2"/>
      <x:c r="I744" s="2"/>
      <x:c r="J744" s="2"/>
      <x:c r="K744" s="2"/>
    </x:row>
    <x:row r="745">
      <x:c r="A745" s="2"/>
      <x:c r="B745" s="2"/>
      <x:c r="C745" s="2"/>
      <x:c r="D745" s="2"/>
      <x:c r="E745" s="2"/>
      <x:c r="F745" s="2"/>
      <x:c r="G745" s="2"/>
      <x:c r="H745" s="2"/>
      <x:c r="I745" s="2"/>
      <x:c r="J745" s="2"/>
      <x:c r="K745" s="2"/>
    </x:row>
    <x:row r="746">
      <x:c r="A746" s="2"/>
      <x:c r="B746" s="2"/>
      <x:c r="C746" s="2"/>
      <x:c r="D746" s="2"/>
      <x:c r="E746" s="2"/>
      <x:c r="F746" s="2"/>
      <x:c r="G746" s="2"/>
      <x:c r="H746" s="2"/>
      <x:c r="I746" s="2"/>
      <x:c r="J746" s="2"/>
      <x:c r="K746" s="2"/>
    </x:row>
    <x:row r="747">
      <x:c r="A747" s="2"/>
      <x:c r="B747" s="2"/>
      <x:c r="C747" s="2"/>
      <x:c r="D747" s="2"/>
      <x:c r="E747" s="2"/>
      <x:c r="F747" s="2"/>
      <x:c r="G747" s="2"/>
      <x:c r="H747" s="2"/>
      <x:c r="I747" s="2"/>
      <x:c r="J747" s="2"/>
      <x:c r="K747" s="2"/>
    </x:row>
    <x:row r="748">
      <x:c r="A748" s="2"/>
      <x:c r="B748" s="2"/>
      <x:c r="C748" s="2"/>
      <x:c r="D748" s="2"/>
      <x:c r="E748" s="2"/>
      <x:c r="F748" s="2"/>
      <x:c r="G748" s="2"/>
      <x:c r="H748" s="2"/>
      <x:c r="I748" s="2"/>
      <x:c r="J748" s="2"/>
      <x:c r="K748" s="2"/>
    </x:row>
    <x:row r="749">
      <x:c r="A749" s="2"/>
      <x:c r="B749" s="2"/>
      <x:c r="C749" s="2"/>
      <x:c r="D749" s="2"/>
      <x:c r="E749" s="2"/>
      <x:c r="F749" s="2"/>
      <x:c r="G749" s="2"/>
      <x:c r="H749" s="2"/>
      <x:c r="I749" s="2"/>
      <x:c r="J749" s="2"/>
      <x:c r="K749" s="2"/>
    </x:row>
    <x:row r="750">
      <x:c r="A750" s="2"/>
      <x:c r="B750" s="2"/>
      <x:c r="C750" s="2"/>
      <x:c r="D750" s="2"/>
      <x:c r="E750" s="2"/>
      <x:c r="F750" s="2"/>
      <x:c r="G750" s="2"/>
      <x:c r="H750" s="2"/>
      <x:c r="I750" s="2"/>
      <x:c r="J750" s="2"/>
      <x:c r="K750" s="2"/>
    </x:row>
    <x:row r="751">
      <x:c r="A751" s="2"/>
      <x:c r="B751" s="2"/>
      <x:c r="C751" s="2"/>
      <x:c r="D751" s="2"/>
      <x:c r="E751" s="2"/>
      <x:c r="F751" s="2"/>
      <x:c r="G751" s="2"/>
      <x:c r="H751" s="2"/>
      <x:c r="I751" s="2"/>
      <x:c r="J751" s="2"/>
      <x:c r="K751" s="2"/>
    </x:row>
    <x:row r="752">
      <x:c r="A752" s="2"/>
      <x:c r="B752" s="2"/>
      <x:c r="C752" s="2"/>
      <x:c r="D752" s="2"/>
      <x:c r="E752" s="2"/>
      <x:c r="F752" s="2"/>
      <x:c r="G752" s="2"/>
      <x:c r="H752" s="2"/>
      <x:c r="I752" s="2"/>
      <x:c r="J752" s="2"/>
      <x:c r="K752" s="2"/>
    </x:row>
    <x:row r="753">
      <x:c r="A753" s="2"/>
      <x:c r="B753" s="2"/>
      <x:c r="C753" s="2"/>
      <x:c r="D753" s="2"/>
      <x:c r="E753" s="2"/>
      <x:c r="F753" s="2"/>
      <x:c r="G753" s="2"/>
      <x:c r="H753" s="2"/>
      <x:c r="I753" s="2"/>
      <x:c r="J753" s="2"/>
      <x:c r="K753" s="2"/>
    </x:row>
    <x:row r="754">
      <x:c r="A754" s="2"/>
      <x:c r="B754" s="2"/>
      <x:c r="C754" s="2"/>
      <x:c r="D754" s="2"/>
      <x:c r="E754" s="2"/>
      <x:c r="F754" s="2"/>
      <x:c r="G754" s="2"/>
      <x:c r="H754" s="2"/>
      <x:c r="I754" s="2"/>
      <x:c r="J754" s="2"/>
      <x:c r="K754" s="2"/>
    </x:row>
    <x:row r="755">
      <x:c r="A755" s="2"/>
      <x:c r="B755" s="2"/>
      <x:c r="C755" s="2"/>
      <x:c r="D755" s="2"/>
      <x:c r="E755" s="2"/>
      <x:c r="F755" s="2"/>
      <x:c r="G755" s="2"/>
      <x:c r="H755" s="2"/>
      <x:c r="I755" s="2"/>
      <x:c r="J755" s="2"/>
      <x:c r="K755" s="2"/>
    </x:row>
    <x:row r="756">
      <x:c r="A756" s="2"/>
      <x:c r="B756" s="2"/>
      <x:c r="C756" s="2"/>
      <x:c r="D756" s="2"/>
      <x:c r="E756" s="2"/>
      <x:c r="F756" s="2"/>
      <x:c r="G756" s="2"/>
      <x:c r="H756" s="2"/>
      <x:c r="I756" s="2"/>
      <x:c r="J756" s="2"/>
      <x:c r="K756" s="2"/>
    </x:row>
    <x:row r="757">
      <x:c r="A757" s="2"/>
      <x:c r="B757" s="2"/>
      <x:c r="C757" s="2"/>
      <x:c r="D757" s="2"/>
      <x:c r="E757" s="2"/>
      <x:c r="F757" s="2"/>
      <x:c r="G757" s="2"/>
      <x:c r="H757" s="2"/>
      <x:c r="I757" s="2"/>
      <x:c r="J757" s="2"/>
      <x:c r="K757" s="2"/>
    </x:row>
    <x:row r="758">
      <x:c r="A758" s="2"/>
      <x:c r="B758" s="2"/>
      <x:c r="C758" s="2"/>
      <x:c r="D758" s="2"/>
      <x:c r="E758" s="2"/>
      <x:c r="F758" s="2"/>
      <x:c r="G758" s="2"/>
      <x:c r="H758" s="2"/>
      <x:c r="I758" s="2"/>
      <x:c r="J758" s="2"/>
      <x:c r="K758" s="2"/>
    </x:row>
    <x:row r="759">
      <x:c r="A759" s="2"/>
      <x:c r="B759" s="2"/>
      <x:c r="C759" s="2"/>
      <x:c r="D759" s="2"/>
      <x:c r="E759" s="2"/>
      <x:c r="F759" s="2"/>
      <x:c r="G759" s="2"/>
      <x:c r="H759" s="2"/>
      <x:c r="I759" s="2"/>
      <x:c r="J759" s="2"/>
      <x:c r="K759" s="2"/>
    </x:row>
    <x:row r="760">
      <x:c r="A760" s="2"/>
      <x:c r="B760" s="2"/>
      <x:c r="C760" s="2"/>
      <x:c r="D760" s="2"/>
      <x:c r="E760" s="2"/>
      <x:c r="F760" s="2"/>
      <x:c r="G760" s="2"/>
      <x:c r="H760" s="2"/>
      <x:c r="I760" s="2"/>
      <x:c r="J760" s="2"/>
      <x:c r="K760" s="2"/>
    </x:row>
    <x:row r="761">
      <x:c r="A761" s="2"/>
      <x:c r="B761" s="2"/>
      <x:c r="C761" s="2"/>
      <x:c r="D761" s="2"/>
      <x:c r="E761" s="2"/>
      <x:c r="F761" s="2"/>
      <x:c r="G761" s="2"/>
      <x:c r="H761" s="2"/>
      <x:c r="I761" s="2"/>
      <x:c r="J761" s="2"/>
      <x:c r="K761" s="2"/>
    </x:row>
    <x:row r="762">
      <x:c r="A762" s="2"/>
      <x:c r="B762" s="2"/>
      <x:c r="C762" s="2"/>
      <x:c r="D762" s="2"/>
      <x:c r="E762" s="2"/>
      <x:c r="F762" s="2"/>
      <x:c r="G762" s="2"/>
      <x:c r="H762" s="2"/>
      <x:c r="I762" s="2"/>
      <x:c r="J762" s="2"/>
      <x:c r="K762" s="2"/>
    </x:row>
    <x:row r="763">
      <x:c r="A763" s="2"/>
      <x:c r="B763" s="2"/>
      <x:c r="C763" s="2"/>
      <x:c r="D763" s="2"/>
      <x:c r="E763" s="2"/>
      <x:c r="F763" s="2"/>
      <x:c r="G763" s="2"/>
      <x:c r="H763" s="2"/>
      <x:c r="I763" s="2"/>
      <x:c r="J763" s="2"/>
      <x:c r="K763" s="2"/>
    </x:row>
    <x:row r="764">
      <x:c r="A764" s="2"/>
      <x:c r="B764" s="2"/>
      <x:c r="C764" s="2"/>
      <x:c r="D764" s="2"/>
      <x:c r="E764" s="2"/>
      <x:c r="F764" s="2"/>
      <x:c r="G764" s="2"/>
      <x:c r="H764" s="2"/>
      <x:c r="I764" s="2"/>
      <x:c r="J764" s="2"/>
      <x:c r="K764" s="2"/>
    </x:row>
    <x:row r="765">
      <x:c r="A765" s="2"/>
      <x:c r="B765" s="2"/>
      <x:c r="C765" s="2"/>
      <x:c r="D765" s="2"/>
      <x:c r="E765" s="2"/>
      <x:c r="F765" s="2"/>
      <x:c r="G765" s="2"/>
      <x:c r="H765" s="2"/>
      <x:c r="I765" s="2"/>
      <x:c r="J765" s="2"/>
      <x:c r="K765" s="2"/>
    </x:row>
    <x:row r="766">
      <x:c r="A766" s="2"/>
      <x:c r="B766" s="2"/>
      <x:c r="C766" s="2"/>
      <x:c r="D766" s="2"/>
      <x:c r="E766" s="2"/>
      <x:c r="F766" s="2"/>
      <x:c r="G766" s="2"/>
      <x:c r="H766" s="2"/>
      <x:c r="I766" s="2"/>
      <x:c r="J766" s="2"/>
      <x:c r="K766" s="2"/>
    </x:row>
    <x:row r="767">
      <x:c r="A767" s="2"/>
      <x:c r="B767" s="2"/>
      <x:c r="C767" s="2"/>
      <x:c r="D767" s="2"/>
      <x:c r="E767" s="2"/>
      <x:c r="F767" s="2"/>
      <x:c r="G767" s="2"/>
      <x:c r="H767" s="2"/>
      <x:c r="I767" s="2"/>
      <x:c r="J767" s="2"/>
      <x:c r="K767" s="2"/>
    </x:row>
    <x:row r="768">
      <x:c r="A768" s="2"/>
      <x:c r="B768" s="2"/>
      <x:c r="C768" s="2"/>
      <x:c r="D768" s="2"/>
      <x:c r="E768" s="2"/>
      <x:c r="F768" s="2"/>
      <x:c r="G768" s="2"/>
      <x:c r="H768" s="2"/>
      <x:c r="I768" s="2"/>
      <x:c r="J768" s="2"/>
      <x:c r="K768" s="2"/>
    </x:row>
    <x:row r="769">
      <x:c r="A769" s="2"/>
      <x:c r="B769" s="2"/>
      <x:c r="C769" s="2"/>
      <x:c r="D769" s="2"/>
      <x:c r="E769" s="2"/>
      <x:c r="F769" s="2"/>
      <x:c r="G769" s="2"/>
      <x:c r="H769" s="2"/>
      <x:c r="I769" s="2"/>
      <x:c r="J769" s="2"/>
      <x:c r="K769" s="2"/>
    </x:row>
    <x:row r="770">
      <x:c r="A770" s="2"/>
      <x:c r="B770" s="2"/>
      <x:c r="C770" s="2"/>
      <x:c r="D770" s="2"/>
      <x:c r="E770" s="2"/>
      <x:c r="F770" s="2"/>
      <x:c r="G770" s="2"/>
      <x:c r="H770" s="2"/>
      <x:c r="I770" s="2"/>
      <x:c r="J770" s="2"/>
      <x:c r="K770" s="2"/>
    </x:row>
    <x:row r="771">
      <x:c r="A771" s="2"/>
      <x:c r="B771" s="2"/>
      <x:c r="C771" s="2"/>
      <x:c r="D771" s="2"/>
      <x:c r="E771" s="2"/>
      <x:c r="F771" s="2"/>
      <x:c r="G771" s="2"/>
      <x:c r="H771" s="2"/>
      <x:c r="I771" s="2"/>
      <x:c r="J771" s="2"/>
      <x:c r="K771" s="2"/>
    </x:row>
    <x:row r="772">
      <x:c r="A772" s="2"/>
      <x:c r="B772" s="2"/>
      <x:c r="C772" s="2"/>
      <x:c r="D772" s="2"/>
      <x:c r="E772" s="2"/>
      <x:c r="F772" s="2"/>
      <x:c r="G772" s="2"/>
      <x:c r="H772" s="2"/>
      <x:c r="I772" s="2"/>
      <x:c r="J772" s="2"/>
      <x:c r="K772" s="2"/>
    </x:row>
    <x:row r="773">
      <x:c r="A773" s="2"/>
      <x:c r="B773" s="2"/>
      <x:c r="C773" s="2"/>
      <x:c r="D773" s="2"/>
      <x:c r="E773" s="2"/>
      <x:c r="F773" s="2"/>
      <x:c r="G773" s="2"/>
      <x:c r="H773" s="2"/>
      <x:c r="I773" s="2"/>
      <x:c r="J773" s="2"/>
      <x:c r="K773" s="2"/>
    </x:row>
    <x:row r="774">
      <x:c r="A774" s="2"/>
      <x:c r="B774" s="2"/>
      <x:c r="C774" s="2"/>
      <x:c r="D774" s="2"/>
      <x:c r="E774" s="2"/>
      <x:c r="F774" s="2"/>
      <x:c r="G774" s="2"/>
      <x:c r="H774" s="2"/>
      <x:c r="I774" s="2"/>
      <x:c r="J774" s="2"/>
      <x:c r="K774" s="2"/>
    </x:row>
    <x:row r="775">
      <x:c r="A775" s="2"/>
      <x:c r="B775" s="2"/>
      <x:c r="C775" s="2"/>
      <x:c r="D775" s="2"/>
      <x:c r="E775" s="2"/>
      <x:c r="F775" s="2"/>
      <x:c r="G775" s="2"/>
      <x:c r="H775" s="2"/>
      <x:c r="I775" s="2"/>
      <x:c r="J775" s="2"/>
      <x:c r="K775" s="2"/>
    </x:row>
    <x:row r="776">
      <x:c r="A776" s="2"/>
      <x:c r="B776" s="2"/>
      <x:c r="C776" s="2"/>
      <x:c r="D776" s="2"/>
      <x:c r="E776" s="2"/>
      <x:c r="F776" s="2"/>
      <x:c r="G776" s="2"/>
      <x:c r="H776" s="2"/>
      <x:c r="I776" s="2"/>
      <x:c r="J776" s="2"/>
      <x:c r="K776" s="2"/>
    </x:row>
    <x:row r="777">
      <x:c r="A777" s="2"/>
      <x:c r="B777" s="2"/>
      <x:c r="C777" s="2"/>
      <x:c r="D777" s="2"/>
      <x:c r="E777" s="2"/>
      <x:c r="F777" s="2"/>
      <x:c r="G777" s="2"/>
      <x:c r="H777" s="2"/>
      <x:c r="I777" s="2"/>
      <x:c r="J777" s="2"/>
      <x:c r="K777" s="2"/>
    </x:row>
    <x:row r="778">
      <x:c r="A778" s="2"/>
      <x:c r="B778" s="2"/>
      <x:c r="C778" s="2"/>
      <x:c r="D778" s="2"/>
      <x:c r="E778" s="2"/>
      <x:c r="F778" s="2"/>
      <x:c r="G778" s="2"/>
      <x:c r="H778" s="2"/>
      <x:c r="I778" s="2"/>
      <x:c r="J778" s="2"/>
      <x:c r="K778" s="2"/>
    </x:row>
    <x:row r="779">
      <x:c r="A779" s="2"/>
      <x:c r="B779" s="2"/>
      <x:c r="C779" s="2"/>
      <x:c r="D779" s="2"/>
      <x:c r="E779" s="2"/>
      <x:c r="F779" s="2"/>
      <x:c r="G779" s="2"/>
      <x:c r="H779" s="2"/>
      <x:c r="I779" s="2"/>
      <x:c r="J779" s="2"/>
      <x:c r="K779" s="2"/>
    </x:row>
    <x:row r="780">
      <x:c r="A780" s="2"/>
      <x:c r="B780" s="2"/>
      <x:c r="C780" s="2"/>
      <x:c r="D780" s="2"/>
      <x:c r="E780" s="2"/>
      <x:c r="F780" s="2"/>
      <x:c r="G780" s="2"/>
      <x:c r="H780" s="2"/>
      <x:c r="I780" s="2"/>
      <x:c r="J780" s="2"/>
      <x:c r="K780" s="2"/>
    </x:row>
    <x:row r="781">
      <x:c r="A781" s="2"/>
      <x:c r="B781" s="2"/>
      <x:c r="C781" s="2"/>
      <x:c r="D781" s="2"/>
      <x:c r="E781" s="2"/>
      <x:c r="F781" s="2"/>
      <x:c r="G781" s="2"/>
      <x:c r="H781" s="2"/>
      <x:c r="I781" s="2"/>
      <x:c r="J781" s="2"/>
      <x:c r="K781" s="2"/>
    </x:row>
    <x:row r="782">
      <x:c r="A782" s="2"/>
      <x:c r="B782" s="2"/>
      <x:c r="C782" s="2"/>
      <x:c r="D782" s="2"/>
      <x:c r="E782" s="2"/>
      <x:c r="F782" s="2"/>
      <x:c r="G782" s="2"/>
      <x:c r="H782" s="2"/>
      <x:c r="I782" s="2"/>
      <x:c r="J782" s="2"/>
      <x:c r="K782" s="2"/>
    </x:row>
    <x:row r="783">
      <x:c r="A783" s="2"/>
      <x:c r="B783" s="2"/>
      <x:c r="C783" s="2"/>
      <x:c r="D783" s="2"/>
      <x:c r="E783" s="2"/>
      <x:c r="F783" s="2"/>
      <x:c r="G783" s="2"/>
      <x:c r="H783" s="2"/>
      <x:c r="I783" s="2"/>
      <x:c r="J783" s="2"/>
      <x:c r="K783" s="2"/>
    </x:row>
    <x:row r="784">
      <x:c r="A784" s="2"/>
      <x:c r="B784" s="2"/>
      <x:c r="C784" s="2"/>
      <x:c r="D784" s="2"/>
      <x:c r="E784" s="2"/>
      <x:c r="F784" s="2"/>
      <x:c r="G784" s="2"/>
      <x:c r="H784" s="2"/>
      <x:c r="I784" s="2"/>
      <x:c r="J784" s="2"/>
      <x:c r="K784" s="2"/>
    </x:row>
    <x:row r="785">
      <x:c r="A785" s="2"/>
      <x:c r="B785" s="2"/>
      <x:c r="C785" s="2"/>
      <x:c r="D785" s="2"/>
      <x:c r="E785" s="2"/>
      <x:c r="F785" s="2"/>
      <x:c r="G785" s="2"/>
      <x:c r="H785" s="2"/>
      <x:c r="I785" s="2"/>
      <x:c r="J785" s="2"/>
      <x:c r="K785" s="2"/>
    </x:row>
    <x:row r="786">
      <x:c r="A786" s="2"/>
      <x:c r="B786" s="2"/>
      <x:c r="C786" s="2"/>
      <x:c r="D786" s="2"/>
      <x:c r="E786" s="2"/>
      <x:c r="F786" s="2"/>
      <x:c r="G786" s="2"/>
      <x:c r="H786" s="2"/>
      <x:c r="I786" s="2"/>
      <x:c r="J786" s="2"/>
      <x:c r="K786" s="2"/>
    </x:row>
    <x:row r="787">
      <x:c r="A787" s="2"/>
      <x:c r="B787" s="2"/>
      <x:c r="C787" s="2"/>
      <x:c r="D787" s="2"/>
      <x:c r="E787" s="2"/>
      <x:c r="F787" s="2"/>
      <x:c r="G787" s="2"/>
      <x:c r="H787" s="2"/>
      <x:c r="I787" s="2"/>
      <x:c r="J787" s="2"/>
      <x:c r="K787" s="2"/>
    </x:row>
    <x:row r="788">
      <x:c r="A788" s="2"/>
      <x:c r="B788" s="2"/>
      <x:c r="C788" s="2"/>
      <x:c r="D788" s="2"/>
      <x:c r="E788" s="2"/>
      <x:c r="F788" s="2"/>
      <x:c r="G788" s="2"/>
      <x:c r="H788" s="2"/>
      <x:c r="I788" s="2"/>
      <x:c r="J788" s="2"/>
      <x:c r="K788" s="2"/>
    </x:row>
    <x:row r="789">
      <x:c r="A789" s="2"/>
      <x:c r="B789" s="2"/>
      <x:c r="C789" s="2"/>
      <x:c r="D789" s="2"/>
      <x:c r="E789" s="2"/>
      <x:c r="F789" s="2"/>
      <x:c r="G789" s="2"/>
      <x:c r="H789" s="2"/>
      <x:c r="I789" s="2"/>
      <x:c r="J789" s="2"/>
      <x:c r="K789" s="2"/>
    </x:row>
    <x:row r="790">
      <x:c r="A790" s="2"/>
      <x:c r="B790" s="2"/>
      <x:c r="C790" s="2"/>
      <x:c r="D790" s="2"/>
      <x:c r="E790" s="2"/>
      <x:c r="F790" s="2"/>
      <x:c r="G790" s="2"/>
      <x:c r="H790" s="2"/>
      <x:c r="I790" s="2"/>
      <x:c r="J790" s="2"/>
      <x:c r="K790" s="2"/>
    </x:row>
    <x:row r="791">
      <x:c r="A791" s="2"/>
      <x:c r="B791" s="2"/>
      <x:c r="C791" s="2"/>
      <x:c r="D791" s="2"/>
      <x:c r="E791" s="2"/>
      <x:c r="F791" s="2"/>
      <x:c r="G791" s="2"/>
      <x:c r="H791" s="2"/>
      <x:c r="I791" s="2"/>
      <x:c r="J791" s="2"/>
      <x:c r="K791" s="2"/>
    </x:row>
    <x:row r="792">
      <x:c r="A792" s="2"/>
      <x:c r="B792" s="2"/>
      <x:c r="C792" s="2"/>
      <x:c r="D792" s="2"/>
      <x:c r="E792" s="2"/>
      <x:c r="F792" s="2"/>
      <x:c r="G792" s="2"/>
      <x:c r="H792" s="2"/>
      <x:c r="I792" s="2"/>
      <x:c r="J792" s="2"/>
      <x:c r="K792" s="2"/>
    </x:row>
    <x:row r="793">
      <x:c r="A793" s="2"/>
      <x:c r="B793" s="2"/>
      <x:c r="C793" s="2"/>
      <x:c r="D793" s="2"/>
      <x:c r="E793" s="2"/>
      <x:c r="F793" s="2"/>
      <x:c r="G793" s="2"/>
      <x:c r="H793" s="2"/>
      <x:c r="I793" s="2"/>
      <x:c r="J793" s="2"/>
      <x:c r="K793" s="2"/>
    </x:row>
    <x:row r="794">
      <x:c r="A794" s="2"/>
      <x:c r="B794" s="2"/>
      <x:c r="C794" s="2"/>
      <x:c r="D794" s="2"/>
      <x:c r="E794" s="2"/>
      <x:c r="F794" s="2"/>
      <x:c r="G794" s="2"/>
      <x:c r="H794" s="2"/>
      <x:c r="I794" s="2"/>
      <x:c r="J794" s="2"/>
      <x:c r="K794" s="2"/>
    </x:row>
    <x:row r="795">
      <x:c r="A795" s="2"/>
      <x:c r="B795" s="2"/>
      <x:c r="C795" s="2"/>
      <x:c r="D795" s="2"/>
      <x:c r="E795" s="2"/>
      <x:c r="F795" s="2"/>
      <x:c r="G795" s="2"/>
      <x:c r="H795" s="2"/>
      <x:c r="I795" s="2"/>
      <x:c r="J795" s="2"/>
      <x:c r="K795" s="2"/>
    </x:row>
    <x:row r="796">
      <x:c r="A796" s="2"/>
      <x:c r="B796" s="2"/>
      <x:c r="C796" s="2"/>
      <x:c r="D796" s="2"/>
      <x:c r="E796" s="2"/>
      <x:c r="F796" s="2"/>
      <x:c r="G796" s="2"/>
      <x:c r="H796" s="2"/>
      <x:c r="I796" s="2"/>
      <x:c r="J796" s="2"/>
      <x:c r="K796" s="2"/>
    </x:row>
    <x:row r="797">
      <x:c r="A797" s="2"/>
      <x:c r="B797" s="2"/>
      <x:c r="C797" s="2"/>
      <x:c r="D797" s="2"/>
      <x:c r="E797" s="2"/>
      <x:c r="F797" s="2"/>
      <x:c r="G797" s="2"/>
      <x:c r="H797" s="2"/>
      <x:c r="I797" s="2"/>
      <x:c r="J797" s="2"/>
      <x:c r="K797" s="2"/>
    </x:row>
    <x:row r="798">
      <x:c r="A798" s="2"/>
      <x:c r="B798" s="2"/>
      <x:c r="C798" s="2"/>
      <x:c r="D798" s="2"/>
      <x:c r="E798" s="2"/>
      <x:c r="F798" s="2"/>
      <x:c r="G798" s="2"/>
      <x:c r="H798" s="2"/>
      <x:c r="I798" s="2"/>
      <x:c r="J798" s="2"/>
      <x:c r="K798" s="2"/>
    </x:row>
    <x:row r="799">
      <x:c r="A799" s="2"/>
      <x:c r="B799" s="2"/>
      <x:c r="C799" s="2"/>
      <x:c r="D799" s="2"/>
      <x:c r="E799" s="2"/>
      <x:c r="F799" s="2"/>
      <x:c r="G799" s="2"/>
      <x:c r="H799" s="2"/>
      <x:c r="I799" s="2"/>
      <x:c r="J799" s="2"/>
      <x:c r="K799" s="2"/>
    </x:row>
    <x:row r="800">
      <x:c r="A800" s="2"/>
      <x:c r="B800" s="2"/>
      <x:c r="C800" s="2"/>
      <x:c r="D800" s="2"/>
      <x:c r="E800" s="2"/>
      <x:c r="F800" s="2"/>
      <x:c r="G800" s="2"/>
      <x:c r="H800" s="2"/>
      <x:c r="I800" s="2"/>
      <x:c r="J800" s="2"/>
      <x:c r="K800" s="2"/>
    </x:row>
    <x:row r="801">
      <x:c r="A801" s="2"/>
      <x:c r="B801" s="2"/>
      <x:c r="C801" s="2"/>
      <x:c r="D801" s="2"/>
      <x:c r="E801" s="2"/>
      <x:c r="F801" s="2"/>
      <x:c r="G801" s="2"/>
      <x:c r="H801" s="2"/>
      <x:c r="I801" s="2"/>
      <x:c r="J801" s="2"/>
      <x:c r="K801" s="2"/>
    </x:row>
    <x:row r="802">
      <x:c r="A802" s="2"/>
      <x:c r="B802" s="2"/>
      <x:c r="C802" s="2"/>
      <x:c r="D802" s="2"/>
      <x:c r="E802" s="2"/>
      <x:c r="F802" s="2"/>
      <x:c r="G802" s="2"/>
      <x:c r="H802" s="2"/>
      <x:c r="I802" s="2"/>
      <x:c r="J802" s="2"/>
      <x:c r="K802" s="2"/>
    </x:row>
    <x:row r="803">
      <x:c r="A803" s="2"/>
      <x:c r="B803" s="2"/>
      <x:c r="C803" s="2"/>
      <x:c r="D803" s="2"/>
      <x:c r="E803" s="2"/>
      <x:c r="F803" s="2"/>
      <x:c r="G803" s="2"/>
      <x:c r="H803" s="2"/>
      <x:c r="I803" s="2"/>
      <x:c r="J803" s="2"/>
      <x:c r="K803" s="2"/>
    </x:row>
    <x:row r="804">
      <x:c r="A804" s="2"/>
      <x:c r="B804" s="2"/>
      <x:c r="C804" s="2"/>
      <x:c r="D804" s="2"/>
      <x:c r="E804" s="2"/>
      <x:c r="F804" s="2"/>
      <x:c r="G804" s="2"/>
      <x:c r="H804" s="2"/>
      <x:c r="I804" s="2"/>
      <x:c r="J804" s="2"/>
      <x:c r="K804" s="2"/>
    </x:row>
    <x:row r="805">
      <x:c r="A805" s="2"/>
      <x:c r="B805" s="2"/>
      <x:c r="C805" s="2"/>
      <x:c r="D805" s="2"/>
      <x:c r="E805" s="2"/>
      <x:c r="F805" s="2"/>
      <x:c r="G805" s="2"/>
      <x:c r="H805" s="2"/>
      <x:c r="I805" s="2"/>
      <x:c r="J805" s="2"/>
      <x:c r="K805" s="2"/>
    </x:row>
    <x:row r="806">
      <x:c r="A806" s="2"/>
      <x:c r="B806" s="2"/>
      <x:c r="C806" s="2"/>
      <x:c r="D806" s="2"/>
      <x:c r="E806" s="2"/>
      <x:c r="F806" s="2"/>
      <x:c r="G806" s="2"/>
      <x:c r="H806" s="2"/>
      <x:c r="I806" s="2"/>
      <x:c r="J806" s="2"/>
      <x:c r="K806" s="2"/>
    </x:row>
    <x:row r="807">
      <x:c r="A807" s="2"/>
      <x:c r="B807" s="2"/>
      <x:c r="C807" s="2"/>
      <x:c r="D807" s="2"/>
      <x:c r="E807" s="2"/>
      <x:c r="F807" s="2"/>
      <x:c r="G807" s="2"/>
      <x:c r="H807" s="2"/>
      <x:c r="I807" s="2"/>
      <x:c r="J807" s="2"/>
      <x:c r="K807" s="2"/>
    </x:row>
    <x:row r="808">
      <x:c r="A808" s="2"/>
      <x:c r="B808" s="2"/>
      <x:c r="C808" s="2"/>
      <x:c r="D808" s="2"/>
      <x:c r="E808" s="2"/>
      <x:c r="F808" s="2"/>
      <x:c r="G808" s="2"/>
      <x:c r="H808" s="2"/>
      <x:c r="I808" s="2"/>
      <x:c r="J808" s="2"/>
      <x:c r="K808" s="2"/>
    </x:row>
    <x:row r="809">
      <x:c r="A809" s="2"/>
      <x:c r="B809" s="2"/>
      <x:c r="C809" s="2"/>
      <x:c r="D809" s="2"/>
      <x:c r="E809" s="2"/>
      <x:c r="F809" s="2"/>
      <x:c r="G809" s="2"/>
      <x:c r="H809" s="2"/>
      <x:c r="I809" s="2"/>
      <x:c r="J809" s="2"/>
      <x:c r="K809" s="2"/>
    </x:row>
    <x:row r="810">
      <x:c r="A810" s="2"/>
      <x:c r="B810" s="2"/>
      <x:c r="C810" s="2"/>
      <x:c r="D810" s="2"/>
      <x:c r="E810" s="2"/>
      <x:c r="F810" s="2"/>
      <x:c r="G810" s="2"/>
      <x:c r="H810" s="2"/>
      <x:c r="I810" s="2"/>
      <x:c r="J810" s="2"/>
      <x:c r="K810" s="2"/>
    </x:row>
    <x:row r="811">
      <x:c r="A811" s="2"/>
      <x:c r="B811" s="2"/>
      <x:c r="C811" s="2"/>
      <x:c r="D811" s="2"/>
      <x:c r="E811" s="2"/>
      <x:c r="F811" s="2"/>
      <x:c r="G811" s="2"/>
      <x:c r="H811" s="2"/>
      <x:c r="I811" s="2"/>
      <x:c r="J811" s="2"/>
      <x:c r="K811" s="2"/>
    </x:row>
    <x:row r="812">
      <x:c r="A812" s="2"/>
      <x:c r="B812" s="2"/>
      <x:c r="C812" s="2"/>
      <x:c r="D812" s="2"/>
      <x:c r="E812" s="2"/>
      <x:c r="F812" s="2"/>
      <x:c r="G812" s="2"/>
      <x:c r="H812" s="2"/>
      <x:c r="I812" s="2"/>
      <x:c r="J812" s="2"/>
      <x:c r="K812" s="2"/>
    </x:row>
    <x:row r="813">
      <x:c r="A813" s="2"/>
      <x:c r="B813" s="2"/>
      <x:c r="C813" s="2"/>
      <x:c r="D813" s="2"/>
      <x:c r="E813" s="2"/>
      <x:c r="F813" s="2"/>
      <x:c r="G813" s="2"/>
      <x:c r="H813" s="2"/>
      <x:c r="I813" s="2"/>
      <x:c r="J813" s="2"/>
      <x:c r="K813" s="2"/>
    </x:row>
    <x:row r="814">
      <x:c r="A814" s="2"/>
      <x:c r="B814" s="2"/>
      <x:c r="C814" s="2"/>
      <x:c r="D814" s="2"/>
      <x:c r="E814" s="2"/>
      <x:c r="F814" s="2"/>
      <x:c r="G814" s="2"/>
      <x:c r="H814" s="2"/>
      <x:c r="I814" s="2"/>
      <x:c r="J814" s="2"/>
      <x:c r="K814" s="2"/>
    </x:row>
    <x:row r="815">
      <x:c r="A815" s="2"/>
      <x:c r="B815" s="2"/>
      <x:c r="C815" s="2"/>
      <x:c r="D815" s="2"/>
      <x:c r="E815" s="2"/>
      <x:c r="F815" s="2"/>
      <x:c r="G815" s="2"/>
      <x:c r="H815" s="2"/>
      <x:c r="I815" s="2"/>
      <x:c r="J815" s="2"/>
      <x:c r="K815" s="2"/>
    </x:row>
    <x:row r="816">
      <x:c r="A816" s="2"/>
      <x:c r="B816" s="2"/>
      <x:c r="C816" s="2"/>
      <x:c r="D816" s="2"/>
      <x:c r="E816" s="2"/>
      <x:c r="F816" s="2"/>
      <x:c r="G816" s="2"/>
      <x:c r="H816" s="2"/>
      <x:c r="I816" s="2"/>
      <x:c r="J816" s="2"/>
      <x:c r="K816" s="2"/>
    </x:row>
    <x:row r="817">
      <x:c r="A817" s="2"/>
      <x:c r="B817" s="2"/>
      <x:c r="C817" s="2"/>
      <x:c r="D817" s="2"/>
      <x:c r="E817" s="2"/>
      <x:c r="F817" s="2"/>
      <x:c r="G817" s="2"/>
      <x:c r="H817" s="2"/>
      <x:c r="I817" s="2"/>
      <x:c r="J817" s="2"/>
      <x:c r="K817" s="2"/>
    </x:row>
    <x:row r="818">
      <x:c r="A818" s="2"/>
      <x:c r="B818" s="2"/>
      <x:c r="C818" s="2"/>
      <x:c r="D818" s="2"/>
      <x:c r="E818" s="2"/>
      <x:c r="F818" s="2"/>
      <x:c r="G818" s="2"/>
      <x:c r="H818" s="2"/>
      <x:c r="I818" s="2"/>
      <x:c r="J818" s="2"/>
      <x:c r="K818" s="2"/>
    </x:row>
    <x:row r="819">
      <x:c r="A819" s="2"/>
      <x:c r="B819" s="2"/>
      <x:c r="C819" s="2"/>
      <x:c r="D819" s="2"/>
      <x:c r="E819" s="2"/>
      <x:c r="F819" s="2"/>
      <x:c r="G819" s="2"/>
      <x:c r="H819" s="2"/>
      <x:c r="I819" s="2"/>
      <x:c r="J819" s="2"/>
      <x:c r="K819" s="2"/>
    </x:row>
    <x:row r="820">
      <x:c r="A820" s="2"/>
      <x:c r="B820" s="2"/>
      <x:c r="C820" s="2"/>
      <x:c r="D820" s="2"/>
      <x:c r="E820" s="2"/>
      <x:c r="F820" s="2"/>
      <x:c r="G820" s="2"/>
      <x:c r="H820" s="2"/>
      <x:c r="I820" s="2"/>
      <x:c r="J820" s="2"/>
      <x:c r="K820" s="2"/>
    </x:row>
    <x:row r="821">
      <x:c r="A821" s="2"/>
      <x:c r="B821" s="2"/>
      <x:c r="C821" s="2"/>
      <x:c r="D821" s="2"/>
      <x:c r="E821" s="2"/>
      <x:c r="F821" s="2"/>
      <x:c r="G821" s="2"/>
      <x:c r="H821" s="2"/>
      <x:c r="I821" s="2"/>
      <x:c r="J821" s="2"/>
      <x:c r="K821" s="2"/>
    </x:row>
    <x:row r="822">
      <x:c r="A822" s="2"/>
      <x:c r="B822" s="2"/>
      <x:c r="C822" s="2"/>
      <x:c r="D822" s="2"/>
      <x:c r="E822" s="2"/>
      <x:c r="F822" s="2"/>
      <x:c r="G822" s="2"/>
      <x:c r="H822" s="2"/>
      <x:c r="I822" s="2"/>
      <x:c r="J822" s="2"/>
      <x:c r="K822" s="2"/>
    </x:row>
    <x:row r="823">
      <x:c r="A823" s="2"/>
      <x:c r="B823" s="2"/>
      <x:c r="C823" s="2"/>
      <x:c r="D823" s="2"/>
      <x:c r="E823" s="2"/>
      <x:c r="F823" s="2"/>
      <x:c r="G823" s="2"/>
      <x:c r="H823" s="2"/>
      <x:c r="I823" s="2"/>
      <x:c r="J823" s="2"/>
      <x:c r="K823" s="2"/>
    </x:row>
    <x:row r="824">
      <x:c r="A824" s="2"/>
      <x:c r="B824" s="2"/>
      <x:c r="C824" s="2"/>
      <x:c r="D824" s="2"/>
      <x:c r="E824" s="2"/>
      <x:c r="F824" s="2"/>
      <x:c r="G824" s="2"/>
      <x:c r="H824" s="2"/>
      <x:c r="I824" s="2"/>
      <x:c r="J824" s="2"/>
      <x:c r="K824" s="2"/>
    </x:row>
    <x:row r="825">
      <x:c r="A825" s="2"/>
      <x:c r="B825" s="2"/>
      <x:c r="C825" s="2"/>
      <x:c r="D825" s="2"/>
      <x:c r="E825" s="2"/>
      <x:c r="F825" s="2"/>
      <x:c r="G825" s="2"/>
      <x:c r="H825" s="2"/>
      <x:c r="I825" s="2"/>
      <x:c r="J825" s="2"/>
      <x:c r="K825" s="2"/>
    </x:row>
    <x:row r="826">
      <x:c r="A826" s="2"/>
      <x:c r="B826" s="2"/>
      <x:c r="C826" s="2"/>
      <x:c r="D826" s="2"/>
      <x:c r="E826" s="2"/>
      <x:c r="F826" s="2"/>
      <x:c r="G826" s="2"/>
      <x:c r="H826" s="2"/>
      <x:c r="I826" s="2"/>
      <x:c r="J826" s="2"/>
      <x:c r="K826" s="2"/>
    </x:row>
    <x:row r="827">
      <x:c r="A827" s="2"/>
      <x:c r="B827" s="2"/>
      <x:c r="C827" s="2"/>
      <x:c r="D827" s="2"/>
      <x:c r="E827" s="2"/>
      <x:c r="F827" s="2"/>
      <x:c r="G827" s="2"/>
      <x:c r="H827" s="2"/>
      <x:c r="I827" s="2"/>
      <x:c r="J827" s="2"/>
      <x:c r="K827" s="2"/>
    </x:row>
    <x:row r="828">
      <x:c r="A828" s="2"/>
      <x:c r="B828" s="2"/>
      <x:c r="C828" s="2"/>
      <x:c r="D828" s="2"/>
      <x:c r="E828" s="2"/>
      <x:c r="F828" s="2"/>
      <x:c r="G828" s="2"/>
      <x:c r="H828" s="2"/>
      <x:c r="I828" s="2"/>
      <x:c r="J828" s="2"/>
      <x:c r="K828" s="2"/>
    </x:row>
    <x:row r="829">
      <x:c r="A829" s="2"/>
      <x:c r="B829" s="2"/>
      <x:c r="C829" s="2"/>
      <x:c r="D829" s="2"/>
      <x:c r="E829" s="2"/>
      <x:c r="F829" s="2"/>
      <x:c r="G829" s="2"/>
      <x:c r="H829" s="2"/>
      <x:c r="I829" s="2"/>
      <x:c r="J829" s="2"/>
      <x:c r="K829" s="2"/>
    </x:row>
    <x:row r="830">
      <x:c r="A830" s="2"/>
      <x:c r="B830" s="2"/>
      <x:c r="C830" s="2"/>
      <x:c r="D830" s="2"/>
      <x:c r="E830" s="2"/>
      <x:c r="F830" s="2"/>
      <x:c r="G830" s="2"/>
      <x:c r="H830" s="2"/>
      <x:c r="I830" s="2"/>
      <x:c r="J830" s="2"/>
      <x:c r="K830" s="2"/>
    </x:row>
    <x:row r="831">
      <x:c r="A831" s="2"/>
      <x:c r="B831" s="2"/>
      <x:c r="C831" s="2"/>
      <x:c r="D831" s="2"/>
      <x:c r="E831" s="2"/>
      <x:c r="F831" s="2"/>
      <x:c r="G831" s="2"/>
      <x:c r="H831" s="2"/>
      <x:c r="I831" s="2"/>
      <x:c r="J831" s="2"/>
      <x:c r="K831" s="2"/>
    </x:row>
    <x:row r="832">
      <x:c r="A832" s="2"/>
      <x:c r="B832" s="2"/>
      <x:c r="C832" s="2"/>
      <x:c r="D832" s="2"/>
      <x:c r="E832" s="2"/>
      <x:c r="F832" s="2"/>
      <x:c r="G832" s="2"/>
      <x:c r="H832" s="2"/>
      <x:c r="I832" s="2"/>
      <x:c r="J832" s="2"/>
      <x:c r="K832" s="2"/>
    </x:row>
    <x:row r="833">
      <x:c r="A833" s="2"/>
      <x:c r="B833" s="2"/>
      <x:c r="C833" s="2"/>
      <x:c r="D833" s="2"/>
      <x:c r="E833" s="2"/>
      <x:c r="F833" s="2"/>
      <x:c r="G833" s="2"/>
      <x:c r="H833" s="2"/>
      <x:c r="I833" s="2"/>
      <x:c r="J833" s="2"/>
      <x:c r="K833" s="2"/>
    </x:row>
    <x:row r="834">
      <x:c r="A834" s="2"/>
      <x:c r="B834" s="2"/>
      <x:c r="C834" s="2"/>
      <x:c r="D834" s="2"/>
      <x:c r="E834" s="2"/>
      <x:c r="F834" s="2"/>
      <x:c r="G834" s="2"/>
      <x:c r="H834" s="2"/>
      <x:c r="I834" s="2"/>
      <x:c r="J834" s="2"/>
      <x:c r="K834" s="2"/>
    </x:row>
    <x:row r="835">
      <x:c r="A835" s="2"/>
      <x:c r="B835" s="2"/>
      <x:c r="C835" s="2"/>
      <x:c r="D835" s="2"/>
      <x:c r="E835" s="2"/>
      <x:c r="F835" s="2"/>
      <x:c r="G835" s="2"/>
      <x:c r="H835" s="2"/>
      <x:c r="I835" s="2"/>
      <x:c r="J835" s="2"/>
      <x:c r="K835" s="2"/>
    </x:row>
    <x:row r="836">
      <x:c r="A836" s="2"/>
      <x:c r="B836" s="2"/>
      <x:c r="C836" s="2"/>
      <x:c r="D836" s="2"/>
      <x:c r="E836" s="2"/>
      <x:c r="F836" s="2"/>
      <x:c r="G836" s="2"/>
      <x:c r="H836" s="2"/>
      <x:c r="I836" s="2"/>
      <x:c r="J836" s="2"/>
      <x:c r="K836" s="2"/>
    </x:row>
    <x:row r="837">
      <x:c r="A837" s="2"/>
      <x:c r="B837" s="2"/>
      <x:c r="C837" s="2"/>
      <x:c r="D837" s="2"/>
      <x:c r="E837" s="2"/>
      <x:c r="F837" s="2"/>
      <x:c r="G837" s="2"/>
      <x:c r="H837" s="2"/>
      <x:c r="I837" s="2"/>
      <x:c r="J837" s="2"/>
      <x:c r="K837" s="2"/>
    </x:row>
    <x:row r="838">
      <x:c r="A838" s="2"/>
      <x:c r="B838" s="2"/>
      <x:c r="C838" s="2"/>
      <x:c r="D838" s="2"/>
      <x:c r="E838" s="2"/>
      <x:c r="F838" s="2"/>
      <x:c r="G838" s="2"/>
      <x:c r="H838" s="2"/>
      <x:c r="I838" s="2"/>
      <x:c r="J838" s="2"/>
      <x:c r="K838" s="2"/>
    </x:row>
    <x:row r="839">
      <x:c r="A839" s="2"/>
      <x:c r="B839" s="2"/>
      <x:c r="C839" s="2"/>
      <x:c r="D839" s="2"/>
      <x:c r="E839" s="2"/>
      <x:c r="F839" s="2"/>
      <x:c r="G839" s="2"/>
      <x:c r="H839" s="2"/>
      <x:c r="I839" s="2"/>
      <x:c r="J839" s="2"/>
      <x:c r="K839" s="2"/>
    </x:row>
    <x:row r="840">
      <x:c r="A840" s="2"/>
      <x:c r="B840" s="2"/>
      <x:c r="C840" s="2"/>
      <x:c r="D840" s="2"/>
      <x:c r="E840" s="2"/>
      <x:c r="F840" s="2"/>
      <x:c r="G840" s="2"/>
      <x:c r="H840" s="2"/>
      <x:c r="I840" s="2"/>
      <x:c r="J840" s="2"/>
      <x:c r="K840" s="2"/>
    </x:row>
    <x:row r="841">
      <x:c r="A841" s="2"/>
      <x:c r="B841" s="2"/>
      <x:c r="C841" s="2"/>
      <x:c r="D841" s="2"/>
      <x:c r="E841" s="2"/>
      <x:c r="F841" s="2"/>
      <x:c r="G841" s="2"/>
      <x:c r="H841" s="2"/>
      <x:c r="I841" s="2"/>
      <x:c r="J841" s="2"/>
      <x:c r="K841" s="2"/>
    </x:row>
    <x:row r="842">
      <x:c r="A842" s="2"/>
      <x:c r="B842" s="2"/>
      <x:c r="C842" s="2"/>
      <x:c r="D842" s="2"/>
      <x:c r="E842" s="2"/>
      <x:c r="F842" s="2"/>
      <x:c r="G842" s="2"/>
      <x:c r="H842" s="2"/>
      <x:c r="I842" s="2"/>
      <x:c r="J842" s="2"/>
      <x:c r="K842" s="2"/>
    </x:row>
    <x:row r="843">
      <x:c r="A843" s="2"/>
      <x:c r="B843" s="2"/>
      <x:c r="C843" s="2"/>
      <x:c r="D843" s="2"/>
      <x:c r="E843" s="2"/>
      <x:c r="F843" s="2"/>
      <x:c r="G843" s="2"/>
      <x:c r="H843" s="2"/>
      <x:c r="I843" s="2"/>
      <x:c r="J843" s="2"/>
      <x:c r="K843" s="2"/>
    </x:row>
    <x:row r="844">
      <x:c r="A844" s="2"/>
      <x:c r="B844" s="2"/>
      <x:c r="C844" s="2"/>
      <x:c r="D844" s="2"/>
      <x:c r="E844" s="2"/>
      <x:c r="F844" s="2"/>
      <x:c r="G844" s="2"/>
      <x:c r="H844" s="2"/>
      <x:c r="I844" s="2"/>
      <x:c r="J844" s="2"/>
      <x:c r="K844" s="2"/>
    </x:row>
    <x:row r="845">
      <x:c r="A845" s="2"/>
      <x:c r="B845" s="2"/>
      <x:c r="C845" s="2"/>
      <x:c r="D845" s="2"/>
      <x:c r="E845" s="2"/>
      <x:c r="F845" s="2"/>
      <x:c r="G845" s="2"/>
      <x:c r="H845" s="2"/>
      <x:c r="I845" s="2"/>
      <x:c r="J845" s="2"/>
      <x:c r="K845" s="2"/>
    </x:row>
    <x:row r="846">
      <x:c r="A846" s="2"/>
      <x:c r="B846" s="2"/>
      <x:c r="C846" s="2"/>
      <x:c r="D846" s="2"/>
      <x:c r="E846" s="2"/>
      <x:c r="F846" s="2"/>
      <x:c r="G846" s="2"/>
      <x:c r="H846" s="2"/>
      <x:c r="I846" s="2"/>
      <x:c r="J846" s="2"/>
      <x:c r="K846" s="2"/>
    </x:row>
    <x:row r="847">
      <x:c r="A847" s="2"/>
      <x:c r="B847" s="2"/>
      <x:c r="C847" s="2"/>
      <x:c r="D847" s="2"/>
      <x:c r="E847" s="2"/>
      <x:c r="F847" s="2"/>
      <x:c r="G847" s="2"/>
      <x:c r="H847" s="2"/>
      <x:c r="I847" s="2"/>
      <x:c r="J847" s="2"/>
      <x:c r="K847" s="2"/>
    </x:row>
    <x:row r="848">
      <x:c r="A848" s="2"/>
      <x:c r="B848" s="2"/>
      <x:c r="C848" s="2"/>
      <x:c r="D848" s="2"/>
      <x:c r="E848" s="2"/>
      <x:c r="F848" s="2"/>
      <x:c r="G848" s="2"/>
      <x:c r="H848" s="2"/>
      <x:c r="I848" s="2"/>
      <x:c r="J848" s="2"/>
      <x:c r="K848" s="2"/>
    </x:row>
    <x:row r="849">
      <x:c r="A849" s="2"/>
      <x:c r="B849" s="2"/>
      <x:c r="C849" s="2"/>
      <x:c r="D849" s="2"/>
      <x:c r="E849" s="2"/>
      <x:c r="F849" s="2"/>
      <x:c r="G849" s="2"/>
      <x:c r="H849" s="2"/>
      <x:c r="I849" s="2"/>
      <x:c r="J849" s="2"/>
      <x:c r="K849" s="2"/>
    </x:row>
    <x:row r="850">
      <x:c r="A850" s="2"/>
      <x:c r="B850" s="2"/>
      <x:c r="C850" s="2"/>
      <x:c r="D850" s="2"/>
      <x:c r="E850" s="2"/>
      <x:c r="F850" s="2"/>
      <x:c r="G850" s="2"/>
      <x:c r="H850" s="2"/>
      <x:c r="I850" s="2"/>
      <x:c r="J850" s="2"/>
      <x:c r="K850" s="2"/>
    </x:row>
    <x:row r="851">
      <x:c r="A851" s="2"/>
      <x:c r="B851" s="2"/>
      <x:c r="C851" s="2"/>
      <x:c r="D851" s="2"/>
      <x:c r="E851" s="2"/>
      <x:c r="F851" s="2"/>
      <x:c r="G851" s="2"/>
      <x:c r="H851" s="2"/>
      <x:c r="I851" s="2"/>
      <x:c r="J851" s="2"/>
      <x:c r="K851" s="2"/>
    </x:row>
    <x:row r="852">
      <x:c r="A852" s="2"/>
      <x:c r="B852" s="2"/>
      <x:c r="C852" s="2"/>
      <x:c r="D852" s="2"/>
      <x:c r="E852" s="2"/>
      <x:c r="F852" s="2"/>
      <x:c r="G852" s="2"/>
      <x:c r="H852" s="2"/>
      <x:c r="I852" s="2"/>
      <x:c r="J852" s="2"/>
      <x:c r="K852" s="2"/>
    </x:row>
    <x:row r="853">
      <x:c r="A853" s="2"/>
      <x:c r="B853" s="2"/>
      <x:c r="C853" s="2"/>
      <x:c r="D853" s="2"/>
      <x:c r="E853" s="2"/>
      <x:c r="F853" s="2"/>
      <x:c r="G853" s="2"/>
      <x:c r="H853" s="2"/>
      <x:c r="I853" s="2"/>
      <x:c r="J853" s="2"/>
      <x:c r="K853" s="2"/>
    </x:row>
    <x:row r="854">
      <x:c r="A854" s="2"/>
      <x:c r="B854" s="2"/>
      <x:c r="C854" s="2"/>
      <x:c r="D854" s="2"/>
      <x:c r="E854" s="2"/>
      <x:c r="F854" s="2"/>
      <x:c r="G854" s="2"/>
      <x:c r="H854" s="2"/>
      <x:c r="I854" s="2"/>
      <x:c r="J854" s="2"/>
      <x:c r="K854" s="2"/>
    </x:row>
    <x:row r="855">
      <x:c r="A855" s="2"/>
      <x:c r="B855" s="2"/>
      <x:c r="C855" s="2"/>
      <x:c r="D855" s="2"/>
      <x:c r="E855" s="2"/>
      <x:c r="F855" s="2"/>
      <x:c r="G855" s="2"/>
      <x:c r="H855" s="2"/>
      <x:c r="I855" s="2"/>
      <x:c r="J855" s="2"/>
      <x:c r="K855" s="2"/>
    </x:row>
    <x:row r="856">
      <x:c r="A856" s="2"/>
      <x:c r="B856" s="2"/>
      <x:c r="C856" s="2"/>
      <x:c r="D856" s="2"/>
      <x:c r="E856" s="2"/>
      <x:c r="F856" s="2"/>
      <x:c r="G856" s="2"/>
      <x:c r="H856" s="2"/>
      <x:c r="I856" s="2"/>
      <x:c r="J856" s="2"/>
      <x:c r="K856" s="2"/>
    </x:row>
    <x:row r="857">
      <x:c r="A857" s="2"/>
      <x:c r="B857" s="2"/>
      <x:c r="C857" s="2"/>
      <x:c r="D857" s="2"/>
      <x:c r="E857" s="2"/>
      <x:c r="F857" s="2"/>
      <x:c r="G857" s="2"/>
      <x:c r="H857" s="2"/>
      <x:c r="I857" s="2"/>
      <x:c r="J857" s="2"/>
      <x:c r="K857" s="2"/>
    </x:row>
    <x:row r="858">
      <x:c r="A858" s="2"/>
      <x:c r="B858" s="2"/>
      <x:c r="C858" s="2"/>
      <x:c r="D858" s="2"/>
      <x:c r="E858" s="2"/>
      <x:c r="F858" s="2"/>
      <x:c r="G858" s="2"/>
      <x:c r="H858" s="2"/>
      <x:c r="I858" s="2"/>
      <x:c r="J858" s="2"/>
      <x:c r="K858" s="2"/>
    </x:row>
    <x:row r="859">
      <x:c r="A859" s="2"/>
      <x:c r="B859" s="2"/>
      <x:c r="C859" s="2"/>
      <x:c r="D859" s="2"/>
      <x:c r="E859" s="2"/>
      <x:c r="F859" s="2"/>
      <x:c r="G859" s="2"/>
      <x:c r="H859" s="2"/>
      <x:c r="I859" s="2"/>
      <x:c r="J859" s="2"/>
      <x:c r="K859" s="2"/>
    </x:row>
    <x:row r="860">
      <x:c r="A860" s="2"/>
      <x:c r="B860" s="2"/>
      <x:c r="C860" s="2"/>
      <x:c r="D860" s="2"/>
      <x:c r="E860" s="2"/>
      <x:c r="F860" s="2"/>
      <x:c r="G860" s="2"/>
      <x:c r="H860" s="2"/>
      <x:c r="I860" s="2"/>
      <x:c r="J860" s="2"/>
      <x:c r="K860" s="2"/>
    </x:row>
    <x:row r="861">
      <x:c r="A861" s="2"/>
      <x:c r="B861" s="2"/>
      <x:c r="C861" s="2"/>
      <x:c r="D861" s="2"/>
      <x:c r="E861" s="2"/>
      <x:c r="F861" s="2"/>
      <x:c r="G861" s="2"/>
      <x:c r="H861" s="2"/>
      <x:c r="I861" s="2"/>
      <x:c r="J861" s="2"/>
      <x:c r="K861" s="2"/>
    </x:row>
    <x:row r="862">
      <x:c r="A862" s="2"/>
      <x:c r="B862" s="2"/>
      <x:c r="C862" s="2"/>
      <x:c r="D862" s="2"/>
      <x:c r="E862" s="2"/>
      <x:c r="F862" s="2"/>
      <x:c r="G862" s="2"/>
      <x:c r="H862" s="2"/>
      <x:c r="I862" s="2"/>
      <x:c r="J862" s="2"/>
      <x:c r="K862" s="2"/>
    </x:row>
    <x:row r="863">
      <x:c r="A863" s="2"/>
      <x:c r="B863" s="2"/>
      <x:c r="C863" s="2"/>
      <x:c r="D863" s="2"/>
      <x:c r="E863" s="2"/>
      <x:c r="F863" s="2"/>
      <x:c r="G863" s="2"/>
      <x:c r="H863" s="2"/>
      <x:c r="I863" s="2"/>
      <x:c r="J863" s="2"/>
      <x:c r="K863" s="2"/>
    </x:row>
    <x:row r="864">
      <x:c r="A864" s="2"/>
      <x:c r="B864" s="2"/>
      <x:c r="C864" s="2"/>
      <x:c r="D864" s="2"/>
      <x:c r="E864" s="2"/>
      <x:c r="F864" s="2"/>
      <x:c r="G864" s="2"/>
      <x:c r="H864" s="2"/>
      <x:c r="I864" s="2"/>
      <x:c r="J864" s="2"/>
      <x:c r="K864" s="2"/>
    </x:row>
    <x:row r="865">
      <x:c r="A865" s="2"/>
      <x:c r="B865" s="2"/>
      <x:c r="C865" s="2"/>
      <x:c r="D865" s="2"/>
      <x:c r="E865" s="2"/>
      <x:c r="F865" s="2"/>
      <x:c r="G865" s="2"/>
      <x:c r="H865" s="2"/>
      <x:c r="I865" s="2"/>
      <x:c r="J865" s="2"/>
      <x:c r="K865" s="2"/>
    </x:row>
    <x:row r="866">
      <x:c r="A866" s="2"/>
      <x:c r="B866" s="2"/>
      <x:c r="C866" s="2"/>
      <x:c r="D866" s="2"/>
      <x:c r="E866" s="2"/>
      <x:c r="F866" s="2"/>
      <x:c r="G866" s="2"/>
      <x:c r="H866" s="2"/>
      <x:c r="I866" s="2"/>
      <x:c r="J866" s="2"/>
      <x:c r="K866" s="2"/>
    </x:row>
    <x:row r="867">
      <x:c r="A867" s="2"/>
      <x:c r="B867" s="2"/>
      <x:c r="C867" s="2"/>
      <x:c r="D867" s="2"/>
      <x:c r="E867" s="2"/>
      <x:c r="F867" s="2"/>
      <x:c r="G867" s="2"/>
      <x:c r="H867" s="2"/>
      <x:c r="I867" s="2"/>
      <x:c r="J867" s="2"/>
      <x:c r="K867" s="2"/>
    </x:row>
    <x:row r="868">
      <x:c r="A868" s="2"/>
      <x:c r="B868" s="2"/>
      <x:c r="C868" s="2"/>
      <x:c r="D868" s="2"/>
      <x:c r="E868" s="2"/>
      <x:c r="F868" s="2"/>
      <x:c r="G868" s="2"/>
      <x:c r="H868" s="2"/>
      <x:c r="I868" s="2"/>
      <x:c r="J868" s="2"/>
      <x:c r="K868" s="2"/>
    </x:row>
    <x:row r="869">
      <x:c r="A869" s="2"/>
      <x:c r="B869" s="2"/>
      <x:c r="C869" s="2"/>
      <x:c r="D869" s="2"/>
      <x:c r="E869" s="2"/>
      <x:c r="F869" s="2"/>
      <x:c r="G869" s="2"/>
      <x:c r="H869" s="2"/>
      <x:c r="I869" s="2"/>
      <x:c r="J869" s="2"/>
      <x:c r="K869" s="2"/>
    </x:row>
    <x:row r="870">
      <x:c r="A870" s="2"/>
      <x:c r="B870" s="2"/>
      <x:c r="C870" s="2"/>
      <x:c r="D870" s="2"/>
      <x:c r="E870" s="2"/>
      <x:c r="F870" s="2"/>
      <x:c r="G870" s="2"/>
      <x:c r="H870" s="2"/>
      <x:c r="I870" s="2"/>
      <x:c r="J870" s="2"/>
      <x:c r="K870" s="2"/>
    </x:row>
    <x:row r="871">
      <x:c r="A871" s="2"/>
      <x:c r="B871" s="2"/>
      <x:c r="C871" s="2"/>
      <x:c r="D871" s="2"/>
      <x:c r="E871" s="2"/>
      <x:c r="F871" s="2"/>
      <x:c r="G871" s="2"/>
      <x:c r="H871" s="2"/>
      <x:c r="I871" s="2"/>
      <x:c r="J871" s="2"/>
      <x:c r="K871" s="2"/>
    </x:row>
    <x:row r="872">
      <x:c r="A872" s="2"/>
      <x:c r="B872" s="2"/>
      <x:c r="C872" s="2"/>
      <x:c r="D872" s="2"/>
      <x:c r="E872" s="2"/>
      <x:c r="F872" s="2"/>
      <x:c r="G872" s="2"/>
      <x:c r="H872" s="2"/>
      <x:c r="I872" s="2"/>
      <x:c r="J872" s="2"/>
      <x:c r="K872" s="2"/>
    </x:row>
    <x:row r="873">
      <x:c r="A873" s="2"/>
      <x:c r="B873" s="2"/>
      <x:c r="C873" s="2"/>
      <x:c r="D873" s="2"/>
      <x:c r="E873" s="2"/>
      <x:c r="F873" s="2"/>
      <x:c r="G873" s="2"/>
      <x:c r="H873" s="2"/>
      <x:c r="I873" s="2"/>
      <x:c r="J873" s="2"/>
      <x:c r="K873" s="2"/>
    </x:row>
    <x:row r="874">
      <x:c r="A874" s="2"/>
      <x:c r="B874" s="2"/>
      <x:c r="C874" s="2"/>
      <x:c r="D874" s="2"/>
      <x:c r="E874" s="2"/>
      <x:c r="F874" s="2"/>
      <x:c r="G874" s="2"/>
      <x:c r="H874" s="2"/>
      <x:c r="I874" s="2"/>
      <x:c r="J874" s="2"/>
      <x:c r="K874" s="2"/>
    </x:row>
    <x:row r="875">
      <x:c r="A875" s="2"/>
      <x:c r="B875" s="2"/>
      <x:c r="C875" s="2"/>
      <x:c r="D875" s="2"/>
      <x:c r="E875" s="2"/>
      <x:c r="F875" s="2"/>
      <x:c r="G875" s="2"/>
      <x:c r="H875" s="2"/>
      <x:c r="I875" s="2"/>
      <x:c r="J875" s="2"/>
      <x:c r="K875" s="2"/>
    </x:row>
    <x:row r="876">
      <x:c r="A876" s="2"/>
      <x:c r="B876" s="2"/>
      <x:c r="C876" s="2"/>
      <x:c r="D876" s="2"/>
      <x:c r="E876" s="2"/>
      <x:c r="F876" s="2"/>
      <x:c r="G876" s="2"/>
      <x:c r="H876" s="2"/>
      <x:c r="I876" s="2"/>
      <x:c r="J876" s="2"/>
      <x:c r="K876" s="2"/>
    </x:row>
    <x:row r="877">
      <x:c r="A877" s="2"/>
      <x:c r="B877" s="2"/>
      <x:c r="C877" s="2"/>
      <x:c r="D877" s="2"/>
      <x:c r="E877" s="2"/>
      <x:c r="F877" s="2"/>
      <x:c r="G877" s="2"/>
      <x:c r="H877" s="2"/>
      <x:c r="I877" s="2"/>
      <x:c r="J877" s="2"/>
      <x:c r="K877" s="2"/>
    </x:row>
    <x:row r="878">
      <x:c r="A878" s="2"/>
      <x:c r="B878" s="2"/>
      <x:c r="C878" s="2"/>
      <x:c r="D878" s="2"/>
      <x:c r="E878" s="2"/>
      <x:c r="F878" s="2"/>
      <x:c r="G878" s="2"/>
      <x:c r="H878" s="2"/>
      <x:c r="I878" s="2"/>
      <x:c r="J878" s="2"/>
      <x:c r="K878" s="2"/>
    </x:row>
    <x:row r="879">
      <x:c r="A879" s="2"/>
      <x:c r="B879" s="2"/>
      <x:c r="C879" s="2"/>
      <x:c r="D879" s="2"/>
      <x:c r="E879" s="2"/>
      <x:c r="F879" s="2"/>
      <x:c r="G879" s="2"/>
      <x:c r="H879" s="2"/>
      <x:c r="I879" s="2"/>
      <x:c r="J879" s="2"/>
      <x:c r="K879" s="2"/>
    </x:row>
    <x:row r="880">
      <x:c r="A880" s="2"/>
      <x:c r="B880" s="2"/>
      <x:c r="C880" s="2"/>
      <x:c r="D880" s="2"/>
      <x:c r="E880" s="2"/>
      <x:c r="F880" s="2"/>
      <x:c r="G880" s="2"/>
      <x:c r="H880" s="2"/>
      <x:c r="I880" s="2"/>
      <x:c r="J880" s="2"/>
      <x:c r="K880" s="2"/>
    </x:row>
    <x:row r="881">
      <x:c r="A881" s="2"/>
      <x:c r="B881" s="2"/>
      <x:c r="C881" s="2"/>
      <x:c r="D881" s="2"/>
      <x:c r="E881" s="2"/>
      <x:c r="F881" s="2"/>
      <x:c r="G881" s="2"/>
      <x:c r="H881" s="2"/>
      <x:c r="I881" s="2"/>
      <x:c r="J881" s="2"/>
      <x:c r="K881" s="2"/>
    </x:row>
    <x:row r="882">
      <x:c r="A882" s="2"/>
      <x:c r="B882" s="2"/>
      <x:c r="C882" s="2"/>
      <x:c r="D882" s="2"/>
      <x:c r="E882" s="2"/>
      <x:c r="F882" s="2"/>
      <x:c r="G882" s="2"/>
      <x:c r="H882" s="2"/>
      <x:c r="I882" s="2"/>
      <x:c r="J882" s="2"/>
      <x:c r="K882" s="2"/>
    </x:row>
    <x:row r="883">
      <x:c r="A883" s="2"/>
      <x:c r="B883" s="2"/>
      <x:c r="C883" s="2"/>
      <x:c r="D883" s="2"/>
      <x:c r="E883" s="2"/>
      <x:c r="F883" s="2"/>
      <x:c r="G883" s="2"/>
      <x:c r="H883" s="2"/>
      <x:c r="I883" s="2"/>
      <x:c r="J883" s="2"/>
      <x:c r="K883" s="2"/>
    </x:row>
    <x:row r="884">
      <x:c r="A884" s="2"/>
      <x:c r="B884" s="2"/>
      <x:c r="C884" s="2"/>
      <x:c r="D884" s="2"/>
      <x:c r="E884" s="2"/>
      <x:c r="F884" s="2"/>
      <x:c r="G884" s="2"/>
      <x:c r="H884" s="2"/>
      <x:c r="I884" s="2"/>
      <x:c r="J884" s="2"/>
      <x:c r="K884" s="2"/>
    </x:row>
    <x:row r="885">
      <x:c r="A885" s="2"/>
      <x:c r="B885" s="2"/>
      <x:c r="C885" s="2"/>
      <x:c r="D885" s="2"/>
      <x:c r="E885" s="2"/>
      <x:c r="F885" s="2"/>
      <x:c r="G885" s="2"/>
      <x:c r="H885" s="2"/>
      <x:c r="I885" s="2"/>
      <x:c r="J885" s="2"/>
      <x:c r="K885" s="2"/>
    </x:row>
    <x:row r="886">
      <x:c r="A886" s="2"/>
      <x:c r="B886" s="2"/>
      <x:c r="C886" s="2"/>
      <x:c r="D886" s="2"/>
      <x:c r="E886" s="2"/>
      <x:c r="F886" s="2"/>
      <x:c r="G886" s="2"/>
      <x:c r="H886" s="2"/>
      <x:c r="I886" s="2"/>
      <x:c r="J886" s="2"/>
      <x:c r="K886" s="2"/>
    </x:row>
    <x:row r="887">
      <x:c r="A887" s="2"/>
      <x:c r="B887" s="2"/>
      <x:c r="C887" s="2"/>
      <x:c r="D887" s="2"/>
      <x:c r="E887" s="2"/>
      <x:c r="F887" s="2"/>
      <x:c r="G887" s="2"/>
      <x:c r="H887" s="2"/>
      <x:c r="I887" s="2"/>
      <x:c r="J887" s="2"/>
      <x:c r="K887" s="2"/>
    </x:row>
    <x:row r="888">
      <x:c r="A888" s="2"/>
      <x:c r="B888" s="2"/>
      <x:c r="C888" s="2"/>
      <x:c r="D888" s="2"/>
      <x:c r="E888" s="2"/>
      <x:c r="F888" s="2"/>
      <x:c r="G888" s="2"/>
      <x:c r="H888" s="2"/>
      <x:c r="I888" s="2"/>
      <x:c r="J888" s="2"/>
      <x:c r="K888" s="2"/>
    </x:row>
    <x:row r="889">
      <x:c r="A889" s="2"/>
      <x:c r="B889" s="2"/>
      <x:c r="C889" s="2"/>
      <x:c r="D889" s="2"/>
      <x:c r="E889" s="2"/>
      <x:c r="F889" s="2"/>
      <x:c r="G889" s="2"/>
      <x:c r="H889" s="2"/>
      <x:c r="I889" s="2"/>
      <x:c r="J889" s="2"/>
      <x:c r="K889" s="2"/>
    </x:row>
    <x:row r="890">
      <x:c r="A890" s="2"/>
      <x:c r="B890" s="2"/>
      <x:c r="C890" s="2"/>
      <x:c r="D890" s="2"/>
      <x:c r="E890" s="2"/>
      <x:c r="F890" s="2"/>
      <x:c r="G890" s="2"/>
      <x:c r="H890" s="2"/>
      <x:c r="I890" s="2"/>
      <x:c r="J890" s="2"/>
      <x:c r="K890" s="2"/>
    </x:row>
    <x:row r="891">
      <x:c r="A891" s="2"/>
      <x:c r="B891" s="2"/>
      <x:c r="C891" s="2"/>
      <x:c r="D891" s="2"/>
      <x:c r="E891" s="2"/>
      <x:c r="F891" s="2"/>
      <x:c r="G891" s="2"/>
      <x:c r="H891" s="2"/>
      <x:c r="I891" s="2"/>
      <x:c r="J891" s="2"/>
      <x:c r="K891" s="2"/>
    </x:row>
    <x:row r="892">
      <x:c r="A892" s="2"/>
      <x:c r="B892" s="2"/>
      <x:c r="C892" s="2"/>
      <x:c r="D892" s="2"/>
      <x:c r="E892" s="2"/>
      <x:c r="F892" s="2"/>
      <x:c r="G892" s="2"/>
      <x:c r="H892" s="2"/>
      <x:c r="I892" s="2"/>
      <x:c r="J892" s="2"/>
      <x:c r="K892" s="2"/>
    </x:row>
    <x:row r="893">
      <x:c r="A893" s="2"/>
      <x:c r="B893" s="2"/>
      <x:c r="C893" s="2"/>
      <x:c r="D893" s="2"/>
      <x:c r="E893" s="2"/>
      <x:c r="F893" s="2"/>
      <x:c r="G893" s="2"/>
      <x:c r="H893" s="2"/>
      <x:c r="I893" s="2"/>
      <x:c r="J893" s="2"/>
      <x:c r="K893" s="2"/>
    </x:row>
    <x:row r="894">
      <x:c r="A894" s="2"/>
      <x:c r="B894" s="2"/>
      <x:c r="C894" s="2"/>
      <x:c r="D894" s="2"/>
      <x:c r="E894" s="2"/>
      <x:c r="F894" s="2"/>
      <x:c r="G894" s="2"/>
      <x:c r="H894" s="2"/>
      <x:c r="I894" s="2"/>
      <x:c r="J894" s="2"/>
      <x:c r="K894" s="2"/>
    </x:row>
    <x:row r="895">
      <x:c r="A895" s="2"/>
      <x:c r="B895" s="2"/>
      <x:c r="C895" s="2"/>
      <x:c r="D895" s="2"/>
      <x:c r="E895" s="2"/>
      <x:c r="F895" s="2"/>
      <x:c r="G895" s="2"/>
      <x:c r="H895" s="2"/>
      <x:c r="I895" s="2"/>
      <x:c r="J895" s="2"/>
      <x:c r="K895" s="2"/>
    </x:row>
    <x:row r="896">
      <x:c r="A896" s="2"/>
      <x:c r="B896" s="2"/>
      <x:c r="C896" s="2"/>
      <x:c r="D896" s="2"/>
      <x:c r="E896" s="2"/>
      <x:c r="F896" s="2"/>
      <x:c r="G896" s="2"/>
      <x:c r="H896" s="2"/>
      <x:c r="I896" s="2"/>
      <x:c r="J896" s="2"/>
      <x:c r="K896" s="2"/>
    </x:row>
    <x:row r="897">
      <x:c r="A897" s="2"/>
      <x:c r="B897" s="2"/>
      <x:c r="C897" s="2"/>
      <x:c r="D897" s="2"/>
      <x:c r="E897" s="2"/>
      <x:c r="F897" s="2"/>
      <x:c r="G897" s="2"/>
      <x:c r="H897" s="2"/>
      <x:c r="I897" s="2"/>
      <x:c r="J897" s="2"/>
      <x:c r="K897" s="2"/>
    </x:row>
    <x:row r="898">
      <x:c r="A898" s="2"/>
      <x:c r="B898" s="2"/>
      <x:c r="C898" s="2"/>
      <x:c r="D898" s="2"/>
      <x:c r="E898" s="2"/>
      <x:c r="F898" s="2"/>
      <x:c r="G898" s="2"/>
      <x:c r="H898" s="2"/>
      <x:c r="I898" s="2"/>
      <x:c r="J898" s="2"/>
      <x:c r="K898" s="2"/>
    </x:row>
    <x:row r="899">
      <x:c r="A899" s="2"/>
      <x:c r="B899" s="2"/>
      <x:c r="C899" s="2"/>
      <x:c r="D899" s="2"/>
      <x:c r="E899" s="2"/>
      <x:c r="F899" s="2"/>
      <x:c r="G899" s="2"/>
      <x:c r="H899" s="2"/>
      <x:c r="I899" s="2"/>
      <x:c r="J899" s="2"/>
      <x:c r="K899" s="2"/>
    </x:row>
    <x:row r="900">
      <x:c r="A900" s="2"/>
      <x:c r="B900" s="2"/>
      <x:c r="C900" s="2"/>
      <x:c r="D900" s="2"/>
      <x:c r="E900" s="2"/>
      <x:c r="F900" s="2"/>
      <x:c r="G900" s="2"/>
      <x:c r="H900" s="2"/>
      <x:c r="I900" s="2"/>
      <x:c r="J900" s="2"/>
      <x:c r="K900" s="2"/>
    </x:row>
    <x:row r="901">
      <x:c r="A901" s="2"/>
      <x:c r="B901" s="2"/>
      <x:c r="C901" s="2"/>
      <x:c r="D901" s="2"/>
      <x:c r="E901" s="2"/>
      <x:c r="F901" s="2"/>
      <x:c r="G901" s="2"/>
      <x:c r="H901" s="2"/>
      <x:c r="I901" s="2"/>
      <x:c r="J901" s="2"/>
      <x:c r="K901" s="2"/>
    </x:row>
    <x:row r="902">
      <x:c r="A902" s="2"/>
      <x:c r="B902" s="2"/>
      <x:c r="C902" s="2"/>
      <x:c r="D902" s="2"/>
      <x:c r="E902" s="2"/>
      <x:c r="F902" s="2"/>
      <x:c r="G902" s="2"/>
      <x:c r="H902" s="2"/>
      <x:c r="I902" s="2"/>
      <x:c r="J902" s="2"/>
      <x:c r="K902" s="2"/>
    </x:row>
    <x:row r="903">
      <x:c r="A903" s="2"/>
      <x:c r="B903" s="2"/>
      <x:c r="C903" s="2"/>
      <x:c r="D903" s="2"/>
      <x:c r="E903" s="2"/>
      <x:c r="F903" s="2"/>
      <x:c r="G903" s="2"/>
      <x:c r="H903" s="2"/>
      <x:c r="I903" s="2"/>
      <x:c r="J903" s="2"/>
      <x:c r="K903" s="2"/>
    </x:row>
    <x:row r="904">
      <x:c r="A904" s="2"/>
      <x:c r="B904" s="2"/>
      <x:c r="C904" s="2"/>
      <x:c r="D904" s="2"/>
      <x:c r="E904" s="2"/>
      <x:c r="F904" s="2"/>
      <x:c r="G904" s="2"/>
      <x:c r="H904" s="2"/>
      <x:c r="I904" s="2"/>
      <x:c r="J904" s="2"/>
      <x:c r="K904" s="2"/>
    </x:row>
    <x:row r="905">
      <x:c r="A905" s="2"/>
      <x:c r="B905" s="2"/>
      <x:c r="C905" s="2"/>
      <x:c r="D905" s="2"/>
      <x:c r="E905" s="2"/>
      <x:c r="F905" s="2"/>
      <x:c r="G905" s="2"/>
      <x:c r="H905" s="2"/>
      <x:c r="I905" s="2"/>
      <x:c r="J905" s="2"/>
      <x:c r="K905" s="2"/>
    </x:row>
    <x:row r="906">
      <x:c r="A906" s="2"/>
      <x:c r="B906" s="2"/>
      <x:c r="C906" s="2"/>
      <x:c r="D906" s="2"/>
      <x:c r="E906" s="2"/>
      <x:c r="F906" s="2"/>
      <x:c r="G906" s="2"/>
      <x:c r="H906" s="2"/>
      <x:c r="I906" s="2"/>
      <x:c r="J906" s="2"/>
      <x:c r="K906" s="2"/>
    </x:row>
    <x:row r="907">
      <x:c r="A907" s="2"/>
      <x:c r="B907" s="2"/>
      <x:c r="C907" s="2"/>
      <x:c r="D907" s="2"/>
      <x:c r="E907" s="2"/>
      <x:c r="F907" s="2"/>
      <x:c r="G907" s="2"/>
      <x:c r="H907" s="2"/>
      <x:c r="I907" s="2"/>
      <x:c r="J907" s="2"/>
      <x:c r="K907" s="2"/>
    </x:row>
    <x:row r="908">
      <x:c r="A908" s="2"/>
      <x:c r="B908" s="2"/>
      <x:c r="C908" s="2"/>
      <x:c r="D908" s="2"/>
      <x:c r="E908" s="2"/>
      <x:c r="F908" s="2"/>
      <x:c r="G908" s="2"/>
      <x:c r="H908" s="2"/>
      <x:c r="I908" s="2"/>
      <x:c r="J908" s="2"/>
      <x:c r="K908" s="2"/>
    </x:row>
    <x:row r="909">
      <x:c r="A909" s="2"/>
      <x:c r="B909" s="2"/>
      <x:c r="C909" s="2"/>
      <x:c r="D909" s="2"/>
      <x:c r="E909" s="2"/>
      <x:c r="F909" s="2"/>
      <x:c r="G909" s="2"/>
      <x:c r="H909" s="2"/>
      <x:c r="I909" s="2"/>
      <x:c r="J909" s="2"/>
      <x:c r="K909" s="2"/>
    </x:row>
    <x:row r="910">
      <x:c r="A910" s="2"/>
      <x:c r="B910" s="2"/>
      <x:c r="C910" s="2"/>
      <x:c r="D910" s="2"/>
      <x:c r="E910" s="2"/>
      <x:c r="F910" s="2"/>
      <x:c r="G910" s="2"/>
      <x:c r="H910" s="2"/>
      <x:c r="I910" s="2"/>
      <x:c r="J910" s="2"/>
      <x:c r="K910" s="2"/>
    </x:row>
    <x:row r="911">
      <x:c r="A911" s="2"/>
      <x:c r="B911" s="2"/>
      <x:c r="C911" s="2"/>
      <x:c r="D911" s="2"/>
      <x:c r="E911" s="2"/>
      <x:c r="F911" s="2"/>
      <x:c r="G911" s="2"/>
      <x:c r="H911" s="2"/>
      <x:c r="I911" s="2"/>
      <x:c r="J911" s="2"/>
      <x:c r="K911" s="2"/>
    </x:row>
    <x:row r="912">
      <x:c r="A912" s="2"/>
      <x:c r="B912" s="2"/>
      <x:c r="C912" s="2"/>
      <x:c r="D912" s="2"/>
      <x:c r="E912" s="2"/>
      <x:c r="F912" s="2"/>
      <x:c r="G912" s="2"/>
      <x:c r="H912" s="2"/>
      <x:c r="I912" s="2"/>
      <x:c r="J912" s="2"/>
      <x:c r="K912" s="2"/>
    </x:row>
    <x:row r="913">
      <x:c r="A913" s="2"/>
      <x:c r="B913" s="2"/>
      <x:c r="C913" s="2"/>
      <x:c r="D913" s="2"/>
      <x:c r="E913" s="2"/>
      <x:c r="F913" s="2"/>
      <x:c r="G913" s="2"/>
      <x:c r="H913" s="2"/>
      <x:c r="I913" s="2"/>
      <x:c r="J913" s="2"/>
      <x:c r="K913" s="2"/>
    </x:row>
    <x:row r="914">
      <x:c r="A914" s="2"/>
      <x:c r="B914" s="2"/>
      <x:c r="C914" s="2"/>
      <x:c r="D914" s="2"/>
      <x:c r="E914" s="2"/>
      <x:c r="F914" s="2"/>
      <x:c r="G914" s="2"/>
      <x:c r="H914" s="2"/>
      <x:c r="I914" s="2"/>
      <x:c r="J914" s="2"/>
      <x:c r="K914" s="2"/>
    </x:row>
    <x:row r="915">
      <x:c r="A915" s="2"/>
      <x:c r="B915" s="2"/>
      <x:c r="C915" s="2"/>
      <x:c r="D915" s="2"/>
      <x:c r="E915" s="2"/>
      <x:c r="F915" s="2"/>
      <x:c r="G915" s="2"/>
      <x:c r="H915" s="2"/>
      <x:c r="I915" s="2"/>
      <x:c r="J915" s="2"/>
      <x:c r="K915" s="2"/>
    </x:row>
    <x:row r="916">
      <x:c r="A916" s="2"/>
      <x:c r="B916" s="2"/>
      <x:c r="C916" s="2"/>
      <x:c r="D916" s="2"/>
      <x:c r="E916" s="2"/>
      <x:c r="F916" s="2"/>
      <x:c r="G916" s="2"/>
      <x:c r="H916" s="2"/>
      <x:c r="I916" s="2"/>
      <x:c r="J916" s="2"/>
      <x:c r="K916" s="2"/>
    </x:row>
    <x:row r="917">
      <x:c r="A917" s="2"/>
      <x:c r="B917" s="2"/>
      <x:c r="C917" s="2"/>
      <x:c r="D917" s="2"/>
      <x:c r="E917" s="2"/>
      <x:c r="F917" s="2"/>
      <x:c r="G917" s="2"/>
      <x:c r="H917" s="2"/>
      <x:c r="I917" s="2"/>
      <x:c r="J917" s="2"/>
      <x:c r="K917" s="2"/>
    </x:row>
    <x:row r="918">
      <x:c r="A918" s="2"/>
      <x:c r="B918" s="2"/>
      <x:c r="C918" s="2"/>
      <x:c r="D918" s="2"/>
      <x:c r="E918" s="2"/>
      <x:c r="F918" s="2"/>
      <x:c r="G918" s="2"/>
      <x:c r="H918" s="2"/>
      <x:c r="I918" s="2"/>
      <x:c r="J918" s="2"/>
      <x:c r="K918" s="2"/>
    </x:row>
    <x:row r="919">
      <x:c r="A919" s="2"/>
      <x:c r="B919" s="2"/>
      <x:c r="C919" s="2"/>
      <x:c r="D919" s="2"/>
      <x:c r="E919" s="2"/>
      <x:c r="F919" s="2"/>
      <x:c r="G919" s="2"/>
      <x:c r="H919" s="2"/>
      <x:c r="I919" s="2"/>
      <x:c r="J919" s="2"/>
      <x:c r="K919" s="2"/>
    </x:row>
    <x:row r="920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</x:row>
    <x:row r="92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</x:row>
    <x:row r="922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</x:row>
    <x:row r="923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</x:row>
    <x:row r="924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</x:row>
    <x:row r="925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</x:row>
    <x:row r="926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</x:row>
    <x:row r="927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</x:row>
    <x:row r="928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</x:row>
    <x:row r="929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</x:row>
    <x:row r="930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</x:row>
    <x:row r="93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</x:row>
    <x:row r="932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</x:row>
    <x:row r="933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</x:row>
    <x:row r="934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</x:row>
    <x:row r="935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</x:row>
    <x:row r="936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</x:row>
    <x:row r="937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</x:row>
    <x:row r="938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</x:row>
    <x:row r="939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</x:row>
    <x:row r="940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</x:row>
    <x:row r="94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</x:row>
    <x:row r="942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</x:row>
    <x:row r="943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</x:row>
    <x:row r="944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</x:row>
    <x:row r="945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</x:row>
    <x:row r="946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</x:row>
    <x:row r="947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</x:row>
    <x:row r="948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</x:row>
    <x:row r="949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</x:row>
    <x:row r="950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</x:row>
    <x:row r="95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</x:row>
    <x:row r="952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</x:row>
    <x:row r="953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</x:row>
    <x:row r="954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</x:row>
    <x:row r="955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</x:row>
    <x:row r="956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</x:row>
    <x:row r="957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</x:row>
    <x:row r="958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</x:row>
    <x:row r="959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</x:row>
    <x:row r="960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</x:row>
    <x:row r="96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</x:row>
    <x:row r="962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</x:row>
    <x:row r="963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</x:row>
    <x:row r="964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</x:row>
    <x:row r="965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</x:row>
    <x:row r="966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</x:row>
    <x:row r="967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</x:row>
    <x:row r="968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</x:row>
    <x:row r="969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</x:row>
    <x:row r="970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</x:row>
    <x:row r="97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</x:row>
    <x:row r="972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</x:row>
    <x:row r="973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</x:row>
    <x:row r="974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</x:row>
    <x:row r="975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</x:row>
    <x:row r="976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</x:row>
    <x:row r="977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</x:row>
    <x:row r="978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</x:row>
    <x:row r="979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</x:row>
    <x:row r="980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</x:row>
    <x:row r="98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</x:row>
    <x:row r="982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</x:row>
    <x:row r="983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</x:row>
    <x:row r="984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</x:row>
    <x:row r="985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</x:row>
    <x:row r="986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</x:row>
    <x:row r="987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</x:row>
    <x:row r="988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</x:row>
    <x:row r="989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</x:row>
    <x:row r="990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</x:row>
    <x:row r="99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</x:row>
    <x:row r="992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</x:row>
    <x:row r="993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</x:row>
    <x:row r="994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</x:row>
    <x:row r="995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</x:row>
    <x:row r="996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</x:row>
    <x:row r="997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</x:row>
    <x:row r="998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</x:row>
    <x:row r="999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</x:row>
    <x:row r="1000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</x:row>
    <x:row r="100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40" hidden="0" customWidth="1"/>
    <x:col min="3" max="3" width="13" hidden="0" customWidth="1"/>
    <x:col min="4" max="4" width="13" hidden="0" customWidth="1"/>
    <x:col min="5" max="5" width="18" hidden="0" customWidth="1"/>
    <x:col min="6" max="6" width="32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  <x:col min="11" max="11" width="26" hidden="0" customWidth="1"/>
    <x:col min="12" max="12" width="24" hidden="0" customWidth="1"/>
    <x:col min="13" max="13" width="24" hidden="0" customWidth="1"/>
  </x:cols>
  <x:sheetData>
    <x:row r="1" ht="30" customHeight="1">
      <x:c r="A1" s="8" t="str">
        <x:v>dataset</x:v>
      </x:c>
      <x:c r="B1" s="8" t="str">
        <x:v>record_id</x:v>
      </x:c>
      <x:c r="C1" s="8" t="str">
        <x:v>period</x:v>
      </x:c>
      <x:c r="D1" s="8" t="str">
        <x:v>currency</x:v>
      </x:c>
      <x:c r="E1" s="8" t="str">
        <x:v>amount</x:v>
      </x:c>
      <x:c r="F1" s="8" t="str">
        <x:v>description</x:v>
      </x:c>
      <x:c r="G1" s="8" t="str">
        <x:v>Own key count</x:v>
      </x:c>
      <x:c r="H1" s="8" t="str">
        <x:v>Other key count</x:v>
      </x:c>
      <x:c r="I1" s="8" t="str">
        <x:v>Other amount</x:v>
      </x:c>
      <x:c r="J1" s="8" t="str">
        <x:v>Difference</x:v>
      </x:c>
      <x:c r="K1" s="8" t="str">
        <x:v>Check</x:v>
      </x:c>
      <x:c r="L1" s="15" t="str">
        <x:v>Match key</x:v>
      </x:c>
      <x:c r="M1" s="15" t="str">
        <x:v>Numeric amount</x:v>
      </x:c>
    </x:row>
    <x:row r="2">
      <x:c r="A2" s="11"/>
      <x:c r="B2" s="11"/>
      <x:c r="C2" s="11"/>
      <x:c r="D2" s="11"/>
      <x:c r="E2" s="12"/>
      <x:c r="F2" s="10"/>
      <x:c r="G2" s="2" t="str">
        <x:f>IF(COUNTA(A2:F2)=0,"",COUNTIFS('App Data'!$L$2:$L$1001,SUBSTITUTE(SUBSTITUTE(SUBSTITUTE(L2,"~","~~"),"*","~*"),"?","~?")))</x:f>
      </x:c>
      <x:c r="H2" s="2" t="str">
        <x:f>IF(COUNTA(A2:F2)=0,"",COUNTIFS('External Data'!$L$2:$L$1001,SUBSTITUTE(SUBSTITUTE(SUBSTITUTE(L2,"~","~~"),"*","~*"),"?","~?")))</x:f>
      </x:c>
      <x:c r="I2" s="13" t="str">
        <x:f>IF(OR(H2&lt;&gt;1,G2&lt;&gt;1),"",SUMIFS('External Data'!$E$2:$E$1001,'External Data'!$L$2:$L$1001,SUBSTITUTE(SUBSTITUTE(SUBSTITUTE(L2,"~","~~"),"*","~*"),"?","~?")))</x:f>
      </x:c>
      <x:c r="J2" s="13" t="str">
        <x:f>IF(OR(NOT(ISNUMBER(E2)),NOT(ISNUMBER(I2))),"",ROUND(E2-I2,2))</x:f>
      </x:c>
      <x:c r="K2" s="2" t="str">
        <x:f>IF(COUNTA(A2:F2)=0,"",IF(OR(A2="",B2="",C2="",D2="",NOT(ISNUMBER(E2))),"Missing / invalid input",IF(G2&gt;1,"Duplicate key in this source",IF(H2=0,"Missing in other source",IF(H2&gt;1,"Duplicate in other source",IF(SUMIFS('External Data'!$M$2:$M$1001,'External Data'!$L$2:$L$1001,SUBSTITUTE(SUBSTITUTE(SUBSTITUTE(L2,"~","~~"),"*","~*"),"?","~?"))&lt;&gt;1,"Other amount is invalid",IF(J2&lt;&gt;0,"Amount differs","Matched")))))))</x:f>
      </x:c>
      <x:c r="L2" t="str">
        <x:f>IF(COUNTA(A2:F2)=0,"",LEN(A2)&amp;":"&amp;A2&amp;LEN(B2)&amp;":"&amp;B2&amp;LEN(C2)&amp;":"&amp;C2&amp;LEN(D2)&amp;":"&amp;D2)</x:f>
      </x:c>
      <x:c r="M2" t="str">
        <x:f>IF(COUNTA(A2:F2)=0,"",IF(ISNUMBER(E2),1,0))</x:f>
      </x:c>
    </x:row>
    <x:row r="3">
      <x:c r="A3" s="11"/>
      <x:c r="B3" s="11"/>
      <x:c r="C3" s="11"/>
      <x:c r="D3" s="11"/>
      <x:c r="E3" s="12"/>
      <x:c r="F3" s="10"/>
      <x:c r="G3" s="2" t="str">
        <x:f>IF(COUNTA(A3:F3)=0,"",COUNTIFS('App Data'!$L$2:$L$1001,SUBSTITUTE(SUBSTITUTE(SUBSTITUTE(L3,"~","~~"),"*","~*"),"?","~?")))</x:f>
      </x:c>
      <x:c r="H3" s="2" t="str">
        <x:f>IF(COUNTA(A3:F3)=0,"",COUNTIFS('External Data'!$L$2:$L$1001,SUBSTITUTE(SUBSTITUTE(SUBSTITUTE(L3,"~","~~"),"*","~*"),"?","~?")))</x:f>
      </x:c>
      <x:c r="I3" s="13" t="str">
        <x:f>IF(OR(H3&lt;&gt;1,G3&lt;&gt;1),"",SUMIFS('External Data'!$E$2:$E$1001,'External Data'!$L$2:$L$1001,SUBSTITUTE(SUBSTITUTE(SUBSTITUTE(L3,"~","~~"),"*","~*"),"?","~?")))</x:f>
      </x:c>
      <x:c r="J3" s="13" t="str">
        <x:f>IF(OR(NOT(ISNUMBER(E3)),NOT(ISNUMBER(I3))),"",ROUND(E3-I3,2))</x:f>
      </x:c>
      <x:c r="K3" s="2" t="str">
        <x:f>IF(COUNTA(A3:F3)=0,"",IF(OR(A3="",B3="",C3="",D3="",NOT(ISNUMBER(E3))),"Missing / invalid input",IF(G3&gt;1,"Duplicate key in this source",IF(H3=0,"Missing in other source",IF(H3&gt;1,"Duplicate in other source",IF(SUMIFS('External Data'!$M$2:$M$1001,'External Data'!$L$2:$L$1001,SUBSTITUTE(SUBSTITUTE(SUBSTITUTE(L3,"~","~~"),"*","~*"),"?","~?"))&lt;&gt;1,"Other amount is invalid",IF(J3&lt;&gt;0,"Amount differs","Matched")))))))</x:f>
      </x:c>
      <x:c r="L3" t="str">
        <x:f>IF(COUNTA(A3:F3)=0,"",LEN(A3)&amp;":"&amp;A3&amp;LEN(B3)&amp;":"&amp;B3&amp;LEN(C3)&amp;":"&amp;C3&amp;LEN(D3)&amp;":"&amp;D3)</x:f>
      </x:c>
      <x:c r="M3" t="str">
        <x:f>IF(COUNTA(A3:F3)=0,"",IF(ISNUMBER(E3),1,0))</x:f>
      </x:c>
    </x:row>
    <x:row r="4">
      <x:c r="A4" s="11"/>
      <x:c r="B4" s="11"/>
      <x:c r="C4" s="11"/>
      <x:c r="D4" s="11"/>
      <x:c r="E4" s="12"/>
      <x:c r="F4" s="10"/>
      <x:c r="G4" s="2" t="str">
        <x:f>IF(COUNTA(A4:F4)=0,"",COUNTIFS('App Data'!$L$2:$L$1001,SUBSTITUTE(SUBSTITUTE(SUBSTITUTE(L4,"~","~~"),"*","~*"),"?","~?")))</x:f>
      </x:c>
      <x:c r="H4" s="2" t="str">
        <x:f>IF(COUNTA(A4:F4)=0,"",COUNTIFS('External Data'!$L$2:$L$1001,SUBSTITUTE(SUBSTITUTE(SUBSTITUTE(L4,"~","~~"),"*","~*"),"?","~?")))</x:f>
      </x:c>
      <x:c r="I4" s="13" t="str">
        <x:f>IF(OR(H4&lt;&gt;1,G4&lt;&gt;1),"",SUMIFS('External Data'!$E$2:$E$1001,'External Data'!$L$2:$L$1001,SUBSTITUTE(SUBSTITUTE(SUBSTITUTE(L4,"~","~~"),"*","~*"),"?","~?")))</x:f>
      </x:c>
      <x:c r="J4" s="13" t="str">
        <x:f>IF(OR(NOT(ISNUMBER(E4)),NOT(ISNUMBER(I4))),"",ROUND(E4-I4,2))</x:f>
      </x:c>
      <x:c r="K4" s="2" t="str">
        <x:f>IF(COUNTA(A4:F4)=0,"",IF(OR(A4="",B4="",C4="",D4="",NOT(ISNUMBER(E4))),"Missing / invalid input",IF(G4&gt;1,"Duplicate key in this source",IF(H4=0,"Missing in other source",IF(H4&gt;1,"Duplicate in other source",IF(SUMIFS('External Data'!$M$2:$M$1001,'External Data'!$L$2:$L$1001,SUBSTITUTE(SUBSTITUTE(SUBSTITUTE(L4,"~","~~"),"*","~*"),"?","~?"))&lt;&gt;1,"Other amount is invalid",IF(J4&lt;&gt;0,"Amount differs","Matched")))))))</x:f>
      </x:c>
      <x:c r="L4" t="str">
        <x:f>IF(COUNTA(A4:F4)=0,"",LEN(A4)&amp;":"&amp;A4&amp;LEN(B4)&amp;":"&amp;B4&amp;LEN(C4)&amp;":"&amp;C4&amp;LEN(D4)&amp;":"&amp;D4)</x:f>
      </x:c>
      <x:c r="M4" t="str">
        <x:f>IF(COUNTA(A4:F4)=0,"",IF(ISNUMBER(E4),1,0))</x:f>
      </x:c>
    </x:row>
    <x:row r="5">
      <x:c r="A5" s="11"/>
      <x:c r="B5" s="11"/>
      <x:c r="C5" s="11"/>
      <x:c r="D5" s="11"/>
      <x:c r="E5" s="12"/>
      <x:c r="F5" s="10"/>
      <x:c r="G5" s="2" t="str">
        <x:f>IF(COUNTA(A5:F5)=0,"",COUNTIFS('App Data'!$L$2:$L$1001,SUBSTITUTE(SUBSTITUTE(SUBSTITUTE(L5,"~","~~"),"*","~*"),"?","~?")))</x:f>
      </x:c>
      <x:c r="H5" s="2" t="str">
        <x:f>IF(COUNTA(A5:F5)=0,"",COUNTIFS('External Data'!$L$2:$L$1001,SUBSTITUTE(SUBSTITUTE(SUBSTITUTE(L5,"~","~~"),"*","~*"),"?","~?")))</x:f>
      </x:c>
      <x:c r="I5" s="13" t="str">
        <x:f>IF(OR(H5&lt;&gt;1,G5&lt;&gt;1),"",SUMIFS('External Data'!$E$2:$E$1001,'External Data'!$L$2:$L$1001,SUBSTITUTE(SUBSTITUTE(SUBSTITUTE(L5,"~","~~"),"*","~*"),"?","~?")))</x:f>
      </x:c>
      <x:c r="J5" s="13" t="str">
        <x:f>IF(OR(NOT(ISNUMBER(E5)),NOT(ISNUMBER(I5))),"",ROUND(E5-I5,2))</x:f>
      </x:c>
      <x:c r="K5" s="2" t="str">
        <x:f>IF(COUNTA(A5:F5)=0,"",IF(OR(A5="",B5="",C5="",D5="",NOT(ISNUMBER(E5))),"Missing / invalid input",IF(G5&gt;1,"Duplicate key in this source",IF(H5=0,"Missing in other source",IF(H5&gt;1,"Duplicate in other source",IF(SUMIFS('External Data'!$M$2:$M$1001,'External Data'!$L$2:$L$1001,SUBSTITUTE(SUBSTITUTE(SUBSTITUTE(L5,"~","~~"),"*","~*"),"?","~?"))&lt;&gt;1,"Other amount is invalid",IF(J5&lt;&gt;0,"Amount differs","Matched")))))))</x:f>
      </x:c>
      <x:c r="L5" t="str">
        <x:f>IF(COUNTA(A5:F5)=0,"",LEN(A5)&amp;":"&amp;A5&amp;LEN(B5)&amp;":"&amp;B5&amp;LEN(C5)&amp;":"&amp;C5&amp;LEN(D5)&amp;":"&amp;D5)</x:f>
      </x:c>
      <x:c r="M5" t="str">
        <x:f>IF(COUNTA(A5:F5)=0,"",IF(ISNUMBER(E5),1,0))</x:f>
      </x:c>
    </x:row>
    <x:row r="6">
      <x:c r="A6" s="11"/>
      <x:c r="B6" s="11"/>
      <x:c r="C6" s="11"/>
      <x:c r="D6" s="11"/>
      <x:c r="E6" s="12"/>
      <x:c r="F6" s="10"/>
      <x:c r="G6" s="2" t="str">
        <x:f>IF(COUNTA(A6:F6)=0,"",COUNTIFS('App Data'!$L$2:$L$1001,SUBSTITUTE(SUBSTITUTE(SUBSTITUTE(L6,"~","~~"),"*","~*"),"?","~?")))</x:f>
      </x:c>
      <x:c r="H6" s="2" t="str">
        <x:f>IF(COUNTA(A6:F6)=0,"",COUNTIFS('External Data'!$L$2:$L$1001,SUBSTITUTE(SUBSTITUTE(SUBSTITUTE(L6,"~","~~"),"*","~*"),"?","~?")))</x:f>
      </x:c>
      <x:c r="I6" s="13" t="str">
        <x:f>IF(OR(H6&lt;&gt;1,G6&lt;&gt;1),"",SUMIFS('External Data'!$E$2:$E$1001,'External Data'!$L$2:$L$1001,SUBSTITUTE(SUBSTITUTE(SUBSTITUTE(L6,"~","~~"),"*","~*"),"?","~?")))</x:f>
      </x:c>
      <x:c r="J6" s="13" t="str">
        <x:f>IF(OR(NOT(ISNUMBER(E6)),NOT(ISNUMBER(I6))),"",ROUND(E6-I6,2))</x:f>
      </x:c>
      <x:c r="K6" s="2" t="str">
        <x:f>IF(COUNTA(A6:F6)=0,"",IF(OR(A6="",B6="",C6="",D6="",NOT(ISNUMBER(E6))),"Missing / invalid input",IF(G6&gt;1,"Duplicate key in this source",IF(H6=0,"Missing in other source",IF(H6&gt;1,"Duplicate in other source",IF(SUMIFS('External Data'!$M$2:$M$1001,'External Data'!$L$2:$L$1001,SUBSTITUTE(SUBSTITUTE(SUBSTITUTE(L6,"~","~~"),"*","~*"),"?","~?"))&lt;&gt;1,"Other amount is invalid",IF(J6&lt;&gt;0,"Amount differs","Matched")))))))</x:f>
      </x:c>
      <x:c r="L6" t="str">
        <x:f>IF(COUNTA(A6:F6)=0,"",LEN(A6)&amp;":"&amp;A6&amp;LEN(B6)&amp;":"&amp;B6&amp;LEN(C6)&amp;":"&amp;C6&amp;LEN(D6)&amp;":"&amp;D6)</x:f>
      </x:c>
      <x:c r="M6" t="str">
        <x:f>IF(COUNTA(A6:F6)=0,"",IF(ISNUMBER(E6),1,0))</x:f>
      </x:c>
    </x:row>
    <x:row r="7">
      <x:c r="A7" s="11"/>
      <x:c r="B7" s="11"/>
      <x:c r="C7" s="11"/>
      <x:c r="D7" s="11"/>
      <x:c r="E7" s="12"/>
      <x:c r="F7" s="10"/>
      <x:c r="G7" s="2" t="str">
        <x:f>IF(COUNTA(A7:F7)=0,"",COUNTIFS('App Data'!$L$2:$L$1001,SUBSTITUTE(SUBSTITUTE(SUBSTITUTE(L7,"~","~~"),"*","~*"),"?","~?")))</x:f>
      </x:c>
      <x:c r="H7" s="2" t="str">
        <x:f>IF(COUNTA(A7:F7)=0,"",COUNTIFS('External Data'!$L$2:$L$1001,SUBSTITUTE(SUBSTITUTE(SUBSTITUTE(L7,"~","~~"),"*","~*"),"?","~?")))</x:f>
      </x:c>
      <x:c r="I7" s="13" t="str">
        <x:f>IF(OR(H7&lt;&gt;1,G7&lt;&gt;1),"",SUMIFS('External Data'!$E$2:$E$1001,'External Data'!$L$2:$L$1001,SUBSTITUTE(SUBSTITUTE(SUBSTITUTE(L7,"~","~~"),"*","~*"),"?","~?")))</x:f>
      </x:c>
      <x:c r="J7" s="13" t="str">
        <x:f>IF(OR(NOT(ISNUMBER(E7)),NOT(ISNUMBER(I7))),"",ROUND(E7-I7,2))</x:f>
      </x:c>
      <x:c r="K7" s="2" t="str">
        <x:f>IF(COUNTA(A7:F7)=0,"",IF(OR(A7="",B7="",C7="",D7="",NOT(ISNUMBER(E7))),"Missing / invalid input",IF(G7&gt;1,"Duplicate key in this source",IF(H7=0,"Missing in other source",IF(H7&gt;1,"Duplicate in other source",IF(SUMIFS('External Data'!$M$2:$M$1001,'External Data'!$L$2:$L$1001,SUBSTITUTE(SUBSTITUTE(SUBSTITUTE(L7,"~","~~"),"*","~*"),"?","~?"))&lt;&gt;1,"Other amount is invalid",IF(J7&lt;&gt;0,"Amount differs","Matched")))))))</x:f>
      </x:c>
      <x:c r="L7" t="str">
        <x:f>IF(COUNTA(A7:F7)=0,"",LEN(A7)&amp;":"&amp;A7&amp;LEN(B7)&amp;":"&amp;B7&amp;LEN(C7)&amp;":"&amp;C7&amp;LEN(D7)&amp;":"&amp;D7)</x:f>
      </x:c>
      <x:c r="M7" t="str">
        <x:f>IF(COUNTA(A7:F7)=0,"",IF(ISNUMBER(E7),1,0))</x:f>
      </x:c>
    </x:row>
    <x:row r="8">
      <x:c r="A8" s="11"/>
      <x:c r="B8" s="11"/>
      <x:c r="C8" s="11"/>
      <x:c r="D8" s="11"/>
      <x:c r="E8" s="12"/>
      <x:c r="F8" s="10"/>
      <x:c r="G8" s="2" t="str">
        <x:f>IF(COUNTA(A8:F8)=0,"",COUNTIFS('App Data'!$L$2:$L$1001,SUBSTITUTE(SUBSTITUTE(SUBSTITUTE(L8,"~","~~"),"*","~*"),"?","~?")))</x:f>
      </x:c>
      <x:c r="H8" s="2" t="str">
        <x:f>IF(COUNTA(A8:F8)=0,"",COUNTIFS('External Data'!$L$2:$L$1001,SUBSTITUTE(SUBSTITUTE(SUBSTITUTE(L8,"~","~~"),"*","~*"),"?","~?")))</x:f>
      </x:c>
      <x:c r="I8" s="13" t="str">
        <x:f>IF(OR(H8&lt;&gt;1,G8&lt;&gt;1),"",SUMIFS('External Data'!$E$2:$E$1001,'External Data'!$L$2:$L$1001,SUBSTITUTE(SUBSTITUTE(SUBSTITUTE(L8,"~","~~"),"*","~*"),"?","~?")))</x:f>
      </x:c>
      <x:c r="J8" s="13" t="str">
        <x:f>IF(OR(NOT(ISNUMBER(E8)),NOT(ISNUMBER(I8))),"",ROUND(E8-I8,2))</x:f>
      </x:c>
      <x:c r="K8" s="2" t="str">
        <x:f>IF(COUNTA(A8:F8)=0,"",IF(OR(A8="",B8="",C8="",D8="",NOT(ISNUMBER(E8))),"Missing / invalid input",IF(G8&gt;1,"Duplicate key in this source",IF(H8=0,"Missing in other source",IF(H8&gt;1,"Duplicate in other source",IF(SUMIFS('External Data'!$M$2:$M$1001,'External Data'!$L$2:$L$1001,SUBSTITUTE(SUBSTITUTE(SUBSTITUTE(L8,"~","~~"),"*","~*"),"?","~?"))&lt;&gt;1,"Other amount is invalid",IF(J8&lt;&gt;0,"Amount differs","Matched")))))))</x:f>
      </x:c>
      <x:c r="L8" t="str">
        <x:f>IF(COUNTA(A8:F8)=0,"",LEN(A8)&amp;":"&amp;A8&amp;LEN(B8)&amp;":"&amp;B8&amp;LEN(C8)&amp;":"&amp;C8&amp;LEN(D8)&amp;":"&amp;D8)</x:f>
      </x:c>
      <x:c r="M8" t="str">
        <x:f>IF(COUNTA(A8:F8)=0,"",IF(ISNUMBER(E8),1,0))</x:f>
      </x:c>
    </x:row>
    <x:row r="9">
      <x:c r="A9" s="11"/>
      <x:c r="B9" s="11"/>
      <x:c r="C9" s="11"/>
      <x:c r="D9" s="11"/>
      <x:c r="E9" s="12"/>
      <x:c r="F9" s="10"/>
      <x:c r="G9" s="2" t="str">
        <x:f>IF(COUNTA(A9:F9)=0,"",COUNTIFS('App Data'!$L$2:$L$1001,SUBSTITUTE(SUBSTITUTE(SUBSTITUTE(L9,"~","~~"),"*","~*"),"?","~?")))</x:f>
      </x:c>
      <x:c r="H9" s="2" t="str">
        <x:f>IF(COUNTA(A9:F9)=0,"",COUNTIFS('External Data'!$L$2:$L$1001,SUBSTITUTE(SUBSTITUTE(SUBSTITUTE(L9,"~","~~"),"*","~*"),"?","~?")))</x:f>
      </x:c>
      <x:c r="I9" s="13" t="str">
        <x:f>IF(OR(H9&lt;&gt;1,G9&lt;&gt;1),"",SUMIFS('External Data'!$E$2:$E$1001,'External Data'!$L$2:$L$1001,SUBSTITUTE(SUBSTITUTE(SUBSTITUTE(L9,"~","~~"),"*","~*"),"?","~?")))</x:f>
      </x:c>
      <x:c r="J9" s="13" t="str">
        <x:f>IF(OR(NOT(ISNUMBER(E9)),NOT(ISNUMBER(I9))),"",ROUND(E9-I9,2))</x:f>
      </x:c>
      <x:c r="K9" s="2" t="str">
        <x:f>IF(COUNTA(A9:F9)=0,"",IF(OR(A9="",B9="",C9="",D9="",NOT(ISNUMBER(E9))),"Missing / invalid input",IF(G9&gt;1,"Duplicate key in this source",IF(H9=0,"Missing in other source",IF(H9&gt;1,"Duplicate in other source",IF(SUMIFS('External Data'!$M$2:$M$1001,'External Data'!$L$2:$L$1001,SUBSTITUTE(SUBSTITUTE(SUBSTITUTE(L9,"~","~~"),"*","~*"),"?","~?"))&lt;&gt;1,"Other amount is invalid",IF(J9&lt;&gt;0,"Amount differs","Matched")))))))</x:f>
      </x:c>
      <x:c r="L9" t="str">
        <x:f>IF(COUNTA(A9:F9)=0,"",LEN(A9)&amp;":"&amp;A9&amp;LEN(B9)&amp;":"&amp;B9&amp;LEN(C9)&amp;":"&amp;C9&amp;LEN(D9)&amp;":"&amp;D9)</x:f>
      </x:c>
      <x:c r="M9" t="str">
        <x:f>IF(COUNTA(A9:F9)=0,"",IF(ISNUMBER(E9),1,0))</x:f>
      </x:c>
    </x:row>
    <x:row r="10">
      <x:c r="A10" s="11"/>
      <x:c r="B10" s="11"/>
      <x:c r="C10" s="11"/>
      <x:c r="D10" s="11"/>
      <x:c r="E10" s="12"/>
      <x:c r="F10" s="10"/>
      <x:c r="G10" s="2" t="str">
        <x:f>IF(COUNTA(A10:F10)=0,"",COUNTIFS('App Data'!$L$2:$L$1001,SUBSTITUTE(SUBSTITUTE(SUBSTITUTE(L10,"~","~~"),"*","~*"),"?","~?")))</x:f>
      </x:c>
      <x:c r="H10" s="2" t="str">
        <x:f>IF(COUNTA(A10:F10)=0,"",COUNTIFS('External Data'!$L$2:$L$1001,SUBSTITUTE(SUBSTITUTE(SUBSTITUTE(L10,"~","~~"),"*","~*"),"?","~?")))</x:f>
      </x:c>
      <x:c r="I10" s="13" t="str">
        <x:f>IF(OR(H10&lt;&gt;1,G10&lt;&gt;1),"",SUMIFS('External Data'!$E$2:$E$1001,'External Data'!$L$2:$L$1001,SUBSTITUTE(SUBSTITUTE(SUBSTITUTE(L10,"~","~~"),"*","~*"),"?","~?")))</x:f>
      </x:c>
      <x:c r="J10" s="13" t="str">
        <x:f>IF(OR(NOT(ISNUMBER(E10)),NOT(ISNUMBER(I10))),"",ROUND(E10-I10,2))</x:f>
      </x:c>
      <x:c r="K10" s="2" t="str">
        <x:f>IF(COUNTA(A10:F10)=0,"",IF(OR(A10="",B10="",C10="",D10="",NOT(ISNUMBER(E10))),"Missing / invalid input",IF(G10&gt;1,"Duplicate key in this source",IF(H10=0,"Missing in other source",IF(H10&gt;1,"Duplicate in other source",IF(SUMIFS('External Data'!$M$2:$M$1001,'External Data'!$L$2:$L$1001,SUBSTITUTE(SUBSTITUTE(SUBSTITUTE(L10,"~","~~"),"*","~*"),"?","~?"))&lt;&gt;1,"Other amount is invalid",IF(J10&lt;&gt;0,"Amount differs","Matched")))))))</x:f>
      </x:c>
      <x:c r="L10" t="str">
        <x:f>IF(COUNTA(A10:F10)=0,"",LEN(A10)&amp;":"&amp;A10&amp;LEN(B10)&amp;":"&amp;B10&amp;LEN(C10)&amp;":"&amp;C10&amp;LEN(D10)&amp;":"&amp;D10)</x:f>
      </x:c>
      <x:c r="M10" t="str">
        <x:f>IF(COUNTA(A10:F10)=0,"",IF(ISNUMBER(E10),1,0))</x:f>
      </x:c>
    </x:row>
    <x:row r="11">
      <x:c r="A11" s="11"/>
      <x:c r="B11" s="11"/>
      <x:c r="C11" s="11"/>
      <x:c r="D11" s="11"/>
      <x:c r="E11" s="12"/>
      <x:c r="F11" s="10"/>
      <x:c r="G11" s="2" t="str">
        <x:f>IF(COUNTA(A11:F11)=0,"",COUNTIFS('App Data'!$L$2:$L$1001,SUBSTITUTE(SUBSTITUTE(SUBSTITUTE(L11,"~","~~"),"*","~*"),"?","~?")))</x:f>
      </x:c>
      <x:c r="H11" s="2" t="str">
        <x:f>IF(COUNTA(A11:F11)=0,"",COUNTIFS('External Data'!$L$2:$L$1001,SUBSTITUTE(SUBSTITUTE(SUBSTITUTE(L11,"~","~~"),"*","~*"),"?","~?")))</x:f>
      </x:c>
      <x:c r="I11" s="13" t="str">
        <x:f>IF(OR(H11&lt;&gt;1,G11&lt;&gt;1),"",SUMIFS('External Data'!$E$2:$E$1001,'External Data'!$L$2:$L$1001,SUBSTITUTE(SUBSTITUTE(SUBSTITUTE(L11,"~","~~"),"*","~*"),"?","~?")))</x:f>
      </x:c>
      <x:c r="J11" s="13" t="str">
        <x:f>IF(OR(NOT(ISNUMBER(E11)),NOT(ISNUMBER(I11))),"",ROUND(E11-I11,2))</x:f>
      </x:c>
      <x:c r="K11" s="2" t="str">
        <x:f>IF(COUNTA(A11:F11)=0,"",IF(OR(A11="",B11="",C11="",D11="",NOT(ISNUMBER(E11))),"Missing / invalid input",IF(G11&gt;1,"Duplicate key in this source",IF(H11=0,"Missing in other source",IF(H11&gt;1,"Duplicate in other source",IF(SUMIFS('External Data'!$M$2:$M$1001,'External Data'!$L$2:$L$1001,SUBSTITUTE(SUBSTITUTE(SUBSTITUTE(L11,"~","~~"),"*","~*"),"?","~?"))&lt;&gt;1,"Other amount is invalid",IF(J11&lt;&gt;0,"Amount differs","Matched")))))))</x:f>
      </x:c>
      <x:c r="L11" t="str">
        <x:f>IF(COUNTA(A11:F11)=0,"",LEN(A11)&amp;":"&amp;A11&amp;LEN(B11)&amp;":"&amp;B11&amp;LEN(C11)&amp;":"&amp;C11&amp;LEN(D11)&amp;":"&amp;D11)</x:f>
      </x:c>
      <x:c r="M11" t="str">
        <x:f>IF(COUNTA(A11:F11)=0,"",IF(ISNUMBER(E11),1,0))</x:f>
      </x:c>
    </x:row>
    <x:row r="12">
      <x:c r="A12" s="11"/>
      <x:c r="B12" s="11"/>
      <x:c r="C12" s="11"/>
      <x:c r="D12" s="11"/>
      <x:c r="E12" s="12"/>
      <x:c r="F12" s="10"/>
      <x:c r="G12" s="2" t="str">
        <x:f>IF(COUNTA(A12:F12)=0,"",COUNTIFS('App Data'!$L$2:$L$1001,SUBSTITUTE(SUBSTITUTE(SUBSTITUTE(L12,"~","~~"),"*","~*"),"?","~?")))</x:f>
      </x:c>
      <x:c r="H12" s="2" t="str">
        <x:f>IF(COUNTA(A12:F12)=0,"",COUNTIFS('External Data'!$L$2:$L$1001,SUBSTITUTE(SUBSTITUTE(SUBSTITUTE(L12,"~","~~"),"*","~*"),"?","~?")))</x:f>
      </x:c>
      <x:c r="I12" s="13" t="str">
        <x:f>IF(OR(H12&lt;&gt;1,G12&lt;&gt;1),"",SUMIFS('External Data'!$E$2:$E$1001,'External Data'!$L$2:$L$1001,SUBSTITUTE(SUBSTITUTE(SUBSTITUTE(L12,"~","~~"),"*","~*"),"?","~?")))</x:f>
      </x:c>
      <x:c r="J12" s="13" t="str">
        <x:f>IF(OR(NOT(ISNUMBER(E12)),NOT(ISNUMBER(I12))),"",ROUND(E12-I12,2))</x:f>
      </x:c>
      <x:c r="K12" s="2" t="str">
        <x:f>IF(COUNTA(A12:F12)=0,"",IF(OR(A12="",B12="",C12="",D12="",NOT(ISNUMBER(E12))),"Missing / invalid input",IF(G12&gt;1,"Duplicate key in this source",IF(H12=0,"Missing in other source",IF(H12&gt;1,"Duplicate in other source",IF(SUMIFS('External Data'!$M$2:$M$1001,'External Data'!$L$2:$L$1001,SUBSTITUTE(SUBSTITUTE(SUBSTITUTE(L12,"~","~~"),"*","~*"),"?","~?"))&lt;&gt;1,"Other amount is invalid",IF(J12&lt;&gt;0,"Amount differs","Matched")))))))</x:f>
      </x:c>
      <x:c r="L12" t="str">
        <x:f>IF(COUNTA(A12:F12)=0,"",LEN(A12)&amp;":"&amp;A12&amp;LEN(B12)&amp;":"&amp;B12&amp;LEN(C12)&amp;":"&amp;C12&amp;LEN(D12)&amp;":"&amp;D12)</x:f>
      </x:c>
      <x:c r="M12" t="str">
        <x:f>IF(COUNTA(A12:F12)=0,"",IF(ISNUMBER(E12),1,0))</x:f>
      </x:c>
    </x:row>
    <x:row r="13">
      <x:c r="A13" s="11"/>
      <x:c r="B13" s="11"/>
      <x:c r="C13" s="11"/>
      <x:c r="D13" s="11"/>
      <x:c r="E13" s="12"/>
      <x:c r="F13" s="10"/>
      <x:c r="G13" s="2" t="str">
        <x:f>IF(COUNTA(A13:F13)=0,"",COUNTIFS('App Data'!$L$2:$L$1001,SUBSTITUTE(SUBSTITUTE(SUBSTITUTE(L13,"~","~~"),"*","~*"),"?","~?")))</x:f>
      </x:c>
      <x:c r="H13" s="2" t="str">
        <x:f>IF(COUNTA(A13:F13)=0,"",COUNTIFS('External Data'!$L$2:$L$1001,SUBSTITUTE(SUBSTITUTE(SUBSTITUTE(L13,"~","~~"),"*","~*"),"?","~?")))</x:f>
      </x:c>
      <x:c r="I13" s="13" t="str">
        <x:f>IF(OR(H13&lt;&gt;1,G13&lt;&gt;1),"",SUMIFS('External Data'!$E$2:$E$1001,'External Data'!$L$2:$L$1001,SUBSTITUTE(SUBSTITUTE(SUBSTITUTE(L13,"~","~~"),"*","~*"),"?","~?")))</x:f>
      </x:c>
      <x:c r="J13" s="13" t="str">
        <x:f>IF(OR(NOT(ISNUMBER(E13)),NOT(ISNUMBER(I13))),"",ROUND(E13-I13,2))</x:f>
      </x:c>
      <x:c r="K13" s="2" t="str">
        <x:f>IF(COUNTA(A13:F13)=0,"",IF(OR(A13="",B13="",C13="",D13="",NOT(ISNUMBER(E13))),"Missing / invalid input",IF(G13&gt;1,"Duplicate key in this source",IF(H13=0,"Missing in other source",IF(H13&gt;1,"Duplicate in other source",IF(SUMIFS('External Data'!$M$2:$M$1001,'External Data'!$L$2:$L$1001,SUBSTITUTE(SUBSTITUTE(SUBSTITUTE(L13,"~","~~"),"*","~*"),"?","~?"))&lt;&gt;1,"Other amount is invalid",IF(J13&lt;&gt;0,"Amount differs","Matched")))))))</x:f>
      </x:c>
      <x:c r="L13" t="str">
        <x:f>IF(COUNTA(A13:F13)=0,"",LEN(A13)&amp;":"&amp;A13&amp;LEN(B13)&amp;":"&amp;B13&amp;LEN(C13)&amp;":"&amp;C13&amp;LEN(D13)&amp;":"&amp;D13)</x:f>
      </x:c>
      <x:c r="M13" t="str">
        <x:f>IF(COUNTA(A13:F13)=0,"",IF(ISNUMBER(E13),1,0))</x:f>
      </x:c>
    </x:row>
    <x:row r="14">
      <x:c r="A14" s="11"/>
      <x:c r="B14" s="11"/>
      <x:c r="C14" s="11"/>
      <x:c r="D14" s="11"/>
      <x:c r="E14" s="12"/>
      <x:c r="F14" s="10"/>
      <x:c r="G14" s="2" t="str">
        <x:f>IF(COUNTA(A14:F14)=0,"",COUNTIFS('App Data'!$L$2:$L$1001,SUBSTITUTE(SUBSTITUTE(SUBSTITUTE(L14,"~","~~"),"*","~*"),"?","~?")))</x:f>
      </x:c>
      <x:c r="H14" s="2" t="str">
        <x:f>IF(COUNTA(A14:F14)=0,"",COUNTIFS('External Data'!$L$2:$L$1001,SUBSTITUTE(SUBSTITUTE(SUBSTITUTE(L14,"~","~~"),"*","~*"),"?","~?")))</x:f>
      </x:c>
      <x:c r="I14" s="13" t="str">
        <x:f>IF(OR(H14&lt;&gt;1,G14&lt;&gt;1),"",SUMIFS('External Data'!$E$2:$E$1001,'External Data'!$L$2:$L$1001,SUBSTITUTE(SUBSTITUTE(SUBSTITUTE(L14,"~","~~"),"*","~*"),"?","~?")))</x:f>
      </x:c>
      <x:c r="J14" s="13" t="str">
        <x:f>IF(OR(NOT(ISNUMBER(E14)),NOT(ISNUMBER(I14))),"",ROUND(E14-I14,2))</x:f>
      </x:c>
      <x:c r="K14" s="2" t="str">
        <x:f>IF(COUNTA(A14:F14)=0,"",IF(OR(A14="",B14="",C14="",D14="",NOT(ISNUMBER(E14))),"Missing / invalid input",IF(G14&gt;1,"Duplicate key in this source",IF(H14=0,"Missing in other source",IF(H14&gt;1,"Duplicate in other source",IF(SUMIFS('External Data'!$M$2:$M$1001,'External Data'!$L$2:$L$1001,SUBSTITUTE(SUBSTITUTE(SUBSTITUTE(L14,"~","~~"),"*","~*"),"?","~?"))&lt;&gt;1,"Other amount is invalid",IF(J14&lt;&gt;0,"Amount differs","Matched")))))))</x:f>
      </x:c>
      <x:c r="L14" t="str">
        <x:f>IF(COUNTA(A14:F14)=0,"",LEN(A14)&amp;":"&amp;A14&amp;LEN(B14)&amp;":"&amp;B14&amp;LEN(C14)&amp;":"&amp;C14&amp;LEN(D14)&amp;":"&amp;D14)</x:f>
      </x:c>
      <x:c r="M14" t="str">
        <x:f>IF(COUNTA(A14:F14)=0,"",IF(ISNUMBER(E14),1,0))</x:f>
      </x:c>
    </x:row>
    <x:row r="15">
      <x:c r="A15" s="11"/>
      <x:c r="B15" s="11"/>
      <x:c r="C15" s="11"/>
      <x:c r="D15" s="11"/>
      <x:c r="E15" s="12"/>
      <x:c r="F15" s="10"/>
      <x:c r="G15" s="2" t="str">
        <x:f>IF(COUNTA(A15:F15)=0,"",COUNTIFS('App Data'!$L$2:$L$1001,SUBSTITUTE(SUBSTITUTE(SUBSTITUTE(L15,"~","~~"),"*","~*"),"?","~?")))</x:f>
      </x:c>
      <x:c r="H15" s="2" t="str">
        <x:f>IF(COUNTA(A15:F15)=0,"",COUNTIFS('External Data'!$L$2:$L$1001,SUBSTITUTE(SUBSTITUTE(SUBSTITUTE(L15,"~","~~"),"*","~*"),"?","~?")))</x:f>
      </x:c>
      <x:c r="I15" s="13" t="str">
        <x:f>IF(OR(H15&lt;&gt;1,G15&lt;&gt;1),"",SUMIFS('External Data'!$E$2:$E$1001,'External Data'!$L$2:$L$1001,SUBSTITUTE(SUBSTITUTE(SUBSTITUTE(L15,"~","~~"),"*","~*"),"?","~?")))</x:f>
      </x:c>
      <x:c r="J15" s="13" t="str">
        <x:f>IF(OR(NOT(ISNUMBER(E15)),NOT(ISNUMBER(I15))),"",ROUND(E15-I15,2))</x:f>
      </x:c>
      <x:c r="K15" s="2" t="str">
        <x:f>IF(COUNTA(A15:F15)=0,"",IF(OR(A15="",B15="",C15="",D15="",NOT(ISNUMBER(E15))),"Missing / invalid input",IF(G15&gt;1,"Duplicate key in this source",IF(H15=0,"Missing in other source",IF(H15&gt;1,"Duplicate in other source",IF(SUMIFS('External Data'!$M$2:$M$1001,'External Data'!$L$2:$L$1001,SUBSTITUTE(SUBSTITUTE(SUBSTITUTE(L15,"~","~~"),"*","~*"),"?","~?"))&lt;&gt;1,"Other amount is invalid",IF(J15&lt;&gt;0,"Amount differs","Matched")))))))</x:f>
      </x:c>
      <x:c r="L15" t="str">
        <x:f>IF(COUNTA(A15:F15)=0,"",LEN(A15)&amp;":"&amp;A15&amp;LEN(B15)&amp;":"&amp;B15&amp;LEN(C15)&amp;":"&amp;C15&amp;LEN(D15)&amp;":"&amp;D15)</x:f>
      </x:c>
      <x:c r="M15" t="str">
        <x:f>IF(COUNTA(A15:F15)=0,"",IF(ISNUMBER(E15),1,0))</x:f>
      </x:c>
    </x:row>
    <x:row r="16">
      <x:c r="A16" s="11"/>
      <x:c r="B16" s="11"/>
      <x:c r="C16" s="11"/>
      <x:c r="D16" s="11"/>
      <x:c r="E16" s="12"/>
      <x:c r="F16" s="10"/>
      <x:c r="G16" s="2" t="str">
        <x:f>IF(COUNTA(A16:F16)=0,"",COUNTIFS('App Data'!$L$2:$L$1001,SUBSTITUTE(SUBSTITUTE(SUBSTITUTE(L16,"~","~~"),"*","~*"),"?","~?")))</x:f>
      </x:c>
      <x:c r="H16" s="2" t="str">
        <x:f>IF(COUNTA(A16:F16)=0,"",COUNTIFS('External Data'!$L$2:$L$1001,SUBSTITUTE(SUBSTITUTE(SUBSTITUTE(L16,"~","~~"),"*","~*"),"?","~?")))</x:f>
      </x:c>
      <x:c r="I16" s="13" t="str">
        <x:f>IF(OR(H16&lt;&gt;1,G16&lt;&gt;1),"",SUMIFS('External Data'!$E$2:$E$1001,'External Data'!$L$2:$L$1001,SUBSTITUTE(SUBSTITUTE(SUBSTITUTE(L16,"~","~~"),"*","~*"),"?","~?")))</x:f>
      </x:c>
      <x:c r="J16" s="13" t="str">
        <x:f>IF(OR(NOT(ISNUMBER(E16)),NOT(ISNUMBER(I16))),"",ROUND(E16-I16,2))</x:f>
      </x:c>
      <x:c r="K16" s="2" t="str">
        <x:f>IF(COUNTA(A16:F16)=0,"",IF(OR(A16="",B16="",C16="",D16="",NOT(ISNUMBER(E16))),"Missing / invalid input",IF(G16&gt;1,"Duplicate key in this source",IF(H16=0,"Missing in other source",IF(H16&gt;1,"Duplicate in other source",IF(SUMIFS('External Data'!$M$2:$M$1001,'External Data'!$L$2:$L$1001,SUBSTITUTE(SUBSTITUTE(SUBSTITUTE(L16,"~","~~"),"*","~*"),"?","~?"))&lt;&gt;1,"Other amount is invalid",IF(J16&lt;&gt;0,"Amount differs","Matched")))))))</x:f>
      </x:c>
      <x:c r="L16" t="str">
        <x:f>IF(COUNTA(A16:F16)=0,"",LEN(A16)&amp;":"&amp;A16&amp;LEN(B16)&amp;":"&amp;B16&amp;LEN(C16)&amp;":"&amp;C16&amp;LEN(D16)&amp;":"&amp;D16)</x:f>
      </x:c>
      <x:c r="M16" t="str">
        <x:f>IF(COUNTA(A16:F16)=0,"",IF(ISNUMBER(E16),1,0))</x:f>
      </x:c>
    </x:row>
    <x:row r="17">
      <x:c r="A17" s="11"/>
      <x:c r="B17" s="11"/>
      <x:c r="C17" s="11"/>
      <x:c r="D17" s="11"/>
      <x:c r="E17" s="12"/>
      <x:c r="F17" s="10"/>
      <x:c r="G17" s="2" t="str">
        <x:f>IF(COUNTA(A17:F17)=0,"",COUNTIFS('App Data'!$L$2:$L$1001,SUBSTITUTE(SUBSTITUTE(SUBSTITUTE(L17,"~","~~"),"*","~*"),"?","~?")))</x:f>
      </x:c>
      <x:c r="H17" s="2" t="str">
        <x:f>IF(COUNTA(A17:F17)=0,"",COUNTIFS('External Data'!$L$2:$L$1001,SUBSTITUTE(SUBSTITUTE(SUBSTITUTE(L17,"~","~~"),"*","~*"),"?","~?")))</x:f>
      </x:c>
      <x:c r="I17" s="13" t="str">
        <x:f>IF(OR(H17&lt;&gt;1,G17&lt;&gt;1),"",SUMIFS('External Data'!$E$2:$E$1001,'External Data'!$L$2:$L$1001,SUBSTITUTE(SUBSTITUTE(SUBSTITUTE(L17,"~","~~"),"*","~*"),"?","~?")))</x:f>
      </x:c>
      <x:c r="J17" s="13" t="str">
        <x:f>IF(OR(NOT(ISNUMBER(E17)),NOT(ISNUMBER(I17))),"",ROUND(E17-I17,2))</x:f>
      </x:c>
      <x:c r="K17" s="2" t="str">
        <x:f>IF(COUNTA(A17:F17)=0,"",IF(OR(A17="",B17="",C17="",D17="",NOT(ISNUMBER(E17))),"Missing / invalid input",IF(G17&gt;1,"Duplicate key in this source",IF(H17=0,"Missing in other source",IF(H17&gt;1,"Duplicate in other source",IF(SUMIFS('External Data'!$M$2:$M$1001,'External Data'!$L$2:$L$1001,SUBSTITUTE(SUBSTITUTE(SUBSTITUTE(L17,"~","~~"),"*","~*"),"?","~?"))&lt;&gt;1,"Other amount is invalid",IF(J17&lt;&gt;0,"Amount differs","Matched")))))))</x:f>
      </x:c>
      <x:c r="L17" t="str">
        <x:f>IF(COUNTA(A17:F17)=0,"",LEN(A17)&amp;":"&amp;A17&amp;LEN(B17)&amp;":"&amp;B17&amp;LEN(C17)&amp;":"&amp;C17&amp;LEN(D17)&amp;":"&amp;D17)</x:f>
      </x:c>
      <x:c r="M17" t="str">
        <x:f>IF(COUNTA(A17:F17)=0,"",IF(ISNUMBER(E17),1,0))</x:f>
      </x:c>
    </x:row>
    <x:row r="18">
      <x:c r="A18" s="11"/>
      <x:c r="B18" s="11"/>
      <x:c r="C18" s="11"/>
      <x:c r="D18" s="11"/>
      <x:c r="E18" s="12"/>
      <x:c r="F18" s="10"/>
      <x:c r="G18" s="2" t="str">
        <x:f>IF(COUNTA(A18:F18)=0,"",COUNTIFS('App Data'!$L$2:$L$1001,SUBSTITUTE(SUBSTITUTE(SUBSTITUTE(L18,"~","~~"),"*","~*"),"?","~?")))</x:f>
      </x:c>
      <x:c r="H18" s="2" t="str">
        <x:f>IF(COUNTA(A18:F18)=0,"",COUNTIFS('External Data'!$L$2:$L$1001,SUBSTITUTE(SUBSTITUTE(SUBSTITUTE(L18,"~","~~"),"*","~*"),"?","~?")))</x:f>
      </x:c>
      <x:c r="I18" s="13" t="str">
        <x:f>IF(OR(H18&lt;&gt;1,G18&lt;&gt;1),"",SUMIFS('External Data'!$E$2:$E$1001,'External Data'!$L$2:$L$1001,SUBSTITUTE(SUBSTITUTE(SUBSTITUTE(L18,"~","~~"),"*","~*"),"?","~?")))</x:f>
      </x:c>
      <x:c r="J18" s="13" t="str">
        <x:f>IF(OR(NOT(ISNUMBER(E18)),NOT(ISNUMBER(I18))),"",ROUND(E18-I18,2))</x:f>
      </x:c>
      <x:c r="K18" s="2" t="str">
        <x:f>IF(COUNTA(A18:F18)=0,"",IF(OR(A18="",B18="",C18="",D18="",NOT(ISNUMBER(E18))),"Missing / invalid input",IF(G18&gt;1,"Duplicate key in this source",IF(H18=0,"Missing in other source",IF(H18&gt;1,"Duplicate in other source",IF(SUMIFS('External Data'!$M$2:$M$1001,'External Data'!$L$2:$L$1001,SUBSTITUTE(SUBSTITUTE(SUBSTITUTE(L18,"~","~~"),"*","~*"),"?","~?"))&lt;&gt;1,"Other amount is invalid",IF(J18&lt;&gt;0,"Amount differs","Matched")))))))</x:f>
      </x:c>
      <x:c r="L18" t="str">
        <x:f>IF(COUNTA(A18:F18)=0,"",LEN(A18)&amp;":"&amp;A18&amp;LEN(B18)&amp;":"&amp;B18&amp;LEN(C18)&amp;":"&amp;C18&amp;LEN(D18)&amp;":"&amp;D18)</x:f>
      </x:c>
      <x:c r="M18" t="str">
        <x:f>IF(COUNTA(A18:F18)=0,"",IF(ISNUMBER(E18),1,0))</x:f>
      </x:c>
    </x:row>
    <x:row r="19">
      <x:c r="A19" s="11"/>
      <x:c r="B19" s="11"/>
      <x:c r="C19" s="11"/>
      <x:c r="D19" s="11"/>
      <x:c r="E19" s="12"/>
      <x:c r="F19" s="10"/>
      <x:c r="G19" s="2" t="str">
        <x:f>IF(COUNTA(A19:F19)=0,"",COUNTIFS('App Data'!$L$2:$L$1001,SUBSTITUTE(SUBSTITUTE(SUBSTITUTE(L19,"~","~~"),"*","~*"),"?","~?")))</x:f>
      </x:c>
      <x:c r="H19" s="2" t="str">
        <x:f>IF(COUNTA(A19:F19)=0,"",COUNTIFS('External Data'!$L$2:$L$1001,SUBSTITUTE(SUBSTITUTE(SUBSTITUTE(L19,"~","~~"),"*","~*"),"?","~?")))</x:f>
      </x:c>
      <x:c r="I19" s="13" t="str">
        <x:f>IF(OR(H19&lt;&gt;1,G19&lt;&gt;1),"",SUMIFS('External Data'!$E$2:$E$1001,'External Data'!$L$2:$L$1001,SUBSTITUTE(SUBSTITUTE(SUBSTITUTE(L19,"~","~~"),"*","~*"),"?","~?")))</x:f>
      </x:c>
      <x:c r="J19" s="13" t="str">
        <x:f>IF(OR(NOT(ISNUMBER(E19)),NOT(ISNUMBER(I19))),"",ROUND(E19-I19,2))</x:f>
      </x:c>
      <x:c r="K19" s="2" t="str">
        <x:f>IF(COUNTA(A19:F19)=0,"",IF(OR(A19="",B19="",C19="",D19="",NOT(ISNUMBER(E19))),"Missing / invalid input",IF(G19&gt;1,"Duplicate key in this source",IF(H19=0,"Missing in other source",IF(H19&gt;1,"Duplicate in other source",IF(SUMIFS('External Data'!$M$2:$M$1001,'External Data'!$L$2:$L$1001,SUBSTITUTE(SUBSTITUTE(SUBSTITUTE(L19,"~","~~"),"*","~*"),"?","~?"))&lt;&gt;1,"Other amount is invalid",IF(J19&lt;&gt;0,"Amount differs","Matched")))))))</x:f>
      </x:c>
      <x:c r="L19" t="str">
        <x:f>IF(COUNTA(A19:F19)=0,"",LEN(A19)&amp;":"&amp;A19&amp;LEN(B19)&amp;":"&amp;B19&amp;LEN(C19)&amp;":"&amp;C19&amp;LEN(D19)&amp;":"&amp;D19)</x:f>
      </x:c>
      <x:c r="M19" t="str">
        <x:f>IF(COUNTA(A19:F19)=0,"",IF(ISNUMBER(E19),1,0))</x:f>
      </x:c>
    </x:row>
    <x:row r="20">
      <x:c r="A20" s="11"/>
      <x:c r="B20" s="11"/>
      <x:c r="C20" s="11"/>
      <x:c r="D20" s="11"/>
      <x:c r="E20" s="12"/>
      <x:c r="F20" s="10"/>
      <x:c r="G20" s="2" t="str">
        <x:f>IF(COUNTA(A20:F20)=0,"",COUNTIFS('App Data'!$L$2:$L$1001,SUBSTITUTE(SUBSTITUTE(SUBSTITUTE(L20,"~","~~"),"*","~*"),"?","~?")))</x:f>
      </x:c>
      <x:c r="H20" s="2" t="str">
        <x:f>IF(COUNTA(A20:F20)=0,"",COUNTIFS('External Data'!$L$2:$L$1001,SUBSTITUTE(SUBSTITUTE(SUBSTITUTE(L20,"~","~~"),"*","~*"),"?","~?")))</x:f>
      </x:c>
      <x:c r="I20" s="13" t="str">
        <x:f>IF(OR(H20&lt;&gt;1,G20&lt;&gt;1),"",SUMIFS('External Data'!$E$2:$E$1001,'External Data'!$L$2:$L$1001,SUBSTITUTE(SUBSTITUTE(SUBSTITUTE(L20,"~","~~"),"*","~*"),"?","~?")))</x:f>
      </x:c>
      <x:c r="J20" s="13" t="str">
        <x:f>IF(OR(NOT(ISNUMBER(E20)),NOT(ISNUMBER(I20))),"",ROUND(E20-I20,2))</x:f>
      </x:c>
      <x:c r="K20" s="2" t="str">
        <x:f>IF(COUNTA(A20:F20)=0,"",IF(OR(A20="",B20="",C20="",D20="",NOT(ISNUMBER(E20))),"Missing / invalid input",IF(G20&gt;1,"Duplicate key in this source",IF(H20=0,"Missing in other source",IF(H20&gt;1,"Duplicate in other source",IF(SUMIFS('External Data'!$M$2:$M$1001,'External Data'!$L$2:$L$1001,SUBSTITUTE(SUBSTITUTE(SUBSTITUTE(L20,"~","~~"),"*","~*"),"?","~?"))&lt;&gt;1,"Other amount is invalid",IF(J20&lt;&gt;0,"Amount differs","Matched")))))))</x:f>
      </x:c>
      <x:c r="L20" t="str">
        <x:f>IF(COUNTA(A20:F20)=0,"",LEN(A20)&amp;":"&amp;A20&amp;LEN(B20)&amp;":"&amp;B20&amp;LEN(C20)&amp;":"&amp;C20&amp;LEN(D20)&amp;":"&amp;D20)</x:f>
      </x:c>
      <x:c r="M20" t="str">
        <x:f>IF(COUNTA(A20:F20)=0,"",IF(ISNUMBER(E20),1,0))</x:f>
      </x:c>
    </x:row>
    <x:row r="21">
      <x:c r="A21" s="11"/>
      <x:c r="B21" s="11"/>
      <x:c r="C21" s="11"/>
      <x:c r="D21" s="11"/>
      <x:c r="E21" s="12"/>
      <x:c r="F21" s="10"/>
      <x:c r="G21" s="2" t="str">
        <x:f>IF(COUNTA(A21:F21)=0,"",COUNTIFS('App Data'!$L$2:$L$1001,SUBSTITUTE(SUBSTITUTE(SUBSTITUTE(L21,"~","~~"),"*","~*"),"?","~?")))</x:f>
      </x:c>
      <x:c r="H21" s="2" t="str">
        <x:f>IF(COUNTA(A21:F21)=0,"",COUNTIFS('External Data'!$L$2:$L$1001,SUBSTITUTE(SUBSTITUTE(SUBSTITUTE(L21,"~","~~"),"*","~*"),"?","~?")))</x:f>
      </x:c>
      <x:c r="I21" s="13" t="str">
        <x:f>IF(OR(H21&lt;&gt;1,G21&lt;&gt;1),"",SUMIFS('External Data'!$E$2:$E$1001,'External Data'!$L$2:$L$1001,SUBSTITUTE(SUBSTITUTE(SUBSTITUTE(L21,"~","~~"),"*","~*"),"?","~?")))</x:f>
      </x:c>
      <x:c r="J21" s="13" t="str">
        <x:f>IF(OR(NOT(ISNUMBER(E21)),NOT(ISNUMBER(I21))),"",ROUND(E21-I21,2))</x:f>
      </x:c>
      <x:c r="K21" s="2" t="str">
        <x:f>IF(COUNTA(A21:F21)=0,"",IF(OR(A21="",B21="",C21="",D21="",NOT(ISNUMBER(E21))),"Missing / invalid input",IF(G21&gt;1,"Duplicate key in this source",IF(H21=0,"Missing in other source",IF(H21&gt;1,"Duplicate in other source",IF(SUMIFS('External Data'!$M$2:$M$1001,'External Data'!$L$2:$L$1001,SUBSTITUTE(SUBSTITUTE(SUBSTITUTE(L21,"~","~~"),"*","~*"),"?","~?"))&lt;&gt;1,"Other amount is invalid",IF(J21&lt;&gt;0,"Amount differs","Matched")))))))</x:f>
      </x:c>
      <x:c r="L21" t="str">
        <x:f>IF(COUNTA(A21:F21)=0,"",LEN(A21)&amp;":"&amp;A21&amp;LEN(B21)&amp;":"&amp;B21&amp;LEN(C21)&amp;":"&amp;C21&amp;LEN(D21)&amp;":"&amp;D21)</x:f>
      </x:c>
      <x:c r="M21" t="str">
        <x:f>IF(COUNTA(A21:F21)=0,"",IF(ISNUMBER(E21),1,0))</x:f>
      </x:c>
    </x:row>
    <x:row r="22">
      <x:c r="A22" s="11"/>
      <x:c r="B22" s="11"/>
      <x:c r="C22" s="11"/>
      <x:c r="D22" s="11"/>
      <x:c r="E22" s="12"/>
      <x:c r="F22" s="10"/>
      <x:c r="G22" s="2" t="str">
        <x:f>IF(COUNTA(A22:F22)=0,"",COUNTIFS('App Data'!$L$2:$L$1001,SUBSTITUTE(SUBSTITUTE(SUBSTITUTE(L22,"~","~~"),"*","~*"),"?","~?")))</x:f>
      </x:c>
      <x:c r="H22" s="2" t="str">
        <x:f>IF(COUNTA(A22:F22)=0,"",COUNTIFS('External Data'!$L$2:$L$1001,SUBSTITUTE(SUBSTITUTE(SUBSTITUTE(L22,"~","~~"),"*","~*"),"?","~?")))</x:f>
      </x:c>
      <x:c r="I22" s="13" t="str">
        <x:f>IF(OR(H22&lt;&gt;1,G22&lt;&gt;1),"",SUMIFS('External Data'!$E$2:$E$1001,'External Data'!$L$2:$L$1001,SUBSTITUTE(SUBSTITUTE(SUBSTITUTE(L22,"~","~~"),"*","~*"),"?","~?")))</x:f>
      </x:c>
      <x:c r="J22" s="13" t="str">
        <x:f>IF(OR(NOT(ISNUMBER(E22)),NOT(ISNUMBER(I22))),"",ROUND(E22-I22,2))</x:f>
      </x:c>
      <x:c r="K22" s="2" t="str">
        <x:f>IF(COUNTA(A22:F22)=0,"",IF(OR(A22="",B22="",C22="",D22="",NOT(ISNUMBER(E22))),"Missing / invalid input",IF(G22&gt;1,"Duplicate key in this source",IF(H22=0,"Missing in other source",IF(H22&gt;1,"Duplicate in other source",IF(SUMIFS('External Data'!$M$2:$M$1001,'External Data'!$L$2:$L$1001,SUBSTITUTE(SUBSTITUTE(SUBSTITUTE(L22,"~","~~"),"*","~*"),"?","~?"))&lt;&gt;1,"Other amount is invalid",IF(J22&lt;&gt;0,"Amount differs","Matched")))))))</x:f>
      </x:c>
      <x:c r="L22" t="str">
        <x:f>IF(COUNTA(A22:F22)=0,"",LEN(A22)&amp;":"&amp;A22&amp;LEN(B22)&amp;":"&amp;B22&amp;LEN(C22)&amp;":"&amp;C22&amp;LEN(D22)&amp;":"&amp;D22)</x:f>
      </x:c>
      <x:c r="M22" t="str">
        <x:f>IF(COUNTA(A22:F22)=0,"",IF(ISNUMBER(E22),1,0))</x:f>
      </x:c>
    </x:row>
    <x:row r="23">
      <x:c r="A23" s="11"/>
      <x:c r="B23" s="11"/>
      <x:c r="C23" s="11"/>
      <x:c r="D23" s="11"/>
      <x:c r="E23" s="12"/>
      <x:c r="F23" s="10"/>
      <x:c r="G23" s="2" t="str">
        <x:f>IF(COUNTA(A23:F23)=0,"",COUNTIFS('App Data'!$L$2:$L$1001,SUBSTITUTE(SUBSTITUTE(SUBSTITUTE(L23,"~","~~"),"*","~*"),"?","~?")))</x:f>
      </x:c>
      <x:c r="H23" s="2" t="str">
        <x:f>IF(COUNTA(A23:F23)=0,"",COUNTIFS('External Data'!$L$2:$L$1001,SUBSTITUTE(SUBSTITUTE(SUBSTITUTE(L23,"~","~~"),"*","~*"),"?","~?")))</x:f>
      </x:c>
      <x:c r="I23" s="13" t="str">
        <x:f>IF(OR(H23&lt;&gt;1,G23&lt;&gt;1),"",SUMIFS('External Data'!$E$2:$E$1001,'External Data'!$L$2:$L$1001,SUBSTITUTE(SUBSTITUTE(SUBSTITUTE(L23,"~","~~"),"*","~*"),"?","~?")))</x:f>
      </x:c>
      <x:c r="J23" s="13" t="str">
        <x:f>IF(OR(NOT(ISNUMBER(E23)),NOT(ISNUMBER(I23))),"",ROUND(E23-I23,2))</x:f>
      </x:c>
      <x:c r="K23" s="2" t="str">
        <x:f>IF(COUNTA(A23:F23)=0,"",IF(OR(A23="",B23="",C23="",D23="",NOT(ISNUMBER(E23))),"Missing / invalid input",IF(G23&gt;1,"Duplicate key in this source",IF(H23=0,"Missing in other source",IF(H23&gt;1,"Duplicate in other source",IF(SUMIFS('External Data'!$M$2:$M$1001,'External Data'!$L$2:$L$1001,SUBSTITUTE(SUBSTITUTE(SUBSTITUTE(L23,"~","~~"),"*","~*"),"?","~?"))&lt;&gt;1,"Other amount is invalid",IF(J23&lt;&gt;0,"Amount differs","Matched")))))))</x:f>
      </x:c>
      <x:c r="L23" t="str">
        <x:f>IF(COUNTA(A23:F23)=0,"",LEN(A23)&amp;":"&amp;A23&amp;LEN(B23)&amp;":"&amp;B23&amp;LEN(C23)&amp;":"&amp;C23&amp;LEN(D23)&amp;":"&amp;D23)</x:f>
      </x:c>
      <x:c r="M23" t="str">
        <x:f>IF(COUNTA(A23:F23)=0,"",IF(ISNUMBER(E23),1,0))</x:f>
      </x:c>
    </x:row>
    <x:row r="24">
      <x:c r="A24" s="11"/>
      <x:c r="B24" s="11"/>
      <x:c r="C24" s="11"/>
      <x:c r="D24" s="11"/>
      <x:c r="E24" s="12"/>
      <x:c r="F24" s="10"/>
      <x:c r="G24" s="2" t="str">
        <x:f>IF(COUNTA(A24:F24)=0,"",COUNTIFS('App Data'!$L$2:$L$1001,SUBSTITUTE(SUBSTITUTE(SUBSTITUTE(L24,"~","~~"),"*","~*"),"?","~?")))</x:f>
      </x:c>
      <x:c r="H24" s="2" t="str">
        <x:f>IF(COUNTA(A24:F24)=0,"",COUNTIFS('External Data'!$L$2:$L$1001,SUBSTITUTE(SUBSTITUTE(SUBSTITUTE(L24,"~","~~"),"*","~*"),"?","~?")))</x:f>
      </x:c>
      <x:c r="I24" s="13" t="str">
        <x:f>IF(OR(H24&lt;&gt;1,G24&lt;&gt;1),"",SUMIFS('External Data'!$E$2:$E$1001,'External Data'!$L$2:$L$1001,SUBSTITUTE(SUBSTITUTE(SUBSTITUTE(L24,"~","~~"),"*","~*"),"?","~?")))</x:f>
      </x:c>
      <x:c r="J24" s="13" t="str">
        <x:f>IF(OR(NOT(ISNUMBER(E24)),NOT(ISNUMBER(I24))),"",ROUND(E24-I24,2))</x:f>
      </x:c>
      <x:c r="K24" s="2" t="str">
        <x:f>IF(COUNTA(A24:F24)=0,"",IF(OR(A24="",B24="",C24="",D24="",NOT(ISNUMBER(E24))),"Missing / invalid input",IF(G24&gt;1,"Duplicate key in this source",IF(H24=0,"Missing in other source",IF(H24&gt;1,"Duplicate in other source",IF(SUMIFS('External Data'!$M$2:$M$1001,'External Data'!$L$2:$L$1001,SUBSTITUTE(SUBSTITUTE(SUBSTITUTE(L24,"~","~~"),"*","~*"),"?","~?"))&lt;&gt;1,"Other amount is invalid",IF(J24&lt;&gt;0,"Amount differs","Matched")))))))</x:f>
      </x:c>
      <x:c r="L24" t="str">
        <x:f>IF(COUNTA(A24:F24)=0,"",LEN(A24)&amp;":"&amp;A24&amp;LEN(B24)&amp;":"&amp;B24&amp;LEN(C24)&amp;":"&amp;C24&amp;LEN(D24)&amp;":"&amp;D24)</x:f>
      </x:c>
      <x:c r="M24" t="str">
        <x:f>IF(COUNTA(A24:F24)=0,"",IF(ISNUMBER(E24),1,0))</x:f>
      </x:c>
    </x:row>
    <x:row r="25">
      <x:c r="A25" s="11"/>
      <x:c r="B25" s="11"/>
      <x:c r="C25" s="11"/>
      <x:c r="D25" s="11"/>
      <x:c r="E25" s="12"/>
      <x:c r="F25" s="10"/>
      <x:c r="G25" s="2" t="str">
        <x:f>IF(COUNTA(A25:F25)=0,"",COUNTIFS('App Data'!$L$2:$L$1001,SUBSTITUTE(SUBSTITUTE(SUBSTITUTE(L25,"~","~~"),"*","~*"),"?","~?")))</x:f>
      </x:c>
      <x:c r="H25" s="2" t="str">
        <x:f>IF(COUNTA(A25:F25)=0,"",COUNTIFS('External Data'!$L$2:$L$1001,SUBSTITUTE(SUBSTITUTE(SUBSTITUTE(L25,"~","~~"),"*","~*"),"?","~?")))</x:f>
      </x:c>
      <x:c r="I25" s="13" t="str">
        <x:f>IF(OR(H25&lt;&gt;1,G25&lt;&gt;1),"",SUMIFS('External Data'!$E$2:$E$1001,'External Data'!$L$2:$L$1001,SUBSTITUTE(SUBSTITUTE(SUBSTITUTE(L25,"~","~~"),"*","~*"),"?","~?")))</x:f>
      </x:c>
      <x:c r="J25" s="13" t="str">
        <x:f>IF(OR(NOT(ISNUMBER(E25)),NOT(ISNUMBER(I25))),"",ROUND(E25-I25,2))</x:f>
      </x:c>
      <x:c r="K25" s="2" t="str">
        <x:f>IF(COUNTA(A25:F25)=0,"",IF(OR(A25="",B25="",C25="",D25="",NOT(ISNUMBER(E25))),"Missing / invalid input",IF(G25&gt;1,"Duplicate key in this source",IF(H25=0,"Missing in other source",IF(H25&gt;1,"Duplicate in other source",IF(SUMIFS('External Data'!$M$2:$M$1001,'External Data'!$L$2:$L$1001,SUBSTITUTE(SUBSTITUTE(SUBSTITUTE(L25,"~","~~"),"*","~*"),"?","~?"))&lt;&gt;1,"Other amount is invalid",IF(J25&lt;&gt;0,"Amount differs","Matched")))))))</x:f>
      </x:c>
      <x:c r="L25" t="str">
        <x:f>IF(COUNTA(A25:F25)=0,"",LEN(A25)&amp;":"&amp;A25&amp;LEN(B25)&amp;":"&amp;B25&amp;LEN(C25)&amp;":"&amp;C25&amp;LEN(D25)&amp;":"&amp;D25)</x:f>
      </x:c>
      <x:c r="M25" t="str">
        <x:f>IF(COUNTA(A25:F25)=0,"",IF(ISNUMBER(E25),1,0))</x:f>
      </x:c>
    </x:row>
    <x:row r="26">
      <x:c r="A26" s="11"/>
      <x:c r="B26" s="11"/>
      <x:c r="C26" s="11"/>
      <x:c r="D26" s="11"/>
      <x:c r="E26" s="12"/>
      <x:c r="F26" s="10"/>
      <x:c r="G26" s="2" t="str">
        <x:f>IF(COUNTA(A26:F26)=0,"",COUNTIFS('App Data'!$L$2:$L$1001,SUBSTITUTE(SUBSTITUTE(SUBSTITUTE(L26,"~","~~"),"*","~*"),"?","~?")))</x:f>
      </x:c>
      <x:c r="H26" s="2" t="str">
        <x:f>IF(COUNTA(A26:F26)=0,"",COUNTIFS('External Data'!$L$2:$L$1001,SUBSTITUTE(SUBSTITUTE(SUBSTITUTE(L26,"~","~~"),"*","~*"),"?","~?")))</x:f>
      </x:c>
      <x:c r="I26" s="13" t="str">
        <x:f>IF(OR(H26&lt;&gt;1,G26&lt;&gt;1),"",SUMIFS('External Data'!$E$2:$E$1001,'External Data'!$L$2:$L$1001,SUBSTITUTE(SUBSTITUTE(SUBSTITUTE(L26,"~","~~"),"*","~*"),"?","~?")))</x:f>
      </x:c>
      <x:c r="J26" s="13" t="str">
        <x:f>IF(OR(NOT(ISNUMBER(E26)),NOT(ISNUMBER(I26))),"",ROUND(E26-I26,2))</x:f>
      </x:c>
      <x:c r="K26" s="2" t="str">
        <x:f>IF(COUNTA(A26:F26)=0,"",IF(OR(A26="",B26="",C26="",D26="",NOT(ISNUMBER(E26))),"Missing / invalid input",IF(G26&gt;1,"Duplicate key in this source",IF(H26=0,"Missing in other source",IF(H26&gt;1,"Duplicate in other source",IF(SUMIFS('External Data'!$M$2:$M$1001,'External Data'!$L$2:$L$1001,SUBSTITUTE(SUBSTITUTE(SUBSTITUTE(L26,"~","~~"),"*","~*"),"?","~?"))&lt;&gt;1,"Other amount is invalid",IF(J26&lt;&gt;0,"Amount differs","Matched")))))))</x:f>
      </x:c>
      <x:c r="L26" t="str">
        <x:f>IF(COUNTA(A26:F26)=0,"",LEN(A26)&amp;":"&amp;A26&amp;LEN(B26)&amp;":"&amp;B26&amp;LEN(C26)&amp;":"&amp;C26&amp;LEN(D26)&amp;":"&amp;D26)</x:f>
      </x:c>
      <x:c r="M26" t="str">
        <x:f>IF(COUNTA(A26:F26)=0,"",IF(ISNUMBER(E26),1,0))</x:f>
      </x:c>
    </x:row>
    <x:row r="27">
      <x:c r="A27" s="11"/>
      <x:c r="B27" s="11"/>
      <x:c r="C27" s="11"/>
      <x:c r="D27" s="11"/>
      <x:c r="E27" s="12"/>
      <x:c r="F27" s="10"/>
      <x:c r="G27" s="2" t="str">
        <x:f>IF(COUNTA(A27:F27)=0,"",COUNTIFS('App Data'!$L$2:$L$1001,SUBSTITUTE(SUBSTITUTE(SUBSTITUTE(L27,"~","~~"),"*","~*"),"?","~?")))</x:f>
      </x:c>
      <x:c r="H27" s="2" t="str">
        <x:f>IF(COUNTA(A27:F27)=0,"",COUNTIFS('External Data'!$L$2:$L$1001,SUBSTITUTE(SUBSTITUTE(SUBSTITUTE(L27,"~","~~"),"*","~*"),"?","~?")))</x:f>
      </x:c>
      <x:c r="I27" s="13" t="str">
        <x:f>IF(OR(H27&lt;&gt;1,G27&lt;&gt;1),"",SUMIFS('External Data'!$E$2:$E$1001,'External Data'!$L$2:$L$1001,SUBSTITUTE(SUBSTITUTE(SUBSTITUTE(L27,"~","~~"),"*","~*"),"?","~?")))</x:f>
      </x:c>
      <x:c r="J27" s="13" t="str">
        <x:f>IF(OR(NOT(ISNUMBER(E27)),NOT(ISNUMBER(I27))),"",ROUND(E27-I27,2))</x:f>
      </x:c>
      <x:c r="K27" s="2" t="str">
        <x:f>IF(COUNTA(A27:F27)=0,"",IF(OR(A27="",B27="",C27="",D27="",NOT(ISNUMBER(E27))),"Missing / invalid input",IF(G27&gt;1,"Duplicate key in this source",IF(H27=0,"Missing in other source",IF(H27&gt;1,"Duplicate in other source",IF(SUMIFS('External Data'!$M$2:$M$1001,'External Data'!$L$2:$L$1001,SUBSTITUTE(SUBSTITUTE(SUBSTITUTE(L27,"~","~~"),"*","~*"),"?","~?"))&lt;&gt;1,"Other amount is invalid",IF(J27&lt;&gt;0,"Amount differs","Matched")))))))</x:f>
      </x:c>
      <x:c r="L27" t="str">
        <x:f>IF(COUNTA(A27:F27)=0,"",LEN(A27)&amp;":"&amp;A27&amp;LEN(B27)&amp;":"&amp;B27&amp;LEN(C27)&amp;":"&amp;C27&amp;LEN(D27)&amp;":"&amp;D27)</x:f>
      </x:c>
      <x:c r="M27" t="str">
        <x:f>IF(COUNTA(A27:F27)=0,"",IF(ISNUMBER(E27),1,0))</x:f>
      </x:c>
    </x:row>
    <x:row r="28">
      <x:c r="A28" s="11"/>
      <x:c r="B28" s="11"/>
      <x:c r="C28" s="11"/>
      <x:c r="D28" s="11"/>
      <x:c r="E28" s="12"/>
      <x:c r="F28" s="10"/>
      <x:c r="G28" s="2" t="str">
        <x:f>IF(COUNTA(A28:F28)=0,"",COUNTIFS('App Data'!$L$2:$L$1001,SUBSTITUTE(SUBSTITUTE(SUBSTITUTE(L28,"~","~~"),"*","~*"),"?","~?")))</x:f>
      </x:c>
      <x:c r="H28" s="2" t="str">
        <x:f>IF(COUNTA(A28:F28)=0,"",COUNTIFS('External Data'!$L$2:$L$1001,SUBSTITUTE(SUBSTITUTE(SUBSTITUTE(L28,"~","~~"),"*","~*"),"?","~?")))</x:f>
      </x:c>
      <x:c r="I28" s="13" t="str">
        <x:f>IF(OR(H28&lt;&gt;1,G28&lt;&gt;1),"",SUMIFS('External Data'!$E$2:$E$1001,'External Data'!$L$2:$L$1001,SUBSTITUTE(SUBSTITUTE(SUBSTITUTE(L28,"~","~~"),"*","~*"),"?","~?")))</x:f>
      </x:c>
      <x:c r="J28" s="13" t="str">
        <x:f>IF(OR(NOT(ISNUMBER(E28)),NOT(ISNUMBER(I28))),"",ROUND(E28-I28,2))</x:f>
      </x:c>
      <x:c r="K28" s="2" t="str">
        <x:f>IF(COUNTA(A28:F28)=0,"",IF(OR(A28="",B28="",C28="",D28="",NOT(ISNUMBER(E28))),"Missing / invalid input",IF(G28&gt;1,"Duplicate key in this source",IF(H28=0,"Missing in other source",IF(H28&gt;1,"Duplicate in other source",IF(SUMIFS('External Data'!$M$2:$M$1001,'External Data'!$L$2:$L$1001,SUBSTITUTE(SUBSTITUTE(SUBSTITUTE(L28,"~","~~"),"*","~*"),"?","~?"))&lt;&gt;1,"Other amount is invalid",IF(J28&lt;&gt;0,"Amount differs","Matched")))))))</x:f>
      </x:c>
      <x:c r="L28" t="str">
        <x:f>IF(COUNTA(A28:F28)=0,"",LEN(A28)&amp;":"&amp;A28&amp;LEN(B28)&amp;":"&amp;B28&amp;LEN(C28)&amp;":"&amp;C28&amp;LEN(D28)&amp;":"&amp;D28)</x:f>
      </x:c>
      <x:c r="M28" t="str">
        <x:f>IF(COUNTA(A28:F28)=0,"",IF(ISNUMBER(E28),1,0))</x:f>
      </x:c>
    </x:row>
    <x:row r="29">
      <x:c r="A29" s="11"/>
      <x:c r="B29" s="11"/>
      <x:c r="C29" s="11"/>
      <x:c r="D29" s="11"/>
      <x:c r="E29" s="12"/>
      <x:c r="F29" s="10"/>
      <x:c r="G29" s="2" t="str">
        <x:f>IF(COUNTA(A29:F29)=0,"",COUNTIFS('App Data'!$L$2:$L$1001,SUBSTITUTE(SUBSTITUTE(SUBSTITUTE(L29,"~","~~"),"*","~*"),"?","~?")))</x:f>
      </x:c>
      <x:c r="H29" s="2" t="str">
        <x:f>IF(COUNTA(A29:F29)=0,"",COUNTIFS('External Data'!$L$2:$L$1001,SUBSTITUTE(SUBSTITUTE(SUBSTITUTE(L29,"~","~~"),"*","~*"),"?","~?")))</x:f>
      </x:c>
      <x:c r="I29" s="13" t="str">
        <x:f>IF(OR(H29&lt;&gt;1,G29&lt;&gt;1),"",SUMIFS('External Data'!$E$2:$E$1001,'External Data'!$L$2:$L$1001,SUBSTITUTE(SUBSTITUTE(SUBSTITUTE(L29,"~","~~"),"*","~*"),"?","~?")))</x:f>
      </x:c>
      <x:c r="J29" s="13" t="str">
        <x:f>IF(OR(NOT(ISNUMBER(E29)),NOT(ISNUMBER(I29))),"",ROUND(E29-I29,2))</x:f>
      </x:c>
      <x:c r="K29" s="2" t="str">
        <x:f>IF(COUNTA(A29:F29)=0,"",IF(OR(A29="",B29="",C29="",D29="",NOT(ISNUMBER(E29))),"Missing / invalid input",IF(G29&gt;1,"Duplicate key in this source",IF(H29=0,"Missing in other source",IF(H29&gt;1,"Duplicate in other source",IF(SUMIFS('External Data'!$M$2:$M$1001,'External Data'!$L$2:$L$1001,SUBSTITUTE(SUBSTITUTE(SUBSTITUTE(L29,"~","~~"),"*","~*"),"?","~?"))&lt;&gt;1,"Other amount is invalid",IF(J29&lt;&gt;0,"Amount differs","Matched")))))))</x:f>
      </x:c>
      <x:c r="L29" t="str">
        <x:f>IF(COUNTA(A29:F29)=0,"",LEN(A29)&amp;":"&amp;A29&amp;LEN(B29)&amp;":"&amp;B29&amp;LEN(C29)&amp;":"&amp;C29&amp;LEN(D29)&amp;":"&amp;D29)</x:f>
      </x:c>
      <x:c r="M29" t="str">
        <x:f>IF(COUNTA(A29:F29)=0,"",IF(ISNUMBER(E29),1,0))</x:f>
      </x:c>
    </x:row>
    <x:row r="30">
      <x:c r="A30" s="11"/>
      <x:c r="B30" s="11"/>
      <x:c r="C30" s="11"/>
      <x:c r="D30" s="11"/>
      <x:c r="E30" s="12"/>
      <x:c r="F30" s="10"/>
      <x:c r="G30" s="2" t="str">
        <x:f>IF(COUNTA(A30:F30)=0,"",COUNTIFS('App Data'!$L$2:$L$1001,SUBSTITUTE(SUBSTITUTE(SUBSTITUTE(L30,"~","~~"),"*","~*"),"?","~?")))</x:f>
      </x:c>
      <x:c r="H30" s="2" t="str">
        <x:f>IF(COUNTA(A30:F30)=0,"",COUNTIFS('External Data'!$L$2:$L$1001,SUBSTITUTE(SUBSTITUTE(SUBSTITUTE(L30,"~","~~"),"*","~*"),"?","~?")))</x:f>
      </x:c>
      <x:c r="I30" s="13" t="str">
        <x:f>IF(OR(H30&lt;&gt;1,G30&lt;&gt;1),"",SUMIFS('External Data'!$E$2:$E$1001,'External Data'!$L$2:$L$1001,SUBSTITUTE(SUBSTITUTE(SUBSTITUTE(L30,"~","~~"),"*","~*"),"?","~?")))</x:f>
      </x:c>
      <x:c r="J30" s="13" t="str">
        <x:f>IF(OR(NOT(ISNUMBER(E30)),NOT(ISNUMBER(I30))),"",ROUND(E30-I30,2))</x:f>
      </x:c>
      <x:c r="K30" s="2" t="str">
        <x:f>IF(COUNTA(A30:F30)=0,"",IF(OR(A30="",B30="",C30="",D30="",NOT(ISNUMBER(E30))),"Missing / invalid input",IF(G30&gt;1,"Duplicate key in this source",IF(H30=0,"Missing in other source",IF(H30&gt;1,"Duplicate in other source",IF(SUMIFS('External Data'!$M$2:$M$1001,'External Data'!$L$2:$L$1001,SUBSTITUTE(SUBSTITUTE(SUBSTITUTE(L30,"~","~~"),"*","~*"),"?","~?"))&lt;&gt;1,"Other amount is invalid",IF(J30&lt;&gt;0,"Amount differs","Matched")))))))</x:f>
      </x:c>
      <x:c r="L30" t="str">
        <x:f>IF(COUNTA(A30:F30)=0,"",LEN(A30)&amp;":"&amp;A30&amp;LEN(B30)&amp;":"&amp;B30&amp;LEN(C30)&amp;":"&amp;C30&amp;LEN(D30)&amp;":"&amp;D30)</x:f>
      </x:c>
      <x:c r="M30" t="str">
        <x:f>IF(COUNTA(A30:F30)=0,"",IF(ISNUMBER(E30),1,0))</x:f>
      </x:c>
    </x:row>
    <x:row r="31">
      <x:c r="A31" s="11"/>
      <x:c r="B31" s="11"/>
      <x:c r="C31" s="11"/>
      <x:c r="D31" s="11"/>
      <x:c r="E31" s="12"/>
      <x:c r="F31" s="10"/>
      <x:c r="G31" s="2" t="str">
        <x:f>IF(COUNTA(A31:F31)=0,"",COUNTIFS('App Data'!$L$2:$L$1001,SUBSTITUTE(SUBSTITUTE(SUBSTITUTE(L31,"~","~~"),"*","~*"),"?","~?")))</x:f>
      </x:c>
      <x:c r="H31" s="2" t="str">
        <x:f>IF(COUNTA(A31:F31)=0,"",COUNTIFS('External Data'!$L$2:$L$1001,SUBSTITUTE(SUBSTITUTE(SUBSTITUTE(L31,"~","~~"),"*","~*"),"?","~?")))</x:f>
      </x:c>
      <x:c r="I31" s="13" t="str">
        <x:f>IF(OR(H31&lt;&gt;1,G31&lt;&gt;1),"",SUMIFS('External Data'!$E$2:$E$1001,'External Data'!$L$2:$L$1001,SUBSTITUTE(SUBSTITUTE(SUBSTITUTE(L31,"~","~~"),"*","~*"),"?","~?")))</x:f>
      </x:c>
      <x:c r="J31" s="13" t="str">
        <x:f>IF(OR(NOT(ISNUMBER(E31)),NOT(ISNUMBER(I31))),"",ROUND(E31-I31,2))</x:f>
      </x:c>
      <x:c r="K31" s="2" t="str">
        <x:f>IF(COUNTA(A31:F31)=0,"",IF(OR(A31="",B31="",C31="",D31="",NOT(ISNUMBER(E31))),"Missing / invalid input",IF(G31&gt;1,"Duplicate key in this source",IF(H31=0,"Missing in other source",IF(H31&gt;1,"Duplicate in other source",IF(SUMIFS('External Data'!$M$2:$M$1001,'External Data'!$L$2:$L$1001,SUBSTITUTE(SUBSTITUTE(SUBSTITUTE(L31,"~","~~"),"*","~*"),"?","~?"))&lt;&gt;1,"Other amount is invalid",IF(J31&lt;&gt;0,"Amount differs","Matched")))))))</x:f>
      </x:c>
      <x:c r="L31" t="str">
        <x:f>IF(COUNTA(A31:F31)=0,"",LEN(A31)&amp;":"&amp;A31&amp;LEN(B31)&amp;":"&amp;B31&amp;LEN(C31)&amp;":"&amp;C31&amp;LEN(D31)&amp;":"&amp;D31)</x:f>
      </x:c>
      <x:c r="M31" t="str">
        <x:f>IF(COUNTA(A31:F31)=0,"",IF(ISNUMBER(E31),1,0))</x:f>
      </x:c>
    </x:row>
    <x:row r="32">
      <x:c r="A32" s="11"/>
      <x:c r="B32" s="11"/>
      <x:c r="C32" s="11"/>
      <x:c r="D32" s="11"/>
      <x:c r="E32" s="12"/>
      <x:c r="F32" s="10"/>
      <x:c r="G32" s="2" t="str">
        <x:f>IF(COUNTA(A32:F32)=0,"",COUNTIFS('App Data'!$L$2:$L$1001,SUBSTITUTE(SUBSTITUTE(SUBSTITUTE(L32,"~","~~"),"*","~*"),"?","~?")))</x:f>
      </x:c>
      <x:c r="H32" s="2" t="str">
        <x:f>IF(COUNTA(A32:F32)=0,"",COUNTIFS('External Data'!$L$2:$L$1001,SUBSTITUTE(SUBSTITUTE(SUBSTITUTE(L32,"~","~~"),"*","~*"),"?","~?")))</x:f>
      </x:c>
      <x:c r="I32" s="13" t="str">
        <x:f>IF(OR(H32&lt;&gt;1,G32&lt;&gt;1),"",SUMIFS('External Data'!$E$2:$E$1001,'External Data'!$L$2:$L$1001,SUBSTITUTE(SUBSTITUTE(SUBSTITUTE(L32,"~","~~"),"*","~*"),"?","~?")))</x:f>
      </x:c>
      <x:c r="J32" s="13" t="str">
        <x:f>IF(OR(NOT(ISNUMBER(E32)),NOT(ISNUMBER(I32))),"",ROUND(E32-I32,2))</x:f>
      </x:c>
      <x:c r="K32" s="2" t="str">
        <x:f>IF(COUNTA(A32:F32)=0,"",IF(OR(A32="",B32="",C32="",D32="",NOT(ISNUMBER(E32))),"Missing / invalid input",IF(G32&gt;1,"Duplicate key in this source",IF(H32=0,"Missing in other source",IF(H32&gt;1,"Duplicate in other source",IF(SUMIFS('External Data'!$M$2:$M$1001,'External Data'!$L$2:$L$1001,SUBSTITUTE(SUBSTITUTE(SUBSTITUTE(L32,"~","~~"),"*","~*"),"?","~?"))&lt;&gt;1,"Other amount is invalid",IF(J32&lt;&gt;0,"Amount differs","Matched")))))))</x:f>
      </x:c>
      <x:c r="L32" t="str">
        <x:f>IF(COUNTA(A32:F32)=0,"",LEN(A32)&amp;":"&amp;A32&amp;LEN(B32)&amp;":"&amp;B32&amp;LEN(C32)&amp;":"&amp;C32&amp;LEN(D32)&amp;":"&amp;D32)</x:f>
      </x:c>
      <x:c r="M32" t="str">
        <x:f>IF(COUNTA(A32:F32)=0,"",IF(ISNUMBER(E32),1,0))</x:f>
      </x:c>
    </x:row>
    <x:row r="33">
      <x:c r="A33" s="11"/>
      <x:c r="B33" s="11"/>
      <x:c r="C33" s="11"/>
      <x:c r="D33" s="11"/>
      <x:c r="E33" s="12"/>
      <x:c r="F33" s="10"/>
      <x:c r="G33" s="2" t="str">
        <x:f>IF(COUNTA(A33:F33)=0,"",COUNTIFS('App Data'!$L$2:$L$1001,SUBSTITUTE(SUBSTITUTE(SUBSTITUTE(L33,"~","~~"),"*","~*"),"?","~?")))</x:f>
      </x:c>
      <x:c r="H33" s="2" t="str">
        <x:f>IF(COUNTA(A33:F33)=0,"",COUNTIFS('External Data'!$L$2:$L$1001,SUBSTITUTE(SUBSTITUTE(SUBSTITUTE(L33,"~","~~"),"*","~*"),"?","~?")))</x:f>
      </x:c>
      <x:c r="I33" s="13" t="str">
        <x:f>IF(OR(H33&lt;&gt;1,G33&lt;&gt;1),"",SUMIFS('External Data'!$E$2:$E$1001,'External Data'!$L$2:$L$1001,SUBSTITUTE(SUBSTITUTE(SUBSTITUTE(L33,"~","~~"),"*","~*"),"?","~?")))</x:f>
      </x:c>
      <x:c r="J33" s="13" t="str">
        <x:f>IF(OR(NOT(ISNUMBER(E33)),NOT(ISNUMBER(I33))),"",ROUND(E33-I33,2))</x:f>
      </x:c>
      <x:c r="K33" s="2" t="str">
        <x:f>IF(COUNTA(A33:F33)=0,"",IF(OR(A33="",B33="",C33="",D33="",NOT(ISNUMBER(E33))),"Missing / invalid input",IF(G33&gt;1,"Duplicate key in this source",IF(H33=0,"Missing in other source",IF(H33&gt;1,"Duplicate in other source",IF(SUMIFS('External Data'!$M$2:$M$1001,'External Data'!$L$2:$L$1001,SUBSTITUTE(SUBSTITUTE(SUBSTITUTE(L33,"~","~~"),"*","~*"),"?","~?"))&lt;&gt;1,"Other amount is invalid",IF(J33&lt;&gt;0,"Amount differs","Matched")))))))</x:f>
      </x:c>
      <x:c r="L33" t="str">
        <x:f>IF(COUNTA(A33:F33)=0,"",LEN(A33)&amp;":"&amp;A33&amp;LEN(B33)&amp;":"&amp;B33&amp;LEN(C33)&amp;":"&amp;C33&amp;LEN(D33)&amp;":"&amp;D33)</x:f>
      </x:c>
      <x:c r="M33" t="str">
        <x:f>IF(COUNTA(A33:F33)=0,"",IF(ISNUMBER(E33),1,0))</x:f>
      </x:c>
    </x:row>
    <x:row r="34">
      <x:c r="A34" s="11"/>
      <x:c r="B34" s="11"/>
      <x:c r="C34" s="11"/>
      <x:c r="D34" s="11"/>
      <x:c r="E34" s="12"/>
      <x:c r="F34" s="10"/>
      <x:c r="G34" s="2" t="str">
        <x:f>IF(COUNTA(A34:F34)=0,"",COUNTIFS('App Data'!$L$2:$L$1001,SUBSTITUTE(SUBSTITUTE(SUBSTITUTE(L34,"~","~~"),"*","~*"),"?","~?")))</x:f>
      </x:c>
      <x:c r="H34" s="2" t="str">
        <x:f>IF(COUNTA(A34:F34)=0,"",COUNTIFS('External Data'!$L$2:$L$1001,SUBSTITUTE(SUBSTITUTE(SUBSTITUTE(L34,"~","~~"),"*","~*"),"?","~?")))</x:f>
      </x:c>
      <x:c r="I34" s="13" t="str">
        <x:f>IF(OR(H34&lt;&gt;1,G34&lt;&gt;1),"",SUMIFS('External Data'!$E$2:$E$1001,'External Data'!$L$2:$L$1001,SUBSTITUTE(SUBSTITUTE(SUBSTITUTE(L34,"~","~~"),"*","~*"),"?","~?")))</x:f>
      </x:c>
      <x:c r="J34" s="13" t="str">
        <x:f>IF(OR(NOT(ISNUMBER(E34)),NOT(ISNUMBER(I34))),"",ROUND(E34-I34,2))</x:f>
      </x:c>
      <x:c r="K34" s="2" t="str">
        <x:f>IF(COUNTA(A34:F34)=0,"",IF(OR(A34="",B34="",C34="",D34="",NOT(ISNUMBER(E34))),"Missing / invalid input",IF(G34&gt;1,"Duplicate key in this source",IF(H34=0,"Missing in other source",IF(H34&gt;1,"Duplicate in other source",IF(SUMIFS('External Data'!$M$2:$M$1001,'External Data'!$L$2:$L$1001,SUBSTITUTE(SUBSTITUTE(SUBSTITUTE(L34,"~","~~"),"*","~*"),"?","~?"))&lt;&gt;1,"Other amount is invalid",IF(J34&lt;&gt;0,"Amount differs","Matched")))))))</x:f>
      </x:c>
      <x:c r="L34" t="str">
        <x:f>IF(COUNTA(A34:F34)=0,"",LEN(A34)&amp;":"&amp;A34&amp;LEN(B34)&amp;":"&amp;B34&amp;LEN(C34)&amp;":"&amp;C34&amp;LEN(D34)&amp;":"&amp;D34)</x:f>
      </x:c>
      <x:c r="M34" t="str">
        <x:f>IF(COUNTA(A34:F34)=0,"",IF(ISNUMBER(E34),1,0))</x:f>
      </x:c>
    </x:row>
    <x:row r="35">
      <x:c r="A35" s="11"/>
      <x:c r="B35" s="11"/>
      <x:c r="C35" s="11"/>
      <x:c r="D35" s="11"/>
      <x:c r="E35" s="12"/>
      <x:c r="F35" s="10"/>
      <x:c r="G35" s="2" t="str">
        <x:f>IF(COUNTA(A35:F35)=0,"",COUNTIFS('App Data'!$L$2:$L$1001,SUBSTITUTE(SUBSTITUTE(SUBSTITUTE(L35,"~","~~"),"*","~*"),"?","~?")))</x:f>
      </x:c>
      <x:c r="H35" s="2" t="str">
        <x:f>IF(COUNTA(A35:F35)=0,"",COUNTIFS('External Data'!$L$2:$L$1001,SUBSTITUTE(SUBSTITUTE(SUBSTITUTE(L35,"~","~~"),"*","~*"),"?","~?")))</x:f>
      </x:c>
      <x:c r="I35" s="13" t="str">
        <x:f>IF(OR(H35&lt;&gt;1,G35&lt;&gt;1),"",SUMIFS('External Data'!$E$2:$E$1001,'External Data'!$L$2:$L$1001,SUBSTITUTE(SUBSTITUTE(SUBSTITUTE(L35,"~","~~"),"*","~*"),"?","~?")))</x:f>
      </x:c>
      <x:c r="J35" s="13" t="str">
        <x:f>IF(OR(NOT(ISNUMBER(E35)),NOT(ISNUMBER(I35))),"",ROUND(E35-I35,2))</x:f>
      </x:c>
      <x:c r="K35" s="2" t="str">
        <x:f>IF(COUNTA(A35:F35)=0,"",IF(OR(A35="",B35="",C35="",D35="",NOT(ISNUMBER(E35))),"Missing / invalid input",IF(G35&gt;1,"Duplicate key in this source",IF(H35=0,"Missing in other source",IF(H35&gt;1,"Duplicate in other source",IF(SUMIFS('External Data'!$M$2:$M$1001,'External Data'!$L$2:$L$1001,SUBSTITUTE(SUBSTITUTE(SUBSTITUTE(L35,"~","~~"),"*","~*"),"?","~?"))&lt;&gt;1,"Other amount is invalid",IF(J35&lt;&gt;0,"Amount differs","Matched")))))))</x:f>
      </x:c>
      <x:c r="L35" t="str">
        <x:f>IF(COUNTA(A35:F35)=0,"",LEN(A35)&amp;":"&amp;A35&amp;LEN(B35)&amp;":"&amp;B35&amp;LEN(C35)&amp;":"&amp;C35&amp;LEN(D35)&amp;":"&amp;D35)</x:f>
      </x:c>
      <x:c r="M35" t="str">
        <x:f>IF(COUNTA(A35:F35)=0,"",IF(ISNUMBER(E35),1,0))</x:f>
      </x:c>
    </x:row>
    <x:row r="36">
      <x:c r="A36" s="11"/>
      <x:c r="B36" s="11"/>
      <x:c r="C36" s="11"/>
      <x:c r="D36" s="11"/>
      <x:c r="E36" s="12"/>
      <x:c r="F36" s="10"/>
      <x:c r="G36" s="2" t="str">
        <x:f>IF(COUNTA(A36:F36)=0,"",COUNTIFS('App Data'!$L$2:$L$1001,SUBSTITUTE(SUBSTITUTE(SUBSTITUTE(L36,"~","~~"),"*","~*"),"?","~?")))</x:f>
      </x:c>
      <x:c r="H36" s="2" t="str">
        <x:f>IF(COUNTA(A36:F36)=0,"",COUNTIFS('External Data'!$L$2:$L$1001,SUBSTITUTE(SUBSTITUTE(SUBSTITUTE(L36,"~","~~"),"*","~*"),"?","~?")))</x:f>
      </x:c>
      <x:c r="I36" s="13" t="str">
        <x:f>IF(OR(H36&lt;&gt;1,G36&lt;&gt;1),"",SUMIFS('External Data'!$E$2:$E$1001,'External Data'!$L$2:$L$1001,SUBSTITUTE(SUBSTITUTE(SUBSTITUTE(L36,"~","~~"),"*","~*"),"?","~?")))</x:f>
      </x:c>
      <x:c r="J36" s="13" t="str">
        <x:f>IF(OR(NOT(ISNUMBER(E36)),NOT(ISNUMBER(I36))),"",ROUND(E36-I36,2))</x:f>
      </x:c>
      <x:c r="K36" s="2" t="str">
        <x:f>IF(COUNTA(A36:F36)=0,"",IF(OR(A36="",B36="",C36="",D36="",NOT(ISNUMBER(E36))),"Missing / invalid input",IF(G36&gt;1,"Duplicate key in this source",IF(H36=0,"Missing in other source",IF(H36&gt;1,"Duplicate in other source",IF(SUMIFS('External Data'!$M$2:$M$1001,'External Data'!$L$2:$L$1001,SUBSTITUTE(SUBSTITUTE(SUBSTITUTE(L36,"~","~~"),"*","~*"),"?","~?"))&lt;&gt;1,"Other amount is invalid",IF(J36&lt;&gt;0,"Amount differs","Matched")))))))</x:f>
      </x:c>
      <x:c r="L36" t="str">
        <x:f>IF(COUNTA(A36:F36)=0,"",LEN(A36)&amp;":"&amp;A36&amp;LEN(B36)&amp;":"&amp;B36&amp;LEN(C36)&amp;":"&amp;C36&amp;LEN(D36)&amp;":"&amp;D36)</x:f>
      </x:c>
      <x:c r="M36" t="str">
        <x:f>IF(COUNTA(A36:F36)=0,"",IF(ISNUMBER(E36),1,0))</x:f>
      </x:c>
    </x:row>
    <x:row r="37">
      <x:c r="A37" s="11"/>
      <x:c r="B37" s="11"/>
      <x:c r="C37" s="11"/>
      <x:c r="D37" s="11"/>
      <x:c r="E37" s="12"/>
      <x:c r="F37" s="10"/>
      <x:c r="G37" s="2" t="str">
        <x:f>IF(COUNTA(A37:F37)=0,"",COUNTIFS('App Data'!$L$2:$L$1001,SUBSTITUTE(SUBSTITUTE(SUBSTITUTE(L37,"~","~~"),"*","~*"),"?","~?")))</x:f>
      </x:c>
      <x:c r="H37" s="2" t="str">
        <x:f>IF(COUNTA(A37:F37)=0,"",COUNTIFS('External Data'!$L$2:$L$1001,SUBSTITUTE(SUBSTITUTE(SUBSTITUTE(L37,"~","~~"),"*","~*"),"?","~?")))</x:f>
      </x:c>
      <x:c r="I37" s="13" t="str">
        <x:f>IF(OR(H37&lt;&gt;1,G37&lt;&gt;1),"",SUMIFS('External Data'!$E$2:$E$1001,'External Data'!$L$2:$L$1001,SUBSTITUTE(SUBSTITUTE(SUBSTITUTE(L37,"~","~~"),"*","~*"),"?","~?")))</x:f>
      </x:c>
      <x:c r="J37" s="13" t="str">
        <x:f>IF(OR(NOT(ISNUMBER(E37)),NOT(ISNUMBER(I37))),"",ROUND(E37-I37,2))</x:f>
      </x:c>
      <x:c r="K37" s="2" t="str">
        <x:f>IF(COUNTA(A37:F37)=0,"",IF(OR(A37="",B37="",C37="",D37="",NOT(ISNUMBER(E37))),"Missing / invalid input",IF(G37&gt;1,"Duplicate key in this source",IF(H37=0,"Missing in other source",IF(H37&gt;1,"Duplicate in other source",IF(SUMIFS('External Data'!$M$2:$M$1001,'External Data'!$L$2:$L$1001,SUBSTITUTE(SUBSTITUTE(SUBSTITUTE(L37,"~","~~"),"*","~*"),"?","~?"))&lt;&gt;1,"Other amount is invalid",IF(J37&lt;&gt;0,"Amount differs","Matched")))))))</x:f>
      </x:c>
      <x:c r="L37" t="str">
        <x:f>IF(COUNTA(A37:F37)=0,"",LEN(A37)&amp;":"&amp;A37&amp;LEN(B37)&amp;":"&amp;B37&amp;LEN(C37)&amp;":"&amp;C37&amp;LEN(D37)&amp;":"&amp;D37)</x:f>
      </x:c>
      <x:c r="M37" t="str">
        <x:f>IF(COUNTA(A37:F37)=0,"",IF(ISNUMBER(E37),1,0))</x:f>
      </x:c>
    </x:row>
    <x:row r="38">
      <x:c r="A38" s="11"/>
      <x:c r="B38" s="11"/>
      <x:c r="C38" s="11"/>
      <x:c r="D38" s="11"/>
      <x:c r="E38" s="12"/>
      <x:c r="F38" s="10"/>
      <x:c r="G38" s="2" t="str">
        <x:f>IF(COUNTA(A38:F38)=0,"",COUNTIFS('App Data'!$L$2:$L$1001,SUBSTITUTE(SUBSTITUTE(SUBSTITUTE(L38,"~","~~"),"*","~*"),"?","~?")))</x:f>
      </x:c>
      <x:c r="H38" s="2" t="str">
        <x:f>IF(COUNTA(A38:F38)=0,"",COUNTIFS('External Data'!$L$2:$L$1001,SUBSTITUTE(SUBSTITUTE(SUBSTITUTE(L38,"~","~~"),"*","~*"),"?","~?")))</x:f>
      </x:c>
      <x:c r="I38" s="13" t="str">
        <x:f>IF(OR(H38&lt;&gt;1,G38&lt;&gt;1),"",SUMIFS('External Data'!$E$2:$E$1001,'External Data'!$L$2:$L$1001,SUBSTITUTE(SUBSTITUTE(SUBSTITUTE(L38,"~","~~"),"*","~*"),"?","~?")))</x:f>
      </x:c>
      <x:c r="J38" s="13" t="str">
        <x:f>IF(OR(NOT(ISNUMBER(E38)),NOT(ISNUMBER(I38))),"",ROUND(E38-I38,2))</x:f>
      </x:c>
      <x:c r="K38" s="2" t="str">
        <x:f>IF(COUNTA(A38:F38)=0,"",IF(OR(A38="",B38="",C38="",D38="",NOT(ISNUMBER(E38))),"Missing / invalid input",IF(G38&gt;1,"Duplicate key in this source",IF(H38=0,"Missing in other source",IF(H38&gt;1,"Duplicate in other source",IF(SUMIFS('External Data'!$M$2:$M$1001,'External Data'!$L$2:$L$1001,SUBSTITUTE(SUBSTITUTE(SUBSTITUTE(L38,"~","~~"),"*","~*"),"?","~?"))&lt;&gt;1,"Other amount is invalid",IF(J38&lt;&gt;0,"Amount differs","Matched")))))))</x:f>
      </x:c>
      <x:c r="L38" t="str">
        <x:f>IF(COUNTA(A38:F38)=0,"",LEN(A38)&amp;":"&amp;A38&amp;LEN(B38)&amp;":"&amp;B38&amp;LEN(C38)&amp;":"&amp;C38&amp;LEN(D38)&amp;":"&amp;D38)</x:f>
      </x:c>
      <x:c r="M38" t="str">
        <x:f>IF(COUNTA(A38:F38)=0,"",IF(ISNUMBER(E38),1,0))</x:f>
      </x:c>
    </x:row>
    <x:row r="39">
      <x:c r="A39" s="11"/>
      <x:c r="B39" s="11"/>
      <x:c r="C39" s="11"/>
      <x:c r="D39" s="11"/>
      <x:c r="E39" s="12"/>
      <x:c r="F39" s="10"/>
      <x:c r="G39" s="2" t="str">
        <x:f>IF(COUNTA(A39:F39)=0,"",COUNTIFS('App Data'!$L$2:$L$1001,SUBSTITUTE(SUBSTITUTE(SUBSTITUTE(L39,"~","~~"),"*","~*"),"?","~?")))</x:f>
      </x:c>
      <x:c r="H39" s="2" t="str">
        <x:f>IF(COUNTA(A39:F39)=0,"",COUNTIFS('External Data'!$L$2:$L$1001,SUBSTITUTE(SUBSTITUTE(SUBSTITUTE(L39,"~","~~"),"*","~*"),"?","~?")))</x:f>
      </x:c>
      <x:c r="I39" s="13" t="str">
        <x:f>IF(OR(H39&lt;&gt;1,G39&lt;&gt;1),"",SUMIFS('External Data'!$E$2:$E$1001,'External Data'!$L$2:$L$1001,SUBSTITUTE(SUBSTITUTE(SUBSTITUTE(L39,"~","~~"),"*","~*"),"?","~?")))</x:f>
      </x:c>
      <x:c r="J39" s="13" t="str">
        <x:f>IF(OR(NOT(ISNUMBER(E39)),NOT(ISNUMBER(I39))),"",ROUND(E39-I39,2))</x:f>
      </x:c>
      <x:c r="K39" s="2" t="str">
        <x:f>IF(COUNTA(A39:F39)=0,"",IF(OR(A39="",B39="",C39="",D39="",NOT(ISNUMBER(E39))),"Missing / invalid input",IF(G39&gt;1,"Duplicate key in this source",IF(H39=0,"Missing in other source",IF(H39&gt;1,"Duplicate in other source",IF(SUMIFS('External Data'!$M$2:$M$1001,'External Data'!$L$2:$L$1001,SUBSTITUTE(SUBSTITUTE(SUBSTITUTE(L39,"~","~~"),"*","~*"),"?","~?"))&lt;&gt;1,"Other amount is invalid",IF(J39&lt;&gt;0,"Amount differs","Matched")))))))</x:f>
      </x:c>
      <x:c r="L39" t="str">
        <x:f>IF(COUNTA(A39:F39)=0,"",LEN(A39)&amp;":"&amp;A39&amp;LEN(B39)&amp;":"&amp;B39&amp;LEN(C39)&amp;":"&amp;C39&amp;LEN(D39)&amp;":"&amp;D39)</x:f>
      </x:c>
      <x:c r="M39" t="str">
        <x:f>IF(COUNTA(A39:F39)=0,"",IF(ISNUMBER(E39),1,0))</x:f>
      </x:c>
    </x:row>
    <x:row r="40">
      <x:c r="A40" s="11"/>
      <x:c r="B40" s="11"/>
      <x:c r="C40" s="11"/>
      <x:c r="D40" s="11"/>
      <x:c r="E40" s="12"/>
      <x:c r="F40" s="10"/>
      <x:c r="G40" s="2" t="str">
        <x:f>IF(COUNTA(A40:F40)=0,"",COUNTIFS('App Data'!$L$2:$L$1001,SUBSTITUTE(SUBSTITUTE(SUBSTITUTE(L40,"~","~~"),"*","~*"),"?","~?")))</x:f>
      </x:c>
      <x:c r="H40" s="2" t="str">
        <x:f>IF(COUNTA(A40:F40)=0,"",COUNTIFS('External Data'!$L$2:$L$1001,SUBSTITUTE(SUBSTITUTE(SUBSTITUTE(L40,"~","~~"),"*","~*"),"?","~?")))</x:f>
      </x:c>
      <x:c r="I40" s="13" t="str">
        <x:f>IF(OR(H40&lt;&gt;1,G40&lt;&gt;1),"",SUMIFS('External Data'!$E$2:$E$1001,'External Data'!$L$2:$L$1001,SUBSTITUTE(SUBSTITUTE(SUBSTITUTE(L40,"~","~~"),"*","~*"),"?","~?")))</x:f>
      </x:c>
      <x:c r="J40" s="13" t="str">
        <x:f>IF(OR(NOT(ISNUMBER(E40)),NOT(ISNUMBER(I40))),"",ROUND(E40-I40,2))</x:f>
      </x:c>
      <x:c r="K40" s="2" t="str">
        <x:f>IF(COUNTA(A40:F40)=0,"",IF(OR(A40="",B40="",C40="",D40="",NOT(ISNUMBER(E40))),"Missing / invalid input",IF(G40&gt;1,"Duplicate key in this source",IF(H40=0,"Missing in other source",IF(H40&gt;1,"Duplicate in other source",IF(SUMIFS('External Data'!$M$2:$M$1001,'External Data'!$L$2:$L$1001,SUBSTITUTE(SUBSTITUTE(SUBSTITUTE(L40,"~","~~"),"*","~*"),"?","~?"))&lt;&gt;1,"Other amount is invalid",IF(J40&lt;&gt;0,"Amount differs","Matched")))))))</x:f>
      </x:c>
      <x:c r="L40" t="str">
        <x:f>IF(COUNTA(A40:F40)=0,"",LEN(A40)&amp;":"&amp;A40&amp;LEN(B40)&amp;":"&amp;B40&amp;LEN(C40)&amp;":"&amp;C40&amp;LEN(D40)&amp;":"&amp;D40)</x:f>
      </x:c>
      <x:c r="M40" t="str">
        <x:f>IF(COUNTA(A40:F40)=0,"",IF(ISNUMBER(E40),1,0))</x:f>
      </x:c>
    </x:row>
    <x:row r="41">
      <x:c r="A41" s="11"/>
      <x:c r="B41" s="11"/>
      <x:c r="C41" s="11"/>
      <x:c r="D41" s="11"/>
      <x:c r="E41" s="12"/>
      <x:c r="F41" s="10"/>
      <x:c r="G41" s="2" t="str">
        <x:f>IF(COUNTA(A41:F41)=0,"",COUNTIFS('App Data'!$L$2:$L$1001,SUBSTITUTE(SUBSTITUTE(SUBSTITUTE(L41,"~","~~"),"*","~*"),"?","~?")))</x:f>
      </x:c>
      <x:c r="H41" s="2" t="str">
        <x:f>IF(COUNTA(A41:F41)=0,"",COUNTIFS('External Data'!$L$2:$L$1001,SUBSTITUTE(SUBSTITUTE(SUBSTITUTE(L41,"~","~~"),"*","~*"),"?","~?")))</x:f>
      </x:c>
      <x:c r="I41" s="13" t="str">
        <x:f>IF(OR(H41&lt;&gt;1,G41&lt;&gt;1),"",SUMIFS('External Data'!$E$2:$E$1001,'External Data'!$L$2:$L$1001,SUBSTITUTE(SUBSTITUTE(SUBSTITUTE(L41,"~","~~"),"*","~*"),"?","~?")))</x:f>
      </x:c>
      <x:c r="J41" s="13" t="str">
        <x:f>IF(OR(NOT(ISNUMBER(E41)),NOT(ISNUMBER(I41))),"",ROUND(E41-I41,2))</x:f>
      </x:c>
      <x:c r="K41" s="2" t="str">
        <x:f>IF(COUNTA(A41:F41)=0,"",IF(OR(A41="",B41="",C41="",D41="",NOT(ISNUMBER(E41))),"Missing / invalid input",IF(G41&gt;1,"Duplicate key in this source",IF(H41=0,"Missing in other source",IF(H41&gt;1,"Duplicate in other source",IF(SUMIFS('External Data'!$M$2:$M$1001,'External Data'!$L$2:$L$1001,SUBSTITUTE(SUBSTITUTE(SUBSTITUTE(L41,"~","~~"),"*","~*"),"?","~?"))&lt;&gt;1,"Other amount is invalid",IF(J41&lt;&gt;0,"Amount differs","Matched")))))))</x:f>
      </x:c>
      <x:c r="L41" t="str">
        <x:f>IF(COUNTA(A41:F41)=0,"",LEN(A41)&amp;":"&amp;A41&amp;LEN(B41)&amp;":"&amp;B41&amp;LEN(C41)&amp;":"&amp;C41&amp;LEN(D41)&amp;":"&amp;D41)</x:f>
      </x:c>
      <x:c r="M41" t="str">
        <x:f>IF(COUNTA(A41:F41)=0,"",IF(ISNUMBER(E41),1,0))</x:f>
      </x:c>
    </x:row>
    <x:row r="42">
      <x:c r="A42" s="11"/>
      <x:c r="B42" s="11"/>
      <x:c r="C42" s="11"/>
      <x:c r="D42" s="11"/>
      <x:c r="E42" s="12"/>
      <x:c r="F42" s="10"/>
      <x:c r="G42" s="2" t="str">
        <x:f>IF(COUNTA(A42:F42)=0,"",COUNTIFS('App Data'!$L$2:$L$1001,SUBSTITUTE(SUBSTITUTE(SUBSTITUTE(L42,"~","~~"),"*","~*"),"?","~?")))</x:f>
      </x:c>
      <x:c r="H42" s="2" t="str">
        <x:f>IF(COUNTA(A42:F42)=0,"",COUNTIFS('External Data'!$L$2:$L$1001,SUBSTITUTE(SUBSTITUTE(SUBSTITUTE(L42,"~","~~"),"*","~*"),"?","~?")))</x:f>
      </x:c>
      <x:c r="I42" s="13" t="str">
        <x:f>IF(OR(H42&lt;&gt;1,G42&lt;&gt;1),"",SUMIFS('External Data'!$E$2:$E$1001,'External Data'!$L$2:$L$1001,SUBSTITUTE(SUBSTITUTE(SUBSTITUTE(L42,"~","~~"),"*","~*"),"?","~?")))</x:f>
      </x:c>
      <x:c r="J42" s="13" t="str">
        <x:f>IF(OR(NOT(ISNUMBER(E42)),NOT(ISNUMBER(I42))),"",ROUND(E42-I42,2))</x:f>
      </x:c>
      <x:c r="K42" s="2" t="str">
        <x:f>IF(COUNTA(A42:F42)=0,"",IF(OR(A42="",B42="",C42="",D42="",NOT(ISNUMBER(E42))),"Missing / invalid input",IF(G42&gt;1,"Duplicate key in this source",IF(H42=0,"Missing in other source",IF(H42&gt;1,"Duplicate in other source",IF(SUMIFS('External Data'!$M$2:$M$1001,'External Data'!$L$2:$L$1001,SUBSTITUTE(SUBSTITUTE(SUBSTITUTE(L42,"~","~~"),"*","~*"),"?","~?"))&lt;&gt;1,"Other amount is invalid",IF(J42&lt;&gt;0,"Amount differs","Matched")))))))</x:f>
      </x:c>
      <x:c r="L42" t="str">
        <x:f>IF(COUNTA(A42:F42)=0,"",LEN(A42)&amp;":"&amp;A42&amp;LEN(B42)&amp;":"&amp;B42&amp;LEN(C42)&amp;":"&amp;C42&amp;LEN(D42)&amp;":"&amp;D42)</x:f>
      </x:c>
      <x:c r="M42" t="str">
        <x:f>IF(COUNTA(A42:F42)=0,"",IF(ISNUMBER(E42),1,0))</x:f>
      </x:c>
    </x:row>
    <x:row r="43">
      <x:c r="A43" s="11"/>
      <x:c r="B43" s="11"/>
      <x:c r="C43" s="11"/>
      <x:c r="D43" s="11"/>
      <x:c r="E43" s="12"/>
      <x:c r="F43" s="10"/>
      <x:c r="G43" s="2" t="str">
        <x:f>IF(COUNTA(A43:F43)=0,"",COUNTIFS('App Data'!$L$2:$L$1001,SUBSTITUTE(SUBSTITUTE(SUBSTITUTE(L43,"~","~~"),"*","~*"),"?","~?")))</x:f>
      </x:c>
      <x:c r="H43" s="2" t="str">
        <x:f>IF(COUNTA(A43:F43)=0,"",COUNTIFS('External Data'!$L$2:$L$1001,SUBSTITUTE(SUBSTITUTE(SUBSTITUTE(L43,"~","~~"),"*","~*"),"?","~?")))</x:f>
      </x:c>
      <x:c r="I43" s="13" t="str">
        <x:f>IF(OR(H43&lt;&gt;1,G43&lt;&gt;1),"",SUMIFS('External Data'!$E$2:$E$1001,'External Data'!$L$2:$L$1001,SUBSTITUTE(SUBSTITUTE(SUBSTITUTE(L43,"~","~~"),"*","~*"),"?","~?")))</x:f>
      </x:c>
      <x:c r="J43" s="13" t="str">
        <x:f>IF(OR(NOT(ISNUMBER(E43)),NOT(ISNUMBER(I43))),"",ROUND(E43-I43,2))</x:f>
      </x:c>
      <x:c r="K43" s="2" t="str">
        <x:f>IF(COUNTA(A43:F43)=0,"",IF(OR(A43="",B43="",C43="",D43="",NOT(ISNUMBER(E43))),"Missing / invalid input",IF(G43&gt;1,"Duplicate key in this source",IF(H43=0,"Missing in other source",IF(H43&gt;1,"Duplicate in other source",IF(SUMIFS('External Data'!$M$2:$M$1001,'External Data'!$L$2:$L$1001,SUBSTITUTE(SUBSTITUTE(SUBSTITUTE(L43,"~","~~"),"*","~*"),"?","~?"))&lt;&gt;1,"Other amount is invalid",IF(J43&lt;&gt;0,"Amount differs","Matched")))))))</x:f>
      </x:c>
      <x:c r="L43" t="str">
        <x:f>IF(COUNTA(A43:F43)=0,"",LEN(A43)&amp;":"&amp;A43&amp;LEN(B43)&amp;":"&amp;B43&amp;LEN(C43)&amp;":"&amp;C43&amp;LEN(D43)&amp;":"&amp;D43)</x:f>
      </x:c>
      <x:c r="M43" t="str">
        <x:f>IF(COUNTA(A43:F43)=0,"",IF(ISNUMBER(E43),1,0))</x:f>
      </x:c>
    </x:row>
    <x:row r="44">
      <x:c r="A44" s="11"/>
      <x:c r="B44" s="11"/>
      <x:c r="C44" s="11"/>
      <x:c r="D44" s="11"/>
      <x:c r="E44" s="12"/>
      <x:c r="F44" s="10"/>
      <x:c r="G44" s="2" t="str">
        <x:f>IF(COUNTA(A44:F44)=0,"",COUNTIFS('App Data'!$L$2:$L$1001,SUBSTITUTE(SUBSTITUTE(SUBSTITUTE(L44,"~","~~"),"*","~*"),"?","~?")))</x:f>
      </x:c>
      <x:c r="H44" s="2" t="str">
        <x:f>IF(COUNTA(A44:F44)=0,"",COUNTIFS('External Data'!$L$2:$L$1001,SUBSTITUTE(SUBSTITUTE(SUBSTITUTE(L44,"~","~~"),"*","~*"),"?","~?")))</x:f>
      </x:c>
      <x:c r="I44" s="13" t="str">
        <x:f>IF(OR(H44&lt;&gt;1,G44&lt;&gt;1),"",SUMIFS('External Data'!$E$2:$E$1001,'External Data'!$L$2:$L$1001,SUBSTITUTE(SUBSTITUTE(SUBSTITUTE(L44,"~","~~"),"*","~*"),"?","~?")))</x:f>
      </x:c>
      <x:c r="J44" s="13" t="str">
        <x:f>IF(OR(NOT(ISNUMBER(E44)),NOT(ISNUMBER(I44))),"",ROUND(E44-I44,2))</x:f>
      </x:c>
      <x:c r="K44" s="2" t="str">
        <x:f>IF(COUNTA(A44:F44)=0,"",IF(OR(A44="",B44="",C44="",D44="",NOT(ISNUMBER(E44))),"Missing / invalid input",IF(G44&gt;1,"Duplicate key in this source",IF(H44=0,"Missing in other source",IF(H44&gt;1,"Duplicate in other source",IF(SUMIFS('External Data'!$M$2:$M$1001,'External Data'!$L$2:$L$1001,SUBSTITUTE(SUBSTITUTE(SUBSTITUTE(L44,"~","~~"),"*","~*"),"?","~?"))&lt;&gt;1,"Other amount is invalid",IF(J44&lt;&gt;0,"Amount differs","Matched")))))))</x:f>
      </x:c>
      <x:c r="L44" t="str">
        <x:f>IF(COUNTA(A44:F44)=0,"",LEN(A44)&amp;":"&amp;A44&amp;LEN(B44)&amp;":"&amp;B44&amp;LEN(C44)&amp;":"&amp;C44&amp;LEN(D44)&amp;":"&amp;D44)</x:f>
      </x:c>
      <x:c r="M44" t="str">
        <x:f>IF(COUNTA(A44:F44)=0,"",IF(ISNUMBER(E44),1,0))</x:f>
      </x:c>
    </x:row>
    <x:row r="45">
      <x:c r="A45" s="11"/>
      <x:c r="B45" s="11"/>
      <x:c r="C45" s="11"/>
      <x:c r="D45" s="11"/>
      <x:c r="E45" s="12"/>
      <x:c r="F45" s="10"/>
      <x:c r="G45" s="2" t="str">
        <x:f>IF(COUNTA(A45:F45)=0,"",COUNTIFS('App Data'!$L$2:$L$1001,SUBSTITUTE(SUBSTITUTE(SUBSTITUTE(L45,"~","~~"),"*","~*"),"?","~?")))</x:f>
      </x:c>
      <x:c r="H45" s="2" t="str">
        <x:f>IF(COUNTA(A45:F45)=0,"",COUNTIFS('External Data'!$L$2:$L$1001,SUBSTITUTE(SUBSTITUTE(SUBSTITUTE(L45,"~","~~"),"*","~*"),"?","~?")))</x:f>
      </x:c>
      <x:c r="I45" s="13" t="str">
        <x:f>IF(OR(H45&lt;&gt;1,G45&lt;&gt;1),"",SUMIFS('External Data'!$E$2:$E$1001,'External Data'!$L$2:$L$1001,SUBSTITUTE(SUBSTITUTE(SUBSTITUTE(L45,"~","~~"),"*","~*"),"?","~?")))</x:f>
      </x:c>
      <x:c r="J45" s="13" t="str">
        <x:f>IF(OR(NOT(ISNUMBER(E45)),NOT(ISNUMBER(I45))),"",ROUND(E45-I45,2))</x:f>
      </x:c>
      <x:c r="K45" s="2" t="str">
        <x:f>IF(COUNTA(A45:F45)=0,"",IF(OR(A45="",B45="",C45="",D45="",NOT(ISNUMBER(E45))),"Missing / invalid input",IF(G45&gt;1,"Duplicate key in this source",IF(H45=0,"Missing in other source",IF(H45&gt;1,"Duplicate in other source",IF(SUMIFS('External Data'!$M$2:$M$1001,'External Data'!$L$2:$L$1001,SUBSTITUTE(SUBSTITUTE(SUBSTITUTE(L45,"~","~~"),"*","~*"),"?","~?"))&lt;&gt;1,"Other amount is invalid",IF(J45&lt;&gt;0,"Amount differs","Matched")))))))</x:f>
      </x:c>
      <x:c r="L45" t="str">
        <x:f>IF(COUNTA(A45:F45)=0,"",LEN(A45)&amp;":"&amp;A45&amp;LEN(B45)&amp;":"&amp;B45&amp;LEN(C45)&amp;":"&amp;C45&amp;LEN(D45)&amp;":"&amp;D45)</x:f>
      </x:c>
      <x:c r="M45" t="str">
        <x:f>IF(COUNTA(A45:F45)=0,"",IF(ISNUMBER(E45),1,0))</x:f>
      </x:c>
    </x:row>
    <x:row r="46">
      <x:c r="A46" s="11"/>
      <x:c r="B46" s="11"/>
      <x:c r="C46" s="11"/>
      <x:c r="D46" s="11"/>
      <x:c r="E46" s="12"/>
      <x:c r="F46" s="10"/>
      <x:c r="G46" s="2" t="str">
        <x:f>IF(COUNTA(A46:F46)=0,"",COUNTIFS('App Data'!$L$2:$L$1001,SUBSTITUTE(SUBSTITUTE(SUBSTITUTE(L46,"~","~~"),"*","~*"),"?","~?")))</x:f>
      </x:c>
      <x:c r="H46" s="2" t="str">
        <x:f>IF(COUNTA(A46:F46)=0,"",COUNTIFS('External Data'!$L$2:$L$1001,SUBSTITUTE(SUBSTITUTE(SUBSTITUTE(L46,"~","~~"),"*","~*"),"?","~?")))</x:f>
      </x:c>
      <x:c r="I46" s="13" t="str">
        <x:f>IF(OR(H46&lt;&gt;1,G46&lt;&gt;1),"",SUMIFS('External Data'!$E$2:$E$1001,'External Data'!$L$2:$L$1001,SUBSTITUTE(SUBSTITUTE(SUBSTITUTE(L46,"~","~~"),"*","~*"),"?","~?")))</x:f>
      </x:c>
      <x:c r="J46" s="13" t="str">
        <x:f>IF(OR(NOT(ISNUMBER(E46)),NOT(ISNUMBER(I46))),"",ROUND(E46-I46,2))</x:f>
      </x:c>
      <x:c r="K46" s="2" t="str">
        <x:f>IF(COUNTA(A46:F46)=0,"",IF(OR(A46="",B46="",C46="",D46="",NOT(ISNUMBER(E46))),"Missing / invalid input",IF(G46&gt;1,"Duplicate key in this source",IF(H46=0,"Missing in other source",IF(H46&gt;1,"Duplicate in other source",IF(SUMIFS('External Data'!$M$2:$M$1001,'External Data'!$L$2:$L$1001,SUBSTITUTE(SUBSTITUTE(SUBSTITUTE(L46,"~","~~"),"*","~*"),"?","~?"))&lt;&gt;1,"Other amount is invalid",IF(J46&lt;&gt;0,"Amount differs","Matched")))))))</x:f>
      </x:c>
      <x:c r="L46" t="str">
        <x:f>IF(COUNTA(A46:F46)=0,"",LEN(A46)&amp;":"&amp;A46&amp;LEN(B46)&amp;":"&amp;B46&amp;LEN(C46)&amp;":"&amp;C46&amp;LEN(D46)&amp;":"&amp;D46)</x:f>
      </x:c>
      <x:c r="M46" t="str">
        <x:f>IF(COUNTA(A46:F46)=0,"",IF(ISNUMBER(E46),1,0))</x:f>
      </x:c>
    </x:row>
    <x:row r="47">
      <x:c r="A47" s="11"/>
      <x:c r="B47" s="11"/>
      <x:c r="C47" s="11"/>
      <x:c r="D47" s="11"/>
      <x:c r="E47" s="12"/>
      <x:c r="F47" s="10"/>
      <x:c r="G47" s="2" t="str">
        <x:f>IF(COUNTA(A47:F47)=0,"",COUNTIFS('App Data'!$L$2:$L$1001,SUBSTITUTE(SUBSTITUTE(SUBSTITUTE(L47,"~","~~"),"*","~*"),"?","~?")))</x:f>
      </x:c>
      <x:c r="H47" s="2" t="str">
        <x:f>IF(COUNTA(A47:F47)=0,"",COUNTIFS('External Data'!$L$2:$L$1001,SUBSTITUTE(SUBSTITUTE(SUBSTITUTE(L47,"~","~~"),"*","~*"),"?","~?")))</x:f>
      </x:c>
      <x:c r="I47" s="13" t="str">
        <x:f>IF(OR(H47&lt;&gt;1,G47&lt;&gt;1),"",SUMIFS('External Data'!$E$2:$E$1001,'External Data'!$L$2:$L$1001,SUBSTITUTE(SUBSTITUTE(SUBSTITUTE(L47,"~","~~"),"*","~*"),"?","~?")))</x:f>
      </x:c>
      <x:c r="J47" s="13" t="str">
        <x:f>IF(OR(NOT(ISNUMBER(E47)),NOT(ISNUMBER(I47))),"",ROUND(E47-I47,2))</x:f>
      </x:c>
      <x:c r="K47" s="2" t="str">
        <x:f>IF(COUNTA(A47:F47)=0,"",IF(OR(A47="",B47="",C47="",D47="",NOT(ISNUMBER(E47))),"Missing / invalid input",IF(G47&gt;1,"Duplicate key in this source",IF(H47=0,"Missing in other source",IF(H47&gt;1,"Duplicate in other source",IF(SUMIFS('External Data'!$M$2:$M$1001,'External Data'!$L$2:$L$1001,SUBSTITUTE(SUBSTITUTE(SUBSTITUTE(L47,"~","~~"),"*","~*"),"?","~?"))&lt;&gt;1,"Other amount is invalid",IF(J47&lt;&gt;0,"Amount differs","Matched")))))))</x:f>
      </x:c>
      <x:c r="L47" t="str">
        <x:f>IF(COUNTA(A47:F47)=0,"",LEN(A47)&amp;":"&amp;A47&amp;LEN(B47)&amp;":"&amp;B47&amp;LEN(C47)&amp;":"&amp;C47&amp;LEN(D47)&amp;":"&amp;D47)</x:f>
      </x:c>
      <x:c r="M47" t="str">
        <x:f>IF(COUNTA(A47:F47)=0,"",IF(ISNUMBER(E47),1,0))</x:f>
      </x:c>
    </x:row>
    <x:row r="48">
      <x:c r="A48" s="11"/>
      <x:c r="B48" s="11"/>
      <x:c r="C48" s="11"/>
      <x:c r="D48" s="11"/>
      <x:c r="E48" s="12"/>
      <x:c r="F48" s="10"/>
      <x:c r="G48" s="2" t="str">
        <x:f>IF(COUNTA(A48:F48)=0,"",COUNTIFS('App Data'!$L$2:$L$1001,SUBSTITUTE(SUBSTITUTE(SUBSTITUTE(L48,"~","~~"),"*","~*"),"?","~?")))</x:f>
      </x:c>
      <x:c r="H48" s="2" t="str">
        <x:f>IF(COUNTA(A48:F48)=0,"",COUNTIFS('External Data'!$L$2:$L$1001,SUBSTITUTE(SUBSTITUTE(SUBSTITUTE(L48,"~","~~"),"*","~*"),"?","~?")))</x:f>
      </x:c>
      <x:c r="I48" s="13" t="str">
        <x:f>IF(OR(H48&lt;&gt;1,G48&lt;&gt;1),"",SUMIFS('External Data'!$E$2:$E$1001,'External Data'!$L$2:$L$1001,SUBSTITUTE(SUBSTITUTE(SUBSTITUTE(L48,"~","~~"),"*","~*"),"?","~?")))</x:f>
      </x:c>
      <x:c r="J48" s="13" t="str">
        <x:f>IF(OR(NOT(ISNUMBER(E48)),NOT(ISNUMBER(I48))),"",ROUND(E48-I48,2))</x:f>
      </x:c>
      <x:c r="K48" s="2" t="str">
        <x:f>IF(COUNTA(A48:F48)=0,"",IF(OR(A48="",B48="",C48="",D48="",NOT(ISNUMBER(E48))),"Missing / invalid input",IF(G48&gt;1,"Duplicate key in this source",IF(H48=0,"Missing in other source",IF(H48&gt;1,"Duplicate in other source",IF(SUMIFS('External Data'!$M$2:$M$1001,'External Data'!$L$2:$L$1001,SUBSTITUTE(SUBSTITUTE(SUBSTITUTE(L48,"~","~~"),"*","~*"),"?","~?"))&lt;&gt;1,"Other amount is invalid",IF(J48&lt;&gt;0,"Amount differs","Matched")))))))</x:f>
      </x:c>
      <x:c r="L48" t="str">
        <x:f>IF(COUNTA(A48:F48)=0,"",LEN(A48)&amp;":"&amp;A48&amp;LEN(B48)&amp;":"&amp;B48&amp;LEN(C48)&amp;":"&amp;C48&amp;LEN(D48)&amp;":"&amp;D48)</x:f>
      </x:c>
      <x:c r="M48" t="str">
        <x:f>IF(COUNTA(A48:F48)=0,"",IF(ISNUMBER(E48),1,0))</x:f>
      </x:c>
    </x:row>
    <x:row r="49">
      <x:c r="A49" s="11"/>
      <x:c r="B49" s="11"/>
      <x:c r="C49" s="11"/>
      <x:c r="D49" s="11"/>
      <x:c r="E49" s="12"/>
      <x:c r="F49" s="10"/>
      <x:c r="G49" s="2" t="str">
        <x:f>IF(COUNTA(A49:F49)=0,"",COUNTIFS('App Data'!$L$2:$L$1001,SUBSTITUTE(SUBSTITUTE(SUBSTITUTE(L49,"~","~~"),"*","~*"),"?","~?")))</x:f>
      </x:c>
      <x:c r="H49" s="2" t="str">
        <x:f>IF(COUNTA(A49:F49)=0,"",COUNTIFS('External Data'!$L$2:$L$1001,SUBSTITUTE(SUBSTITUTE(SUBSTITUTE(L49,"~","~~"),"*","~*"),"?","~?")))</x:f>
      </x:c>
      <x:c r="I49" s="13" t="str">
        <x:f>IF(OR(H49&lt;&gt;1,G49&lt;&gt;1),"",SUMIFS('External Data'!$E$2:$E$1001,'External Data'!$L$2:$L$1001,SUBSTITUTE(SUBSTITUTE(SUBSTITUTE(L49,"~","~~"),"*","~*"),"?","~?")))</x:f>
      </x:c>
      <x:c r="J49" s="13" t="str">
        <x:f>IF(OR(NOT(ISNUMBER(E49)),NOT(ISNUMBER(I49))),"",ROUND(E49-I49,2))</x:f>
      </x:c>
      <x:c r="K49" s="2" t="str">
        <x:f>IF(COUNTA(A49:F49)=0,"",IF(OR(A49="",B49="",C49="",D49="",NOT(ISNUMBER(E49))),"Missing / invalid input",IF(G49&gt;1,"Duplicate key in this source",IF(H49=0,"Missing in other source",IF(H49&gt;1,"Duplicate in other source",IF(SUMIFS('External Data'!$M$2:$M$1001,'External Data'!$L$2:$L$1001,SUBSTITUTE(SUBSTITUTE(SUBSTITUTE(L49,"~","~~"),"*","~*"),"?","~?"))&lt;&gt;1,"Other amount is invalid",IF(J49&lt;&gt;0,"Amount differs","Matched")))))))</x:f>
      </x:c>
      <x:c r="L49" t="str">
        <x:f>IF(COUNTA(A49:F49)=0,"",LEN(A49)&amp;":"&amp;A49&amp;LEN(B49)&amp;":"&amp;B49&amp;LEN(C49)&amp;":"&amp;C49&amp;LEN(D49)&amp;":"&amp;D49)</x:f>
      </x:c>
      <x:c r="M49" t="str">
        <x:f>IF(COUNTA(A49:F49)=0,"",IF(ISNUMBER(E49),1,0))</x:f>
      </x:c>
    </x:row>
    <x:row r="50">
      <x:c r="A50" s="11"/>
      <x:c r="B50" s="11"/>
      <x:c r="C50" s="11"/>
      <x:c r="D50" s="11"/>
      <x:c r="E50" s="12"/>
      <x:c r="F50" s="10"/>
      <x:c r="G50" s="2" t="str">
        <x:f>IF(COUNTA(A50:F50)=0,"",COUNTIFS('App Data'!$L$2:$L$1001,SUBSTITUTE(SUBSTITUTE(SUBSTITUTE(L50,"~","~~"),"*","~*"),"?","~?")))</x:f>
      </x:c>
      <x:c r="H50" s="2" t="str">
        <x:f>IF(COUNTA(A50:F50)=0,"",COUNTIFS('External Data'!$L$2:$L$1001,SUBSTITUTE(SUBSTITUTE(SUBSTITUTE(L50,"~","~~"),"*","~*"),"?","~?")))</x:f>
      </x:c>
      <x:c r="I50" s="13" t="str">
        <x:f>IF(OR(H50&lt;&gt;1,G50&lt;&gt;1),"",SUMIFS('External Data'!$E$2:$E$1001,'External Data'!$L$2:$L$1001,SUBSTITUTE(SUBSTITUTE(SUBSTITUTE(L50,"~","~~"),"*","~*"),"?","~?")))</x:f>
      </x:c>
      <x:c r="J50" s="13" t="str">
        <x:f>IF(OR(NOT(ISNUMBER(E50)),NOT(ISNUMBER(I50))),"",ROUND(E50-I50,2))</x:f>
      </x:c>
      <x:c r="K50" s="2" t="str">
        <x:f>IF(COUNTA(A50:F50)=0,"",IF(OR(A50="",B50="",C50="",D50="",NOT(ISNUMBER(E50))),"Missing / invalid input",IF(G50&gt;1,"Duplicate key in this source",IF(H50=0,"Missing in other source",IF(H50&gt;1,"Duplicate in other source",IF(SUMIFS('External Data'!$M$2:$M$1001,'External Data'!$L$2:$L$1001,SUBSTITUTE(SUBSTITUTE(SUBSTITUTE(L50,"~","~~"),"*","~*"),"?","~?"))&lt;&gt;1,"Other amount is invalid",IF(J50&lt;&gt;0,"Amount differs","Matched")))))))</x:f>
      </x:c>
      <x:c r="L50" t="str">
        <x:f>IF(COUNTA(A50:F50)=0,"",LEN(A50)&amp;":"&amp;A50&amp;LEN(B50)&amp;":"&amp;B50&amp;LEN(C50)&amp;":"&amp;C50&amp;LEN(D50)&amp;":"&amp;D50)</x:f>
      </x:c>
      <x:c r="M50" t="str">
        <x:f>IF(COUNTA(A50:F50)=0,"",IF(ISNUMBER(E50),1,0))</x:f>
      </x:c>
    </x:row>
    <x:row r="51">
      <x:c r="A51" s="11"/>
      <x:c r="B51" s="11"/>
      <x:c r="C51" s="11"/>
      <x:c r="D51" s="11"/>
      <x:c r="E51" s="12"/>
      <x:c r="F51" s="10"/>
      <x:c r="G51" s="2" t="str">
        <x:f>IF(COUNTA(A51:F51)=0,"",COUNTIFS('App Data'!$L$2:$L$1001,SUBSTITUTE(SUBSTITUTE(SUBSTITUTE(L51,"~","~~"),"*","~*"),"?","~?")))</x:f>
      </x:c>
      <x:c r="H51" s="2" t="str">
        <x:f>IF(COUNTA(A51:F51)=0,"",COUNTIFS('External Data'!$L$2:$L$1001,SUBSTITUTE(SUBSTITUTE(SUBSTITUTE(L51,"~","~~"),"*","~*"),"?","~?")))</x:f>
      </x:c>
      <x:c r="I51" s="13" t="str">
        <x:f>IF(OR(H51&lt;&gt;1,G51&lt;&gt;1),"",SUMIFS('External Data'!$E$2:$E$1001,'External Data'!$L$2:$L$1001,SUBSTITUTE(SUBSTITUTE(SUBSTITUTE(L51,"~","~~"),"*","~*"),"?","~?")))</x:f>
      </x:c>
      <x:c r="J51" s="13" t="str">
        <x:f>IF(OR(NOT(ISNUMBER(E51)),NOT(ISNUMBER(I51))),"",ROUND(E51-I51,2))</x:f>
      </x:c>
      <x:c r="K51" s="2" t="str">
        <x:f>IF(COUNTA(A51:F51)=0,"",IF(OR(A51="",B51="",C51="",D51="",NOT(ISNUMBER(E51))),"Missing / invalid input",IF(G51&gt;1,"Duplicate key in this source",IF(H51=0,"Missing in other source",IF(H51&gt;1,"Duplicate in other source",IF(SUMIFS('External Data'!$M$2:$M$1001,'External Data'!$L$2:$L$1001,SUBSTITUTE(SUBSTITUTE(SUBSTITUTE(L51,"~","~~"),"*","~*"),"?","~?"))&lt;&gt;1,"Other amount is invalid",IF(J51&lt;&gt;0,"Amount differs","Matched")))))))</x:f>
      </x:c>
      <x:c r="L51" t="str">
        <x:f>IF(COUNTA(A51:F51)=0,"",LEN(A51)&amp;":"&amp;A51&amp;LEN(B51)&amp;":"&amp;B51&amp;LEN(C51)&amp;":"&amp;C51&amp;LEN(D51)&amp;":"&amp;D51)</x:f>
      </x:c>
      <x:c r="M51" t="str">
        <x:f>IF(COUNTA(A51:F51)=0,"",IF(ISNUMBER(E51),1,0))</x:f>
      </x:c>
    </x:row>
    <x:row r="52">
      <x:c r="A52" s="11"/>
      <x:c r="B52" s="11"/>
      <x:c r="C52" s="11"/>
      <x:c r="D52" s="11"/>
      <x:c r="E52" s="12"/>
      <x:c r="F52" s="10"/>
      <x:c r="G52" s="2" t="str">
        <x:f>IF(COUNTA(A52:F52)=0,"",COUNTIFS('App Data'!$L$2:$L$1001,SUBSTITUTE(SUBSTITUTE(SUBSTITUTE(L52,"~","~~"),"*","~*"),"?","~?")))</x:f>
      </x:c>
      <x:c r="H52" s="2" t="str">
        <x:f>IF(COUNTA(A52:F52)=0,"",COUNTIFS('External Data'!$L$2:$L$1001,SUBSTITUTE(SUBSTITUTE(SUBSTITUTE(L52,"~","~~"),"*","~*"),"?","~?")))</x:f>
      </x:c>
      <x:c r="I52" s="13" t="str">
        <x:f>IF(OR(H52&lt;&gt;1,G52&lt;&gt;1),"",SUMIFS('External Data'!$E$2:$E$1001,'External Data'!$L$2:$L$1001,SUBSTITUTE(SUBSTITUTE(SUBSTITUTE(L52,"~","~~"),"*","~*"),"?","~?")))</x:f>
      </x:c>
      <x:c r="J52" s="13" t="str">
        <x:f>IF(OR(NOT(ISNUMBER(E52)),NOT(ISNUMBER(I52))),"",ROUND(E52-I52,2))</x:f>
      </x:c>
      <x:c r="K52" s="2" t="str">
        <x:f>IF(COUNTA(A52:F52)=0,"",IF(OR(A52="",B52="",C52="",D52="",NOT(ISNUMBER(E52))),"Missing / invalid input",IF(G52&gt;1,"Duplicate key in this source",IF(H52=0,"Missing in other source",IF(H52&gt;1,"Duplicate in other source",IF(SUMIFS('External Data'!$M$2:$M$1001,'External Data'!$L$2:$L$1001,SUBSTITUTE(SUBSTITUTE(SUBSTITUTE(L52,"~","~~"),"*","~*"),"?","~?"))&lt;&gt;1,"Other amount is invalid",IF(J52&lt;&gt;0,"Amount differs","Matched")))))))</x:f>
      </x:c>
      <x:c r="L52" t="str">
        <x:f>IF(COUNTA(A52:F52)=0,"",LEN(A52)&amp;":"&amp;A52&amp;LEN(B52)&amp;":"&amp;B52&amp;LEN(C52)&amp;":"&amp;C52&amp;LEN(D52)&amp;":"&amp;D52)</x:f>
      </x:c>
      <x:c r="M52" t="str">
        <x:f>IF(COUNTA(A52:F52)=0,"",IF(ISNUMBER(E52),1,0))</x:f>
      </x:c>
    </x:row>
    <x:row r="53">
      <x:c r="A53" s="11"/>
      <x:c r="B53" s="11"/>
      <x:c r="C53" s="11"/>
      <x:c r="D53" s="11"/>
      <x:c r="E53" s="12"/>
      <x:c r="F53" s="10"/>
      <x:c r="G53" s="2" t="str">
        <x:f>IF(COUNTA(A53:F53)=0,"",COUNTIFS('App Data'!$L$2:$L$1001,SUBSTITUTE(SUBSTITUTE(SUBSTITUTE(L53,"~","~~"),"*","~*"),"?","~?")))</x:f>
      </x:c>
      <x:c r="H53" s="2" t="str">
        <x:f>IF(COUNTA(A53:F53)=0,"",COUNTIFS('External Data'!$L$2:$L$1001,SUBSTITUTE(SUBSTITUTE(SUBSTITUTE(L53,"~","~~"),"*","~*"),"?","~?")))</x:f>
      </x:c>
      <x:c r="I53" s="13" t="str">
        <x:f>IF(OR(H53&lt;&gt;1,G53&lt;&gt;1),"",SUMIFS('External Data'!$E$2:$E$1001,'External Data'!$L$2:$L$1001,SUBSTITUTE(SUBSTITUTE(SUBSTITUTE(L53,"~","~~"),"*","~*"),"?","~?")))</x:f>
      </x:c>
      <x:c r="J53" s="13" t="str">
        <x:f>IF(OR(NOT(ISNUMBER(E53)),NOT(ISNUMBER(I53))),"",ROUND(E53-I53,2))</x:f>
      </x:c>
      <x:c r="K53" s="2" t="str">
        <x:f>IF(COUNTA(A53:F53)=0,"",IF(OR(A53="",B53="",C53="",D53="",NOT(ISNUMBER(E53))),"Missing / invalid input",IF(G53&gt;1,"Duplicate key in this source",IF(H53=0,"Missing in other source",IF(H53&gt;1,"Duplicate in other source",IF(SUMIFS('External Data'!$M$2:$M$1001,'External Data'!$L$2:$L$1001,SUBSTITUTE(SUBSTITUTE(SUBSTITUTE(L53,"~","~~"),"*","~*"),"?","~?"))&lt;&gt;1,"Other amount is invalid",IF(J53&lt;&gt;0,"Amount differs","Matched")))))))</x:f>
      </x:c>
      <x:c r="L53" t="str">
        <x:f>IF(COUNTA(A53:F53)=0,"",LEN(A53)&amp;":"&amp;A53&amp;LEN(B53)&amp;":"&amp;B53&amp;LEN(C53)&amp;":"&amp;C53&amp;LEN(D53)&amp;":"&amp;D53)</x:f>
      </x:c>
      <x:c r="M53" t="str">
        <x:f>IF(COUNTA(A53:F53)=0,"",IF(ISNUMBER(E53),1,0))</x:f>
      </x:c>
    </x:row>
    <x:row r="54">
      <x:c r="A54" s="11"/>
      <x:c r="B54" s="11"/>
      <x:c r="C54" s="11"/>
      <x:c r="D54" s="11"/>
      <x:c r="E54" s="12"/>
      <x:c r="F54" s="10"/>
      <x:c r="G54" s="2" t="str">
        <x:f>IF(COUNTA(A54:F54)=0,"",COUNTIFS('App Data'!$L$2:$L$1001,SUBSTITUTE(SUBSTITUTE(SUBSTITUTE(L54,"~","~~"),"*","~*"),"?","~?")))</x:f>
      </x:c>
      <x:c r="H54" s="2" t="str">
        <x:f>IF(COUNTA(A54:F54)=0,"",COUNTIFS('External Data'!$L$2:$L$1001,SUBSTITUTE(SUBSTITUTE(SUBSTITUTE(L54,"~","~~"),"*","~*"),"?","~?")))</x:f>
      </x:c>
      <x:c r="I54" s="13" t="str">
        <x:f>IF(OR(H54&lt;&gt;1,G54&lt;&gt;1),"",SUMIFS('External Data'!$E$2:$E$1001,'External Data'!$L$2:$L$1001,SUBSTITUTE(SUBSTITUTE(SUBSTITUTE(L54,"~","~~"),"*","~*"),"?","~?")))</x:f>
      </x:c>
      <x:c r="J54" s="13" t="str">
        <x:f>IF(OR(NOT(ISNUMBER(E54)),NOT(ISNUMBER(I54))),"",ROUND(E54-I54,2))</x:f>
      </x:c>
      <x:c r="K54" s="2" t="str">
        <x:f>IF(COUNTA(A54:F54)=0,"",IF(OR(A54="",B54="",C54="",D54="",NOT(ISNUMBER(E54))),"Missing / invalid input",IF(G54&gt;1,"Duplicate key in this source",IF(H54=0,"Missing in other source",IF(H54&gt;1,"Duplicate in other source",IF(SUMIFS('External Data'!$M$2:$M$1001,'External Data'!$L$2:$L$1001,SUBSTITUTE(SUBSTITUTE(SUBSTITUTE(L54,"~","~~"),"*","~*"),"?","~?"))&lt;&gt;1,"Other amount is invalid",IF(J54&lt;&gt;0,"Amount differs","Matched")))))))</x:f>
      </x:c>
      <x:c r="L54" t="str">
        <x:f>IF(COUNTA(A54:F54)=0,"",LEN(A54)&amp;":"&amp;A54&amp;LEN(B54)&amp;":"&amp;B54&amp;LEN(C54)&amp;":"&amp;C54&amp;LEN(D54)&amp;":"&amp;D54)</x:f>
      </x:c>
      <x:c r="M54" t="str">
        <x:f>IF(COUNTA(A54:F54)=0,"",IF(ISNUMBER(E54),1,0))</x:f>
      </x:c>
    </x:row>
    <x:row r="55">
      <x:c r="A55" s="11"/>
      <x:c r="B55" s="11"/>
      <x:c r="C55" s="11"/>
      <x:c r="D55" s="11"/>
      <x:c r="E55" s="12"/>
      <x:c r="F55" s="10"/>
      <x:c r="G55" s="2" t="str">
        <x:f>IF(COUNTA(A55:F55)=0,"",COUNTIFS('App Data'!$L$2:$L$1001,SUBSTITUTE(SUBSTITUTE(SUBSTITUTE(L55,"~","~~"),"*","~*"),"?","~?")))</x:f>
      </x:c>
      <x:c r="H55" s="2" t="str">
        <x:f>IF(COUNTA(A55:F55)=0,"",COUNTIFS('External Data'!$L$2:$L$1001,SUBSTITUTE(SUBSTITUTE(SUBSTITUTE(L55,"~","~~"),"*","~*"),"?","~?")))</x:f>
      </x:c>
      <x:c r="I55" s="13" t="str">
        <x:f>IF(OR(H55&lt;&gt;1,G55&lt;&gt;1),"",SUMIFS('External Data'!$E$2:$E$1001,'External Data'!$L$2:$L$1001,SUBSTITUTE(SUBSTITUTE(SUBSTITUTE(L55,"~","~~"),"*","~*"),"?","~?")))</x:f>
      </x:c>
      <x:c r="J55" s="13" t="str">
        <x:f>IF(OR(NOT(ISNUMBER(E55)),NOT(ISNUMBER(I55))),"",ROUND(E55-I55,2))</x:f>
      </x:c>
      <x:c r="K55" s="2" t="str">
        <x:f>IF(COUNTA(A55:F55)=0,"",IF(OR(A55="",B55="",C55="",D55="",NOT(ISNUMBER(E55))),"Missing / invalid input",IF(G55&gt;1,"Duplicate key in this source",IF(H55=0,"Missing in other source",IF(H55&gt;1,"Duplicate in other source",IF(SUMIFS('External Data'!$M$2:$M$1001,'External Data'!$L$2:$L$1001,SUBSTITUTE(SUBSTITUTE(SUBSTITUTE(L55,"~","~~"),"*","~*"),"?","~?"))&lt;&gt;1,"Other amount is invalid",IF(J55&lt;&gt;0,"Amount differs","Matched")))))))</x:f>
      </x:c>
      <x:c r="L55" t="str">
        <x:f>IF(COUNTA(A55:F55)=0,"",LEN(A55)&amp;":"&amp;A55&amp;LEN(B55)&amp;":"&amp;B55&amp;LEN(C55)&amp;":"&amp;C55&amp;LEN(D55)&amp;":"&amp;D55)</x:f>
      </x:c>
      <x:c r="M55" t="str">
        <x:f>IF(COUNTA(A55:F55)=0,"",IF(ISNUMBER(E55),1,0))</x:f>
      </x:c>
    </x:row>
    <x:row r="56">
      <x:c r="A56" s="11"/>
      <x:c r="B56" s="11"/>
      <x:c r="C56" s="11"/>
      <x:c r="D56" s="11"/>
      <x:c r="E56" s="12"/>
      <x:c r="F56" s="10"/>
      <x:c r="G56" s="2" t="str">
        <x:f>IF(COUNTA(A56:F56)=0,"",COUNTIFS('App Data'!$L$2:$L$1001,SUBSTITUTE(SUBSTITUTE(SUBSTITUTE(L56,"~","~~"),"*","~*"),"?","~?")))</x:f>
      </x:c>
      <x:c r="H56" s="2" t="str">
        <x:f>IF(COUNTA(A56:F56)=0,"",COUNTIFS('External Data'!$L$2:$L$1001,SUBSTITUTE(SUBSTITUTE(SUBSTITUTE(L56,"~","~~"),"*","~*"),"?","~?")))</x:f>
      </x:c>
      <x:c r="I56" s="13" t="str">
        <x:f>IF(OR(H56&lt;&gt;1,G56&lt;&gt;1),"",SUMIFS('External Data'!$E$2:$E$1001,'External Data'!$L$2:$L$1001,SUBSTITUTE(SUBSTITUTE(SUBSTITUTE(L56,"~","~~"),"*","~*"),"?","~?")))</x:f>
      </x:c>
      <x:c r="J56" s="13" t="str">
        <x:f>IF(OR(NOT(ISNUMBER(E56)),NOT(ISNUMBER(I56))),"",ROUND(E56-I56,2))</x:f>
      </x:c>
      <x:c r="K56" s="2" t="str">
        <x:f>IF(COUNTA(A56:F56)=0,"",IF(OR(A56="",B56="",C56="",D56="",NOT(ISNUMBER(E56))),"Missing / invalid input",IF(G56&gt;1,"Duplicate key in this source",IF(H56=0,"Missing in other source",IF(H56&gt;1,"Duplicate in other source",IF(SUMIFS('External Data'!$M$2:$M$1001,'External Data'!$L$2:$L$1001,SUBSTITUTE(SUBSTITUTE(SUBSTITUTE(L56,"~","~~"),"*","~*"),"?","~?"))&lt;&gt;1,"Other amount is invalid",IF(J56&lt;&gt;0,"Amount differs","Matched")))))))</x:f>
      </x:c>
      <x:c r="L56" t="str">
        <x:f>IF(COUNTA(A56:F56)=0,"",LEN(A56)&amp;":"&amp;A56&amp;LEN(B56)&amp;":"&amp;B56&amp;LEN(C56)&amp;":"&amp;C56&amp;LEN(D56)&amp;":"&amp;D56)</x:f>
      </x:c>
      <x:c r="M56" t="str">
        <x:f>IF(COUNTA(A56:F56)=0,"",IF(ISNUMBER(E56),1,0))</x:f>
      </x:c>
    </x:row>
    <x:row r="57">
      <x:c r="A57" s="11"/>
      <x:c r="B57" s="11"/>
      <x:c r="C57" s="11"/>
      <x:c r="D57" s="11"/>
      <x:c r="E57" s="12"/>
      <x:c r="F57" s="10"/>
      <x:c r="G57" s="2" t="str">
        <x:f>IF(COUNTA(A57:F57)=0,"",COUNTIFS('App Data'!$L$2:$L$1001,SUBSTITUTE(SUBSTITUTE(SUBSTITUTE(L57,"~","~~"),"*","~*"),"?","~?")))</x:f>
      </x:c>
      <x:c r="H57" s="2" t="str">
        <x:f>IF(COUNTA(A57:F57)=0,"",COUNTIFS('External Data'!$L$2:$L$1001,SUBSTITUTE(SUBSTITUTE(SUBSTITUTE(L57,"~","~~"),"*","~*"),"?","~?")))</x:f>
      </x:c>
      <x:c r="I57" s="13" t="str">
        <x:f>IF(OR(H57&lt;&gt;1,G57&lt;&gt;1),"",SUMIFS('External Data'!$E$2:$E$1001,'External Data'!$L$2:$L$1001,SUBSTITUTE(SUBSTITUTE(SUBSTITUTE(L57,"~","~~"),"*","~*"),"?","~?")))</x:f>
      </x:c>
      <x:c r="J57" s="13" t="str">
        <x:f>IF(OR(NOT(ISNUMBER(E57)),NOT(ISNUMBER(I57))),"",ROUND(E57-I57,2))</x:f>
      </x:c>
      <x:c r="K57" s="2" t="str">
        <x:f>IF(COUNTA(A57:F57)=0,"",IF(OR(A57="",B57="",C57="",D57="",NOT(ISNUMBER(E57))),"Missing / invalid input",IF(G57&gt;1,"Duplicate key in this source",IF(H57=0,"Missing in other source",IF(H57&gt;1,"Duplicate in other source",IF(SUMIFS('External Data'!$M$2:$M$1001,'External Data'!$L$2:$L$1001,SUBSTITUTE(SUBSTITUTE(SUBSTITUTE(L57,"~","~~"),"*","~*"),"?","~?"))&lt;&gt;1,"Other amount is invalid",IF(J57&lt;&gt;0,"Amount differs","Matched")))))))</x:f>
      </x:c>
      <x:c r="L57" t="str">
        <x:f>IF(COUNTA(A57:F57)=0,"",LEN(A57)&amp;":"&amp;A57&amp;LEN(B57)&amp;":"&amp;B57&amp;LEN(C57)&amp;":"&amp;C57&amp;LEN(D57)&amp;":"&amp;D57)</x:f>
      </x:c>
      <x:c r="M57" t="str">
        <x:f>IF(COUNTA(A57:F57)=0,"",IF(ISNUMBER(E57),1,0))</x:f>
      </x:c>
    </x:row>
    <x:row r="58">
      <x:c r="A58" s="11"/>
      <x:c r="B58" s="11"/>
      <x:c r="C58" s="11"/>
      <x:c r="D58" s="11"/>
      <x:c r="E58" s="12"/>
      <x:c r="F58" s="10"/>
      <x:c r="G58" s="2" t="str">
        <x:f>IF(COUNTA(A58:F58)=0,"",COUNTIFS('App Data'!$L$2:$L$1001,SUBSTITUTE(SUBSTITUTE(SUBSTITUTE(L58,"~","~~"),"*","~*"),"?","~?")))</x:f>
      </x:c>
      <x:c r="H58" s="2" t="str">
        <x:f>IF(COUNTA(A58:F58)=0,"",COUNTIFS('External Data'!$L$2:$L$1001,SUBSTITUTE(SUBSTITUTE(SUBSTITUTE(L58,"~","~~"),"*","~*"),"?","~?")))</x:f>
      </x:c>
      <x:c r="I58" s="13" t="str">
        <x:f>IF(OR(H58&lt;&gt;1,G58&lt;&gt;1),"",SUMIFS('External Data'!$E$2:$E$1001,'External Data'!$L$2:$L$1001,SUBSTITUTE(SUBSTITUTE(SUBSTITUTE(L58,"~","~~"),"*","~*"),"?","~?")))</x:f>
      </x:c>
      <x:c r="J58" s="13" t="str">
        <x:f>IF(OR(NOT(ISNUMBER(E58)),NOT(ISNUMBER(I58))),"",ROUND(E58-I58,2))</x:f>
      </x:c>
      <x:c r="K58" s="2" t="str">
        <x:f>IF(COUNTA(A58:F58)=0,"",IF(OR(A58="",B58="",C58="",D58="",NOT(ISNUMBER(E58))),"Missing / invalid input",IF(G58&gt;1,"Duplicate key in this source",IF(H58=0,"Missing in other source",IF(H58&gt;1,"Duplicate in other source",IF(SUMIFS('External Data'!$M$2:$M$1001,'External Data'!$L$2:$L$1001,SUBSTITUTE(SUBSTITUTE(SUBSTITUTE(L58,"~","~~"),"*","~*"),"?","~?"))&lt;&gt;1,"Other amount is invalid",IF(J58&lt;&gt;0,"Amount differs","Matched")))))))</x:f>
      </x:c>
      <x:c r="L58" t="str">
        <x:f>IF(COUNTA(A58:F58)=0,"",LEN(A58)&amp;":"&amp;A58&amp;LEN(B58)&amp;":"&amp;B58&amp;LEN(C58)&amp;":"&amp;C58&amp;LEN(D58)&amp;":"&amp;D58)</x:f>
      </x:c>
      <x:c r="M58" t="str">
        <x:f>IF(COUNTA(A58:F58)=0,"",IF(ISNUMBER(E58),1,0))</x:f>
      </x:c>
    </x:row>
    <x:row r="59">
      <x:c r="A59" s="11"/>
      <x:c r="B59" s="11"/>
      <x:c r="C59" s="11"/>
      <x:c r="D59" s="11"/>
      <x:c r="E59" s="12"/>
      <x:c r="F59" s="10"/>
      <x:c r="G59" s="2" t="str">
        <x:f>IF(COUNTA(A59:F59)=0,"",COUNTIFS('App Data'!$L$2:$L$1001,SUBSTITUTE(SUBSTITUTE(SUBSTITUTE(L59,"~","~~"),"*","~*"),"?","~?")))</x:f>
      </x:c>
      <x:c r="H59" s="2" t="str">
        <x:f>IF(COUNTA(A59:F59)=0,"",COUNTIFS('External Data'!$L$2:$L$1001,SUBSTITUTE(SUBSTITUTE(SUBSTITUTE(L59,"~","~~"),"*","~*"),"?","~?")))</x:f>
      </x:c>
      <x:c r="I59" s="13" t="str">
        <x:f>IF(OR(H59&lt;&gt;1,G59&lt;&gt;1),"",SUMIFS('External Data'!$E$2:$E$1001,'External Data'!$L$2:$L$1001,SUBSTITUTE(SUBSTITUTE(SUBSTITUTE(L59,"~","~~"),"*","~*"),"?","~?")))</x:f>
      </x:c>
      <x:c r="J59" s="13" t="str">
        <x:f>IF(OR(NOT(ISNUMBER(E59)),NOT(ISNUMBER(I59))),"",ROUND(E59-I59,2))</x:f>
      </x:c>
      <x:c r="K59" s="2" t="str">
        <x:f>IF(COUNTA(A59:F59)=0,"",IF(OR(A59="",B59="",C59="",D59="",NOT(ISNUMBER(E59))),"Missing / invalid input",IF(G59&gt;1,"Duplicate key in this source",IF(H59=0,"Missing in other source",IF(H59&gt;1,"Duplicate in other source",IF(SUMIFS('External Data'!$M$2:$M$1001,'External Data'!$L$2:$L$1001,SUBSTITUTE(SUBSTITUTE(SUBSTITUTE(L59,"~","~~"),"*","~*"),"?","~?"))&lt;&gt;1,"Other amount is invalid",IF(J59&lt;&gt;0,"Amount differs","Matched")))))))</x:f>
      </x:c>
      <x:c r="L59" t="str">
        <x:f>IF(COUNTA(A59:F59)=0,"",LEN(A59)&amp;":"&amp;A59&amp;LEN(B59)&amp;":"&amp;B59&amp;LEN(C59)&amp;":"&amp;C59&amp;LEN(D59)&amp;":"&amp;D59)</x:f>
      </x:c>
      <x:c r="M59" t="str">
        <x:f>IF(COUNTA(A59:F59)=0,"",IF(ISNUMBER(E59),1,0))</x:f>
      </x:c>
    </x:row>
    <x:row r="60">
      <x:c r="A60" s="11"/>
      <x:c r="B60" s="11"/>
      <x:c r="C60" s="11"/>
      <x:c r="D60" s="11"/>
      <x:c r="E60" s="12"/>
      <x:c r="F60" s="10"/>
      <x:c r="G60" s="2" t="str">
        <x:f>IF(COUNTA(A60:F60)=0,"",COUNTIFS('App Data'!$L$2:$L$1001,SUBSTITUTE(SUBSTITUTE(SUBSTITUTE(L60,"~","~~"),"*","~*"),"?","~?")))</x:f>
      </x:c>
      <x:c r="H60" s="2" t="str">
        <x:f>IF(COUNTA(A60:F60)=0,"",COUNTIFS('External Data'!$L$2:$L$1001,SUBSTITUTE(SUBSTITUTE(SUBSTITUTE(L60,"~","~~"),"*","~*"),"?","~?")))</x:f>
      </x:c>
      <x:c r="I60" s="13" t="str">
        <x:f>IF(OR(H60&lt;&gt;1,G60&lt;&gt;1),"",SUMIFS('External Data'!$E$2:$E$1001,'External Data'!$L$2:$L$1001,SUBSTITUTE(SUBSTITUTE(SUBSTITUTE(L60,"~","~~"),"*","~*"),"?","~?")))</x:f>
      </x:c>
      <x:c r="J60" s="13" t="str">
        <x:f>IF(OR(NOT(ISNUMBER(E60)),NOT(ISNUMBER(I60))),"",ROUND(E60-I60,2))</x:f>
      </x:c>
      <x:c r="K60" s="2" t="str">
        <x:f>IF(COUNTA(A60:F60)=0,"",IF(OR(A60="",B60="",C60="",D60="",NOT(ISNUMBER(E60))),"Missing / invalid input",IF(G60&gt;1,"Duplicate key in this source",IF(H60=0,"Missing in other source",IF(H60&gt;1,"Duplicate in other source",IF(SUMIFS('External Data'!$M$2:$M$1001,'External Data'!$L$2:$L$1001,SUBSTITUTE(SUBSTITUTE(SUBSTITUTE(L60,"~","~~"),"*","~*"),"?","~?"))&lt;&gt;1,"Other amount is invalid",IF(J60&lt;&gt;0,"Amount differs","Matched")))))))</x:f>
      </x:c>
      <x:c r="L60" t="str">
        <x:f>IF(COUNTA(A60:F60)=0,"",LEN(A60)&amp;":"&amp;A60&amp;LEN(B60)&amp;":"&amp;B60&amp;LEN(C60)&amp;":"&amp;C60&amp;LEN(D60)&amp;":"&amp;D60)</x:f>
      </x:c>
      <x:c r="M60" t="str">
        <x:f>IF(COUNTA(A60:F60)=0,"",IF(ISNUMBER(E60),1,0))</x:f>
      </x:c>
    </x:row>
    <x:row r="61">
      <x:c r="A61" s="11"/>
      <x:c r="B61" s="11"/>
      <x:c r="C61" s="11"/>
      <x:c r="D61" s="11"/>
      <x:c r="E61" s="12"/>
      <x:c r="F61" s="10"/>
      <x:c r="G61" s="2" t="str">
        <x:f>IF(COUNTA(A61:F61)=0,"",COUNTIFS('App Data'!$L$2:$L$1001,SUBSTITUTE(SUBSTITUTE(SUBSTITUTE(L61,"~","~~"),"*","~*"),"?","~?")))</x:f>
      </x:c>
      <x:c r="H61" s="2" t="str">
        <x:f>IF(COUNTA(A61:F61)=0,"",COUNTIFS('External Data'!$L$2:$L$1001,SUBSTITUTE(SUBSTITUTE(SUBSTITUTE(L61,"~","~~"),"*","~*"),"?","~?")))</x:f>
      </x:c>
      <x:c r="I61" s="13" t="str">
        <x:f>IF(OR(H61&lt;&gt;1,G61&lt;&gt;1),"",SUMIFS('External Data'!$E$2:$E$1001,'External Data'!$L$2:$L$1001,SUBSTITUTE(SUBSTITUTE(SUBSTITUTE(L61,"~","~~"),"*","~*"),"?","~?")))</x:f>
      </x:c>
      <x:c r="J61" s="13" t="str">
        <x:f>IF(OR(NOT(ISNUMBER(E61)),NOT(ISNUMBER(I61))),"",ROUND(E61-I61,2))</x:f>
      </x:c>
      <x:c r="K61" s="2" t="str">
        <x:f>IF(COUNTA(A61:F61)=0,"",IF(OR(A61="",B61="",C61="",D61="",NOT(ISNUMBER(E61))),"Missing / invalid input",IF(G61&gt;1,"Duplicate key in this source",IF(H61=0,"Missing in other source",IF(H61&gt;1,"Duplicate in other source",IF(SUMIFS('External Data'!$M$2:$M$1001,'External Data'!$L$2:$L$1001,SUBSTITUTE(SUBSTITUTE(SUBSTITUTE(L61,"~","~~"),"*","~*"),"?","~?"))&lt;&gt;1,"Other amount is invalid",IF(J61&lt;&gt;0,"Amount differs","Matched")))))))</x:f>
      </x:c>
      <x:c r="L61" t="str">
        <x:f>IF(COUNTA(A61:F61)=0,"",LEN(A61)&amp;":"&amp;A61&amp;LEN(B61)&amp;":"&amp;B61&amp;LEN(C61)&amp;":"&amp;C61&amp;LEN(D61)&amp;":"&amp;D61)</x:f>
      </x:c>
      <x:c r="M61" t="str">
        <x:f>IF(COUNTA(A61:F61)=0,"",IF(ISNUMBER(E61),1,0))</x:f>
      </x:c>
    </x:row>
    <x:row r="62">
      <x:c r="A62" s="11"/>
      <x:c r="B62" s="11"/>
      <x:c r="C62" s="11"/>
      <x:c r="D62" s="11"/>
      <x:c r="E62" s="12"/>
      <x:c r="F62" s="10"/>
      <x:c r="G62" s="2" t="str">
        <x:f>IF(COUNTA(A62:F62)=0,"",COUNTIFS('App Data'!$L$2:$L$1001,SUBSTITUTE(SUBSTITUTE(SUBSTITUTE(L62,"~","~~"),"*","~*"),"?","~?")))</x:f>
      </x:c>
      <x:c r="H62" s="2" t="str">
        <x:f>IF(COUNTA(A62:F62)=0,"",COUNTIFS('External Data'!$L$2:$L$1001,SUBSTITUTE(SUBSTITUTE(SUBSTITUTE(L62,"~","~~"),"*","~*"),"?","~?")))</x:f>
      </x:c>
      <x:c r="I62" s="13" t="str">
        <x:f>IF(OR(H62&lt;&gt;1,G62&lt;&gt;1),"",SUMIFS('External Data'!$E$2:$E$1001,'External Data'!$L$2:$L$1001,SUBSTITUTE(SUBSTITUTE(SUBSTITUTE(L62,"~","~~"),"*","~*"),"?","~?")))</x:f>
      </x:c>
      <x:c r="J62" s="13" t="str">
        <x:f>IF(OR(NOT(ISNUMBER(E62)),NOT(ISNUMBER(I62))),"",ROUND(E62-I62,2))</x:f>
      </x:c>
      <x:c r="K62" s="2" t="str">
        <x:f>IF(COUNTA(A62:F62)=0,"",IF(OR(A62="",B62="",C62="",D62="",NOT(ISNUMBER(E62))),"Missing / invalid input",IF(G62&gt;1,"Duplicate key in this source",IF(H62=0,"Missing in other source",IF(H62&gt;1,"Duplicate in other source",IF(SUMIFS('External Data'!$M$2:$M$1001,'External Data'!$L$2:$L$1001,SUBSTITUTE(SUBSTITUTE(SUBSTITUTE(L62,"~","~~"),"*","~*"),"?","~?"))&lt;&gt;1,"Other amount is invalid",IF(J62&lt;&gt;0,"Amount differs","Matched")))))))</x:f>
      </x:c>
      <x:c r="L62" t="str">
        <x:f>IF(COUNTA(A62:F62)=0,"",LEN(A62)&amp;":"&amp;A62&amp;LEN(B62)&amp;":"&amp;B62&amp;LEN(C62)&amp;":"&amp;C62&amp;LEN(D62)&amp;":"&amp;D62)</x:f>
      </x:c>
      <x:c r="M62" t="str">
        <x:f>IF(COUNTA(A62:F62)=0,"",IF(ISNUMBER(E62),1,0))</x:f>
      </x:c>
    </x:row>
    <x:row r="63">
      <x:c r="A63" s="11"/>
      <x:c r="B63" s="11"/>
      <x:c r="C63" s="11"/>
      <x:c r="D63" s="11"/>
      <x:c r="E63" s="12"/>
      <x:c r="F63" s="10"/>
      <x:c r="G63" s="2" t="str">
        <x:f>IF(COUNTA(A63:F63)=0,"",COUNTIFS('App Data'!$L$2:$L$1001,SUBSTITUTE(SUBSTITUTE(SUBSTITUTE(L63,"~","~~"),"*","~*"),"?","~?")))</x:f>
      </x:c>
      <x:c r="H63" s="2" t="str">
        <x:f>IF(COUNTA(A63:F63)=0,"",COUNTIFS('External Data'!$L$2:$L$1001,SUBSTITUTE(SUBSTITUTE(SUBSTITUTE(L63,"~","~~"),"*","~*"),"?","~?")))</x:f>
      </x:c>
      <x:c r="I63" s="13" t="str">
        <x:f>IF(OR(H63&lt;&gt;1,G63&lt;&gt;1),"",SUMIFS('External Data'!$E$2:$E$1001,'External Data'!$L$2:$L$1001,SUBSTITUTE(SUBSTITUTE(SUBSTITUTE(L63,"~","~~"),"*","~*"),"?","~?")))</x:f>
      </x:c>
      <x:c r="J63" s="13" t="str">
        <x:f>IF(OR(NOT(ISNUMBER(E63)),NOT(ISNUMBER(I63))),"",ROUND(E63-I63,2))</x:f>
      </x:c>
      <x:c r="K63" s="2" t="str">
        <x:f>IF(COUNTA(A63:F63)=0,"",IF(OR(A63="",B63="",C63="",D63="",NOT(ISNUMBER(E63))),"Missing / invalid input",IF(G63&gt;1,"Duplicate key in this source",IF(H63=0,"Missing in other source",IF(H63&gt;1,"Duplicate in other source",IF(SUMIFS('External Data'!$M$2:$M$1001,'External Data'!$L$2:$L$1001,SUBSTITUTE(SUBSTITUTE(SUBSTITUTE(L63,"~","~~"),"*","~*"),"?","~?"))&lt;&gt;1,"Other amount is invalid",IF(J63&lt;&gt;0,"Amount differs","Matched")))))))</x:f>
      </x:c>
      <x:c r="L63" t="str">
        <x:f>IF(COUNTA(A63:F63)=0,"",LEN(A63)&amp;":"&amp;A63&amp;LEN(B63)&amp;":"&amp;B63&amp;LEN(C63)&amp;":"&amp;C63&amp;LEN(D63)&amp;":"&amp;D63)</x:f>
      </x:c>
      <x:c r="M63" t="str">
        <x:f>IF(COUNTA(A63:F63)=0,"",IF(ISNUMBER(E63),1,0))</x:f>
      </x:c>
    </x:row>
    <x:row r="64">
      <x:c r="A64" s="11"/>
      <x:c r="B64" s="11"/>
      <x:c r="C64" s="11"/>
      <x:c r="D64" s="11"/>
      <x:c r="E64" s="12"/>
      <x:c r="F64" s="10"/>
      <x:c r="G64" s="2" t="str">
        <x:f>IF(COUNTA(A64:F64)=0,"",COUNTIFS('App Data'!$L$2:$L$1001,SUBSTITUTE(SUBSTITUTE(SUBSTITUTE(L64,"~","~~"),"*","~*"),"?","~?")))</x:f>
      </x:c>
      <x:c r="H64" s="2" t="str">
        <x:f>IF(COUNTA(A64:F64)=0,"",COUNTIFS('External Data'!$L$2:$L$1001,SUBSTITUTE(SUBSTITUTE(SUBSTITUTE(L64,"~","~~"),"*","~*"),"?","~?")))</x:f>
      </x:c>
      <x:c r="I64" s="13" t="str">
        <x:f>IF(OR(H64&lt;&gt;1,G64&lt;&gt;1),"",SUMIFS('External Data'!$E$2:$E$1001,'External Data'!$L$2:$L$1001,SUBSTITUTE(SUBSTITUTE(SUBSTITUTE(L64,"~","~~"),"*","~*"),"?","~?")))</x:f>
      </x:c>
      <x:c r="J64" s="13" t="str">
        <x:f>IF(OR(NOT(ISNUMBER(E64)),NOT(ISNUMBER(I64))),"",ROUND(E64-I64,2))</x:f>
      </x:c>
      <x:c r="K64" s="2" t="str">
        <x:f>IF(COUNTA(A64:F64)=0,"",IF(OR(A64="",B64="",C64="",D64="",NOT(ISNUMBER(E64))),"Missing / invalid input",IF(G64&gt;1,"Duplicate key in this source",IF(H64=0,"Missing in other source",IF(H64&gt;1,"Duplicate in other source",IF(SUMIFS('External Data'!$M$2:$M$1001,'External Data'!$L$2:$L$1001,SUBSTITUTE(SUBSTITUTE(SUBSTITUTE(L64,"~","~~"),"*","~*"),"?","~?"))&lt;&gt;1,"Other amount is invalid",IF(J64&lt;&gt;0,"Amount differs","Matched")))))))</x:f>
      </x:c>
      <x:c r="L64" t="str">
        <x:f>IF(COUNTA(A64:F64)=0,"",LEN(A64)&amp;":"&amp;A64&amp;LEN(B64)&amp;":"&amp;B64&amp;LEN(C64)&amp;":"&amp;C64&amp;LEN(D64)&amp;":"&amp;D64)</x:f>
      </x:c>
      <x:c r="M64" t="str">
        <x:f>IF(COUNTA(A64:F64)=0,"",IF(ISNUMBER(E64),1,0))</x:f>
      </x:c>
    </x:row>
    <x:row r="65">
      <x:c r="A65" s="11"/>
      <x:c r="B65" s="11"/>
      <x:c r="C65" s="11"/>
      <x:c r="D65" s="11"/>
      <x:c r="E65" s="12"/>
      <x:c r="F65" s="10"/>
      <x:c r="G65" s="2" t="str">
        <x:f>IF(COUNTA(A65:F65)=0,"",COUNTIFS('App Data'!$L$2:$L$1001,SUBSTITUTE(SUBSTITUTE(SUBSTITUTE(L65,"~","~~"),"*","~*"),"?","~?")))</x:f>
      </x:c>
      <x:c r="H65" s="2" t="str">
        <x:f>IF(COUNTA(A65:F65)=0,"",COUNTIFS('External Data'!$L$2:$L$1001,SUBSTITUTE(SUBSTITUTE(SUBSTITUTE(L65,"~","~~"),"*","~*"),"?","~?")))</x:f>
      </x:c>
      <x:c r="I65" s="13" t="str">
        <x:f>IF(OR(H65&lt;&gt;1,G65&lt;&gt;1),"",SUMIFS('External Data'!$E$2:$E$1001,'External Data'!$L$2:$L$1001,SUBSTITUTE(SUBSTITUTE(SUBSTITUTE(L65,"~","~~"),"*","~*"),"?","~?")))</x:f>
      </x:c>
      <x:c r="J65" s="13" t="str">
        <x:f>IF(OR(NOT(ISNUMBER(E65)),NOT(ISNUMBER(I65))),"",ROUND(E65-I65,2))</x:f>
      </x:c>
      <x:c r="K65" s="2" t="str">
        <x:f>IF(COUNTA(A65:F65)=0,"",IF(OR(A65="",B65="",C65="",D65="",NOT(ISNUMBER(E65))),"Missing / invalid input",IF(G65&gt;1,"Duplicate key in this source",IF(H65=0,"Missing in other source",IF(H65&gt;1,"Duplicate in other source",IF(SUMIFS('External Data'!$M$2:$M$1001,'External Data'!$L$2:$L$1001,SUBSTITUTE(SUBSTITUTE(SUBSTITUTE(L65,"~","~~"),"*","~*"),"?","~?"))&lt;&gt;1,"Other amount is invalid",IF(J65&lt;&gt;0,"Amount differs","Matched")))))))</x:f>
      </x:c>
      <x:c r="L65" t="str">
        <x:f>IF(COUNTA(A65:F65)=0,"",LEN(A65)&amp;":"&amp;A65&amp;LEN(B65)&amp;":"&amp;B65&amp;LEN(C65)&amp;":"&amp;C65&amp;LEN(D65)&amp;":"&amp;D65)</x:f>
      </x:c>
      <x:c r="M65" t="str">
        <x:f>IF(COUNTA(A65:F65)=0,"",IF(ISNUMBER(E65),1,0))</x:f>
      </x:c>
    </x:row>
    <x:row r="66">
      <x:c r="A66" s="11"/>
      <x:c r="B66" s="11"/>
      <x:c r="C66" s="11"/>
      <x:c r="D66" s="11"/>
      <x:c r="E66" s="12"/>
      <x:c r="F66" s="10"/>
      <x:c r="G66" s="2" t="str">
        <x:f>IF(COUNTA(A66:F66)=0,"",COUNTIFS('App Data'!$L$2:$L$1001,SUBSTITUTE(SUBSTITUTE(SUBSTITUTE(L66,"~","~~"),"*","~*"),"?","~?")))</x:f>
      </x:c>
      <x:c r="H66" s="2" t="str">
        <x:f>IF(COUNTA(A66:F66)=0,"",COUNTIFS('External Data'!$L$2:$L$1001,SUBSTITUTE(SUBSTITUTE(SUBSTITUTE(L66,"~","~~"),"*","~*"),"?","~?")))</x:f>
      </x:c>
      <x:c r="I66" s="13" t="str">
        <x:f>IF(OR(H66&lt;&gt;1,G66&lt;&gt;1),"",SUMIFS('External Data'!$E$2:$E$1001,'External Data'!$L$2:$L$1001,SUBSTITUTE(SUBSTITUTE(SUBSTITUTE(L66,"~","~~"),"*","~*"),"?","~?")))</x:f>
      </x:c>
      <x:c r="J66" s="13" t="str">
        <x:f>IF(OR(NOT(ISNUMBER(E66)),NOT(ISNUMBER(I66))),"",ROUND(E66-I66,2))</x:f>
      </x:c>
      <x:c r="K66" s="2" t="str">
        <x:f>IF(COUNTA(A66:F66)=0,"",IF(OR(A66="",B66="",C66="",D66="",NOT(ISNUMBER(E66))),"Missing / invalid input",IF(G66&gt;1,"Duplicate key in this source",IF(H66=0,"Missing in other source",IF(H66&gt;1,"Duplicate in other source",IF(SUMIFS('External Data'!$M$2:$M$1001,'External Data'!$L$2:$L$1001,SUBSTITUTE(SUBSTITUTE(SUBSTITUTE(L66,"~","~~"),"*","~*"),"?","~?"))&lt;&gt;1,"Other amount is invalid",IF(J66&lt;&gt;0,"Amount differs","Matched")))))))</x:f>
      </x:c>
      <x:c r="L66" t="str">
        <x:f>IF(COUNTA(A66:F66)=0,"",LEN(A66)&amp;":"&amp;A66&amp;LEN(B66)&amp;":"&amp;B66&amp;LEN(C66)&amp;":"&amp;C66&amp;LEN(D66)&amp;":"&amp;D66)</x:f>
      </x:c>
      <x:c r="M66" t="str">
        <x:f>IF(COUNTA(A66:F66)=0,"",IF(ISNUMBER(E66),1,0))</x:f>
      </x:c>
    </x:row>
    <x:row r="67">
      <x:c r="A67" s="11"/>
      <x:c r="B67" s="11"/>
      <x:c r="C67" s="11"/>
      <x:c r="D67" s="11"/>
      <x:c r="E67" s="12"/>
      <x:c r="F67" s="10"/>
      <x:c r="G67" s="2" t="str">
        <x:f>IF(COUNTA(A67:F67)=0,"",COUNTIFS('App Data'!$L$2:$L$1001,SUBSTITUTE(SUBSTITUTE(SUBSTITUTE(L67,"~","~~"),"*","~*"),"?","~?")))</x:f>
      </x:c>
      <x:c r="H67" s="2" t="str">
        <x:f>IF(COUNTA(A67:F67)=0,"",COUNTIFS('External Data'!$L$2:$L$1001,SUBSTITUTE(SUBSTITUTE(SUBSTITUTE(L67,"~","~~"),"*","~*"),"?","~?")))</x:f>
      </x:c>
      <x:c r="I67" s="13" t="str">
        <x:f>IF(OR(H67&lt;&gt;1,G67&lt;&gt;1),"",SUMIFS('External Data'!$E$2:$E$1001,'External Data'!$L$2:$L$1001,SUBSTITUTE(SUBSTITUTE(SUBSTITUTE(L67,"~","~~"),"*","~*"),"?","~?")))</x:f>
      </x:c>
      <x:c r="J67" s="13" t="str">
        <x:f>IF(OR(NOT(ISNUMBER(E67)),NOT(ISNUMBER(I67))),"",ROUND(E67-I67,2))</x:f>
      </x:c>
      <x:c r="K67" s="2" t="str">
        <x:f>IF(COUNTA(A67:F67)=0,"",IF(OR(A67="",B67="",C67="",D67="",NOT(ISNUMBER(E67))),"Missing / invalid input",IF(G67&gt;1,"Duplicate key in this source",IF(H67=0,"Missing in other source",IF(H67&gt;1,"Duplicate in other source",IF(SUMIFS('External Data'!$M$2:$M$1001,'External Data'!$L$2:$L$1001,SUBSTITUTE(SUBSTITUTE(SUBSTITUTE(L67,"~","~~"),"*","~*"),"?","~?"))&lt;&gt;1,"Other amount is invalid",IF(J67&lt;&gt;0,"Amount differs","Matched")))))))</x:f>
      </x:c>
      <x:c r="L67" t="str">
        <x:f>IF(COUNTA(A67:F67)=0,"",LEN(A67)&amp;":"&amp;A67&amp;LEN(B67)&amp;":"&amp;B67&amp;LEN(C67)&amp;":"&amp;C67&amp;LEN(D67)&amp;":"&amp;D67)</x:f>
      </x:c>
      <x:c r="M67" t="str">
        <x:f>IF(COUNTA(A67:F67)=0,"",IF(ISNUMBER(E67),1,0))</x:f>
      </x:c>
    </x:row>
    <x:row r="68">
      <x:c r="A68" s="11"/>
      <x:c r="B68" s="11"/>
      <x:c r="C68" s="11"/>
      <x:c r="D68" s="11"/>
      <x:c r="E68" s="12"/>
      <x:c r="F68" s="10"/>
      <x:c r="G68" s="2" t="str">
        <x:f>IF(COUNTA(A68:F68)=0,"",COUNTIFS('App Data'!$L$2:$L$1001,SUBSTITUTE(SUBSTITUTE(SUBSTITUTE(L68,"~","~~"),"*","~*"),"?","~?")))</x:f>
      </x:c>
      <x:c r="H68" s="2" t="str">
        <x:f>IF(COUNTA(A68:F68)=0,"",COUNTIFS('External Data'!$L$2:$L$1001,SUBSTITUTE(SUBSTITUTE(SUBSTITUTE(L68,"~","~~"),"*","~*"),"?","~?")))</x:f>
      </x:c>
      <x:c r="I68" s="13" t="str">
        <x:f>IF(OR(H68&lt;&gt;1,G68&lt;&gt;1),"",SUMIFS('External Data'!$E$2:$E$1001,'External Data'!$L$2:$L$1001,SUBSTITUTE(SUBSTITUTE(SUBSTITUTE(L68,"~","~~"),"*","~*"),"?","~?")))</x:f>
      </x:c>
      <x:c r="J68" s="13" t="str">
        <x:f>IF(OR(NOT(ISNUMBER(E68)),NOT(ISNUMBER(I68))),"",ROUND(E68-I68,2))</x:f>
      </x:c>
      <x:c r="K68" s="2" t="str">
        <x:f>IF(COUNTA(A68:F68)=0,"",IF(OR(A68="",B68="",C68="",D68="",NOT(ISNUMBER(E68))),"Missing / invalid input",IF(G68&gt;1,"Duplicate key in this source",IF(H68=0,"Missing in other source",IF(H68&gt;1,"Duplicate in other source",IF(SUMIFS('External Data'!$M$2:$M$1001,'External Data'!$L$2:$L$1001,SUBSTITUTE(SUBSTITUTE(SUBSTITUTE(L68,"~","~~"),"*","~*"),"?","~?"))&lt;&gt;1,"Other amount is invalid",IF(J68&lt;&gt;0,"Amount differs","Matched")))))))</x:f>
      </x:c>
      <x:c r="L68" t="str">
        <x:f>IF(COUNTA(A68:F68)=0,"",LEN(A68)&amp;":"&amp;A68&amp;LEN(B68)&amp;":"&amp;B68&amp;LEN(C68)&amp;":"&amp;C68&amp;LEN(D68)&amp;":"&amp;D68)</x:f>
      </x:c>
      <x:c r="M68" t="str">
        <x:f>IF(COUNTA(A68:F68)=0,"",IF(ISNUMBER(E68),1,0))</x:f>
      </x:c>
    </x:row>
    <x:row r="69">
      <x:c r="A69" s="11"/>
      <x:c r="B69" s="11"/>
      <x:c r="C69" s="11"/>
      <x:c r="D69" s="11"/>
      <x:c r="E69" s="12"/>
      <x:c r="F69" s="10"/>
      <x:c r="G69" s="2" t="str">
        <x:f>IF(COUNTA(A69:F69)=0,"",COUNTIFS('App Data'!$L$2:$L$1001,SUBSTITUTE(SUBSTITUTE(SUBSTITUTE(L69,"~","~~"),"*","~*"),"?","~?")))</x:f>
      </x:c>
      <x:c r="H69" s="2" t="str">
        <x:f>IF(COUNTA(A69:F69)=0,"",COUNTIFS('External Data'!$L$2:$L$1001,SUBSTITUTE(SUBSTITUTE(SUBSTITUTE(L69,"~","~~"),"*","~*"),"?","~?")))</x:f>
      </x:c>
      <x:c r="I69" s="13" t="str">
        <x:f>IF(OR(H69&lt;&gt;1,G69&lt;&gt;1),"",SUMIFS('External Data'!$E$2:$E$1001,'External Data'!$L$2:$L$1001,SUBSTITUTE(SUBSTITUTE(SUBSTITUTE(L69,"~","~~"),"*","~*"),"?","~?")))</x:f>
      </x:c>
      <x:c r="J69" s="13" t="str">
        <x:f>IF(OR(NOT(ISNUMBER(E69)),NOT(ISNUMBER(I69))),"",ROUND(E69-I69,2))</x:f>
      </x:c>
      <x:c r="K69" s="2" t="str">
        <x:f>IF(COUNTA(A69:F69)=0,"",IF(OR(A69="",B69="",C69="",D69="",NOT(ISNUMBER(E69))),"Missing / invalid input",IF(G69&gt;1,"Duplicate key in this source",IF(H69=0,"Missing in other source",IF(H69&gt;1,"Duplicate in other source",IF(SUMIFS('External Data'!$M$2:$M$1001,'External Data'!$L$2:$L$1001,SUBSTITUTE(SUBSTITUTE(SUBSTITUTE(L69,"~","~~"),"*","~*"),"?","~?"))&lt;&gt;1,"Other amount is invalid",IF(J69&lt;&gt;0,"Amount differs","Matched")))))))</x:f>
      </x:c>
      <x:c r="L69" t="str">
        <x:f>IF(COUNTA(A69:F69)=0,"",LEN(A69)&amp;":"&amp;A69&amp;LEN(B69)&amp;":"&amp;B69&amp;LEN(C69)&amp;":"&amp;C69&amp;LEN(D69)&amp;":"&amp;D69)</x:f>
      </x:c>
      <x:c r="M69" t="str">
        <x:f>IF(COUNTA(A69:F69)=0,"",IF(ISNUMBER(E69),1,0))</x:f>
      </x:c>
    </x:row>
    <x:row r="70">
      <x:c r="A70" s="11"/>
      <x:c r="B70" s="11"/>
      <x:c r="C70" s="11"/>
      <x:c r="D70" s="11"/>
      <x:c r="E70" s="12"/>
      <x:c r="F70" s="10"/>
      <x:c r="G70" s="2" t="str">
        <x:f>IF(COUNTA(A70:F70)=0,"",COUNTIFS('App Data'!$L$2:$L$1001,SUBSTITUTE(SUBSTITUTE(SUBSTITUTE(L70,"~","~~"),"*","~*"),"?","~?")))</x:f>
      </x:c>
      <x:c r="H70" s="2" t="str">
        <x:f>IF(COUNTA(A70:F70)=0,"",COUNTIFS('External Data'!$L$2:$L$1001,SUBSTITUTE(SUBSTITUTE(SUBSTITUTE(L70,"~","~~"),"*","~*"),"?","~?")))</x:f>
      </x:c>
      <x:c r="I70" s="13" t="str">
        <x:f>IF(OR(H70&lt;&gt;1,G70&lt;&gt;1),"",SUMIFS('External Data'!$E$2:$E$1001,'External Data'!$L$2:$L$1001,SUBSTITUTE(SUBSTITUTE(SUBSTITUTE(L70,"~","~~"),"*","~*"),"?","~?")))</x:f>
      </x:c>
      <x:c r="J70" s="13" t="str">
        <x:f>IF(OR(NOT(ISNUMBER(E70)),NOT(ISNUMBER(I70))),"",ROUND(E70-I70,2))</x:f>
      </x:c>
      <x:c r="K70" s="2" t="str">
        <x:f>IF(COUNTA(A70:F70)=0,"",IF(OR(A70="",B70="",C70="",D70="",NOT(ISNUMBER(E70))),"Missing / invalid input",IF(G70&gt;1,"Duplicate key in this source",IF(H70=0,"Missing in other source",IF(H70&gt;1,"Duplicate in other source",IF(SUMIFS('External Data'!$M$2:$M$1001,'External Data'!$L$2:$L$1001,SUBSTITUTE(SUBSTITUTE(SUBSTITUTE(L70,"~","~~"),"*","~*"),"?","~?"))&lt;&gt;1,"Other amount is invalid",IF(J70&lt;&gt;0,"Amount differs","Matched")))))))</x:f>
      </x:c>
      <x:c r="L70" t="str">
        <x:f>IF(COUNTA(A70:F70)=0,"",LEN(A70)&amp;":"&amp;A70&amp;LEN(B70)&amp;":"&amp;B70&amp;LEN(C70)&amp;":"&amp;C70&amp;LEN(D70)&amp;":"&amp;D70)</x:f>
      </x:c>
      <x:c r="M70" t="str">
        <x:f>IF(COUNTA(A70:F70)=0,"",IF(ISNUMBER(E70),1,0))</x:f>
      </x:c>
    </x:row>
    <x:row r="71">
      <x:c r="A71" s="11"/>
      <x:c r="B71" s="11"/>
      <x:c r="C71" s="11"/>
      <x:c r="D71" s="11"/>
      <x:c r="E71" s="12"/>
      <x:c r="F71" s="10"/>
      <x:c r="G71" s="2" t="str">
        <x:f>IF(COUNTA(A71:F71)=0,"",COUNTIFS('App Data'!$L$2:$L$1001,SUBSTITUTE(SUBSTITUTE(SUBSTITUTE(L71,"~","~~"),"*","~*"),"?","~?")))</x:f>
      </x:c>
      <x:c r="H71" s="2" t="str">
        <x:f>IF(COUNTA(A71:F71)=0,"",COUNTIFS('External Data'!$L$2:$L$1001,SUBSTITUTE(SUBSTITUTE(SUBSTITUTE(L71,"~","~~"),"*","~*"),"?","~?")))</x:f>
      </x:c>
      <x:c r="I71" s="13" t="str">
        <x:f>IF(OR(H71&lt;&gt;1,G71&lt;&gt;1),"",SUMIFS('External Data'!$E$2:$E$1001,'External Data'!$L$2:$L$1001,SUBSTITUTE(SUBSTITUTE(SUBSTITUTE(L71,"~","~~"),"*","~*"),"?","~?")))</x:f>
      </x:c>
      <x:c r="J71" s="13" t="str">
        <x:f>IF(OR(NOT(ISNUMBER(E71)),NOT(ISNUMBER(I71))),"",ROUND(E71-I71,2))</x:f>
      </x:c>
      <x:c r="K71" s="2" t="str">
        <x:f>IF(COUNTA(A71:F71)=0,"",IF(OR(A71="",B71="",C71="",D71="",NOT(ISNUMBER(E71))),"Missing / invalid input",IF(G71&gt;1,"Duplicate key in this source",IF(H71=0,"Missing in other source",IF(H71&gt;1,"Duplicate in other source",IF(SUMIFS('External Data'!$M$2:$M$1001,'External Data'!$L$2:$L$1001,SUBSTITUTE(SUBSTITUTE(SUBSTITUTE(L71,"~","~~"),"*","~*"),"?","~?"))&lt;&gt;1,"Other amount is invalid",IF(J71&lt;&gt;0,"Amount differs","Matched")))))))</x:f>
      </x:c>
      <x:c r="L71" t="str">
        <x:f>IF(COUNTA(A71:F71)=0,"",LEN(A71)&amp;":"&amp;A71&amp;LEN(B71)&amp;":"&amp;B71&amp;LEN(C71)&amp;":"&amp;C71&amp;LEN(D71)&amp;":"&amp;D71)</x:f>
      </x:c>
      <x:c r="M71" t="str">
        <x:f>IF(COUNTA(A71:F71)=0,"",IF(ISNUMBER(E71),1,0))</x:f>
      </x:c>
    </x:row>
    <x:row r="72">
      <x:c r="A72" s="11"/>
      <x:c r="B72" s="11"/>
      <x:c r="C72" s="11"/>
      <x:c r="D72" s="11"/>
      <x:c r="E72" s="12"/>
      <x:c r="F72" s="10"/>
      <x:c r="G72" s="2" t="str">
        <x:f>IF(COUNTA(A72:F72)=0,"",COUNTIFS('App Data'!$L$2:$L$1001,SUBSTITUTE(SUBSTITUTE(SUBSTITUTE(L72,"~","~~"),"*","~*"),"?","~?")))</x:f>
      </x:c>
      <x:c r="H72" s="2" t="str">
        <x:f>IF(COUNTA(A72:F72)=0,"",COUNTIFS('External Data'!$L$2:$L$1001,SUBSTITUTE(SUBSTITUTE(SUBSTITUTE(L72,"~","~~"),"*","~*"),"?","~?")))</x:f>
      </x:c>
      <x:c r="I72" s="13" t="str">
        <x:f>IF(OR(H72&lt;&gt;1,G72&lt;&gt;1),"",SUMIFS('External Data'!$E$2:$E$1001,'External Data'!$L$2:$L$1001,SUBSTITUTE(SUBSTITUTE(SUBSTITUTE(L72,"~","~~"),"*","~*"),"?","~?")))</x:f>
      </x:c>
      <x:c r="J72" s="13" t="str">
        <x:f>IF(OR(NOT(ISNUMBER(E72)),NOT(ISNUMBER(I72))),"",ROUND(E72-I72,2))</x:f>
      </x:c>
      <x:c r="K72" s="2" t="str">
        <x:f>IF(COUNTA(A72:F72)=0,"",IF(OR(A72="",B72="",C72="",D72="",NOT(ISNUMBER(E72))),"Missing / invalid input",IF(G72&gt;1,"Duplicate key in this source",IF(H72=0,"Missing in other source",IF(H72&gt;1,"Duplicate in other source",IF(SUMIFS('External Data'!$M$2:$M$1001,'External Data'!$L$2:$L$1001,SUBSTITUTE(SUBSTITUTE(SUBSTITUTE(L72,"~","~~"),"*","~*"),"?","~?"))&lt;&gt;1,"Other amount is invalid",IF(J72&lt;&gt;0,"Amount differs","Matched")))))))</x:f>
      </x:c>
      <x:c r="L72" t="str">
        <x:f>IF(COUNTA(A72:F72)=0,"",LEN(A72)&amp;":"&amp;A72&amp;LEN(B72)&amp;":"&amp;B72&amp;LEN(C72)&amp;":"&amp;C72&amp;LEN(D72)&amp;":"&amp;D72)</x:f>
      </x:c>
      <x:c r="M72" t="str">
        <x:f>IF(COUNTA(A72:F72)=0,"",IF(ISNUMBER(E72),1,0))</x:f>
      </x:c>
    </x:row>
    <x:row r="73">
      <x:c r="A73" s="11"/>
      <x:c r="B73" s="11"/>
      <x:c r="C73" s="11"/>
      <x:c r="D73" s="11"/>
      <x:c r="E73" s="12"/>
      <x:c r="F73" s="10"/>
      <x:c r="G73" s="2" t="str">
        <x:f>IF(COUNTA(A73:F73)=0,"",COUNTIFS('App Data'!$L$2:$L$1001,SUBSTITUTE(SUBSTITUTE(SUBSTITUTE(L73,"~","~~"),"*","~*"),"?","~?")))</x:f>
      </x:c>
      <x:c r="H73" s="2" t="str">
        <x:f>IF(COUNTA(A73:F73)=0,"",COUNTIFS('External Data'!$L$2:$L$1001,SUBSTITUTE(SUBSTITUTE(SUBSTITUTE(L73,"~","~~"),"*","~*"),"?","~?")))</x:f>
      </x:c>
      <x:c r="I73" s="13" t="str">
        <x:f>IF(OR(H73&lt;&gt;1,G73&lt;&gt;1),"",SUMIFS('External Data'!$E$2:$E$1001,'External Data'!$L$2:$L$1001,SUBSTITUTE(SUBSTITUTE(SUBSTITUTE(L73,"~","~~"),"*","~*"),"?","~?")))</x:f>
      </x:c>
      <x:c r="J73" s="13" t="str">
        <x:f>IF(OR(NOT(ISNUMBER(E73)),NOT(ISNUMBER(I73))),"",ROUND(E73-I73,2))</x:f>
      </x:c>
      <x:c r="K73" s="2" t="str">
        <x:f>IF(COUNTA(A73:F73)=0,"",IF(OR(A73="",B73="",C73="",D73="",NOT(ISNUMBER(E73))),"Missing / invalid input",IF(G73&gt;1,"Duplicate key in this source",IF(H73=0,"Missing in other source",IF(H73&gt;1,"Duplicate in other source",IF(SUMIFS('External Data'!$M$2:$M$1001,'External Data'!$L$2:$L$1001,SUBSTITUTE(SUBSTITUTE(SUBSTITUTE(L73,"~","~~"),"*","~*"),"?","~?"))&lt;&gt;1,"Other amount is invalid",IF(J73&lt;&gt;0,"Amount differs","Matched")))))))</x:f>
      </x:c>
      <x:c r="L73" t="str">
        <x:f>IF(COUNTA(A73:F73)=0,"",LEN(A73)&amp;":"&amp;A73&amp;LEN(B73)&amp;":"&amp;B73&amp;LEN(C73)&amp;":"&amp;C73&amp;LEN(D73)&amp;":"&amp;D73)</x:f>
      </x:c>
      <x:c r="M73" t="str">
        <x:f>IF(COUNTA(A73:F73)=0,"",IF(ISNUMBER(E73),1,0))</x:f>
      </x:c>
    </x:row>
    <x:row r="74">
      <x:c r="A74" s="11"/>
      <x:c r="B74" s="11"/>
      <x:c r="C74" s="11"/>
      <x:c r="D74" s="11"/>
      <x:c r="E74" s="12"/>
      <x:c r="F74" s="10"/>
      <x:c r="G74" s="2" t="str">
        <x:f>IF(COUNTA(A74:F74)=0,"",COUNTIFS('App Data'!$L$2:$L$1001,SUBSTITUTE(SUBSTITUTE(SUBSTITUTE(L74,"~","~~"),"*","~*"),"?","~?")))</x:f>
      </x:c>
      <x:c r="H74" s="2" t="str">
        <x:f>IF(COUNTA(A74:F74)=0,"",COUNTIFS('External Data'!$L$2:$L$1001,SUBSTITUTE(SUBSTITUTE(SUBSTITUTE(L74,"~","~~"),"*","~*"),"?","~?")))</x:f>
      </x:c>
      <x:c r="I74" s="13" t="str">
        <x:f>IF(OR(H74&lt;&gt;1,G74&lt;&gt;1),"",SUMIFS('External Data'!$E$2:$E$1001,'External Data'!$L$2:$L$1001,SUBSTITUTE(SUBSTITUTE(SUBSTITUTE(L74,"~","~~"),"*","~*"),"?","~?")))</x:f>
      </x:c>
      <x:c r="J74" s="13" t="str">
        <x:f>IF(OR(NOT(ISNUMBER(E74)),NOT(ISNUMBER(I74))),"",ROUND(E74-I74,2))</x:f>
      </x:c>
      <x:c r="K74" s="2" t="str">
        <x:f>IF(COUNTA(A74:F74)=0,"",IF(OR(A74="",B74="",C74="",D74="",NOT(ISNUMBER(E74))),"Missing / invalid input",IF(G74&gt;1,"Duplicate key in this source",IF(H74=0,"Missing in other source",IF(H74&gt;1,"Duplicate in other source",IF(SUMIFS('External Data'!$M$2:$M$1001,'External Data'!$L$2:$L$1001,SUBSTITUTE(SUBSTITUTE(SUBSTITUTE(L74,"~","~~"),"*","~*"),"?","~?"))&lt;&gt;1,"Other amount is invalid",IF(J74&lt;&gt;0,"Amount differs","Matched")))))))</x:f>
      </x:c>
      <x:c r="L74" t="str">
        <x:f>IF(COUNTA(A74:F74)=0,"",LEN(A74)&amp;":"&amp;A74&amp;LEN(B74)&amp;":"&amp;B74&amp;LEN(C74)&amp;":"&amp;C74&amp;LEN(D74)&amp;":"&amp;D74)</x:f>
      </x:c>
      <x:c r="M74" t="str">
        <x:f>IF(COUNTA(A74:F74)=0,"",IF(ISNUMBER(E74),1,0))</x:f>
      </x:c>
    </x:row>
    <x:row r="75">
      <x:c r="A75" s="11"/>
      <x:c r="B75" s="11"/>
      <x:c r="C75" s="11"/>
      <x:c r="D75" s="11"/>
      <x:c r="E75" s="12"/>
      <x:c r="F75" s="10"/>
      <x:c r="G75" s="2" t="str">
        <x:f>IF(COUNTA(A75:F75)=0,"",COUNTIFS('App Data'!$L$2:$L$1001,SUBSTITUTE(SUBSTITUTE(SUBSTITUTE(L75,"~","~~"),"*","~*"),"?","~?")))</x:f>
      </x:c>
      <x:c r="H75" s="2" t="str">
        <x:f>IF(COUNTA(A75:F75)=0,"",COUNTIFS('External Data'!$L$2:$L$1001,SUBSTITUTE(SUBSTITUTE(SUBSTITUTE(L75,"~","~~"),"*","~*"),"?","~?")))</x:f>
      </x:c>
      <x:c r="I75" s="13" t="str">
        <x:f>IF(OR(H75&lt;&gt;1,G75&lt;&gt;1),"",SUMIFS('External Data'!$E$2:$E$1001,'External Data'!$L$2:$L$1001,SUBSTITUTE(SUBSTITUTE(SUBSTITUTE(L75,"~","~~"),"*","~*"),"?","~?")))</x:f>
      </x:c>
      <x:c r="J75" s="13" t="str">
        <x:f>IF(OR(NOT(ISNUMBER(E75)),NOT(ISNUMBER(I75))),"",ROUND(E75-I75,2))</x:f>
      </x:c>
      <x:c r="K75" s="2" t="str">
        <x:f>IF(COUNTA(A75:F75)=0,"",IF(OR(A75="",B75="",C75="",D75="",NOT(ISNUMBER(E75))),"Missing / invalid input",IF(G75&gt;1,"Duplicate key in this source",IF(H75=0,"Missing in other source",IF(H75&gt;1,"Duplicate in other source",IF(SUMIFS('External Data'!$M$2:$M$1001,'External Data'!$L$2:$L$1001,SUBSTITUTE(SUBSTITUTE(SUBSTITUTE(L75,"~","~~"),"*","~*"),"?","~?"))&lt;&gt;1,"Other amount is invalid",IF(J75&lt;&gt;0,"Amount differs","Matched")))))))</x:f>
      </x:c>
      <x:c r="L75" t="str">
        <x:f>IF(COUNTA(A75:F75)=0,"",LEN(A75)&amp;":"&amp;A75&amp;LEN(B75)&amp;":"&amp;B75&amp;LEN(C75)&amp;":"&amp;C75&amp;LEN(D75)&amp;":"&amp;D75)</x:f>
      </x:c>
      <x:c r="M75" t="str">
        <x:f>IF(COUNTA(A75:F75)=0,"",IF(ISNUMBER(E75),1,0))</x:f>
      </x:c>
    </x:row>
    <x:row r="76">
      <x:c r="A76" s="11"/>
      <x:c r="B76" s="11"/>
      <x:c r="C76" s="11"/>
      <x:c r="D76" s="11"/>
      <x:c r="E76" s="12"/>
      <x:c r="F76" s="10"/>
      <x:c r="G76" s="2" t="str">
        <x:f>IF(COUNTA(A76:F76)=0,"",COUNTIFS('App Data'!$L$2:$L$1001,SUBSTITUTE(SUBSTITUTE(SUBSTITUTE(L76,"~","~~"),"*","~*"),"?","~?")))</x:f>
      </x:c>
      <x:c r="H76" s="2" t="str">
        <x:f>IF(COUNTA(A76:F76)=0,"",COUNTIFS('External Data'!$L$2:$L$1001,SUBSTITUTE(SUBSTITUTE(SUBSTITUTE(L76,"~","~~"),"*","~*"),"?","~?")))</x:f>
      </x:c>
      <x:c r="I76" s="13" t="str">
        <x:f>IF(OR(H76&lt;&gt;1,G76&lt;&gt;1),"",SUMIFS('External Data'!$E$2:$E$1001,'External Data'!$L$2:$L$1001,SUBSTITUTE(SUBSTITUTE(SUBSTITUTE(L76,"~","~~"),"*","~*"),"?","~?")))</x:f>
      </x:c>
      <x:c r="J76" s="13" t="str">
        <x:f>IF(OR(NOT(ISNUMBER(E76)),NOT(ISNUMBER(I76))),"",ROUND(E76-I76,2))</x:f>
      </x:c>
      <x:c r="K76" s="2" t="str">
        <x:f>IF(COUNTA(A76:F76)=0,"",IF(OR(A76="",B76="",C76="",D76="",NOT(ISNUMBER(E76))),"Missing / invalid input",IF(G76&gt;1,"Duplicate key in this source",IF(H76=0,"Missing in other source",IF(H76&gt;1,"Duplicate in other source",IF(SUMIFS('External Data'!$M$2:$M$1001,'External Data'!$L$2:$L$1001,SUBSTITUTE(SUBSTITUTE(SUBSTITUTE(L76,"~","~~"),"*","~*"),"?","~?"))&lt;&gt;1,"Other amount is invalid",IF(J76&lt;&gt;0,"Amount differs","Matched")))))))</x:f>
      </x:c>
      <x:c r="L76" t="str">
        <x:f>IF(COUNTA(A76:F76)=0,"",LEN(A76)&amp;":"&amp;A76&amp;LEN(B76)&amp;":"&amp;B76&amp;LEN(C76)&amp;":"&amp;C76&amp;LEN(D76)&amp;":"&amp;D76)</x:f>
      </x:c>
      <x:c r="M76" t="str">
        <x:f>IF(COUNTA(A76:F76)=0,"",IF(ISNUMBER(E76),1,0))</x:f>
      </x:c>
    </x:row>
    <x:row r="77">
      <x:c r="A77" s="11"/>
      <x:c r="B77" s="11"/>
      <x:c r="C77" s="11"/>
      <x:c r="D77" s="11"/>
      <x:c r="E77" s="12"/>
      <x:c r="F77" s="10"/>
      <x:c r="G77" s="2" t="str">
        <x:f>IF(COUNTA(A77:F77)=0,"",COUNTIFS('App Data'!$L$2:$L$1001,SUBSTITUTE(SUBSTITUTE(SUBSTITUTE(L77,"~","~~"),"*","~*"),"?","~?")))</x:f>
      </x:c>
      <x:c r="H77" s="2" t="str">
        <x:f>IF(COUNTA(A77:F77)=0,"",COUNTIFS('External Data'!$L$2:$L$1001,SUBSTITUTE(SUBSTITUTE(SUBSTITUTE(L77,"~","~~"),"*","~*"),"?","~?")))</x:f>
      </x:c>
      <x:c r="I77" s="13" t="str">
        <x:f>IF(OR(H77&lt;&gt;1,G77&lt;&gt;1),"",SUMIFS('External Data'!$E$2:$E$1001,'External Data'!$L$2:$L$1001,SUBSTITUTE(SUBSTITUTE(SUBSTITUTE(L77,"~","~~"),"*","~*"),"?","~?")))</x:f>
      </x:c>
      <x:c r="J77" s="13" t="str">
        <x:f>IF(OR(NOT(ISNUMBER(E77)),NOT(ISNUMBER(I77))),"",ROUND(E77-I77,2))</x:f>
      </x:c>
      <x:c r="K77" s="2" t="str">
        <x:f>IF(COUNTA(A77:F77)=0,"",IF(OR(A77="",B77="",C77="",D77="",NOT(ISNUMBER(E77))),"Missing / invalid input",IF(G77&gt;1,"Duplicate key in this source",IF(H77=0,"Missing in other source",IF(H77&gt;1,"Duplicate in other source",IF(SUMIFS('External Data'!$M$2:$M$1001,'External Data'!$L$2:$L$1001,SUBSTITUTE(SUBSTITUTE(SUBSTITUTE(L77,"~","~~"),"*","~*"),"?","~?"))&lt;&gt;1,"Other amount is invalid",IF(J77&lt;&gt;0,"Amount differs","Matched")))))))</x:f>
      </x:c>
      <x:c r="L77" t="str">
        <x:f>IF(COUNTA(A77:F77)=0,"",LEN(A77)&amp;":"&amp;A77&amp;LEN(B77)&amp;":"&amp;B77&amp;LEN(C77)&amp;":"&amp;C77&amp;LEN(D77)&amp;":"&amp;D77)</x:f>
      </x:c>
      <x:c r="M77" t="str">
        <x:f>IF(COUNTA(A77:F77)=0,"",IF(ISNUMBER(E77),1,0))</x:f>
      </x:c>
    </x:row>
    <x:row r="78">
      <x:c r="A78" s="11"/>
      <x:c r="B78" s="11"/>
      <x:c r="C78" s="11"/>
      <x:c r="D78" s="11"/>
      <x:c r="E78" s="12"/>
      <x:c r="F78" s="10"/>
      <x:c r="G78" s="2" t="str">
        <x:f>IF(COUNTA(A78:F78)=0,"",COUNTIFS('App Data'!$L$2:$L$1001,SUBSTITUTE(SUBSTITUTE(SUBSTITUTE(L78,"~","~~"),"*","~*"),"?","~?")))</x:f>
      </x:c>
      <x:c r="H78" s="2" t="str">
        <x:f>IF(COUNTA(A78:F78)=0,"",COUNTIFS('External Data'!$L$2:$L$1001,SUBSTITUTE(SUBSTITUTE(SUBSTITUTE(L78,"~","~~"),"*","~*"),"?","~?")))</x:f>
      </x:c>
      <x:c r="I78" s="13" t="str">
        <x:f>IF(OR(H78&lt;&gt;1,G78&lt;&gt;1),"",SUMIFS('External Data'!$E$2:$E$1001,'External Data'!$L$2:$L$1001,SUBSTITUTE(SUBSTITUTE(SUBSTITUTE(L78,"~","~~"),"*","~*"),"?","~?")))</x:f>
      </x:c>
      <x:c r="J78" s="13" t="str">
        <x:f>IF(OR(NOT(ISNUMBER(E78)),NOT(ISNUMBER(I78))),"",ROUND(E78-I78,2))</x:f>
      </x:c>
      <x:c r="K78" s="2" t="str">
        <x:f>IF(COUNTA(A78:F78)=0,"",IF(OR(A78="",B78="",C78="",D78="",NOT(ISNUMBER(E78))),"Missing / invalid input",IF(G78&gt;1,"Duplicate key in this source",IF(H78=0,"Missing in other source",IF(H78&gt;1,"Duplicate in other source",IF(SUMIFS('External Data'!$M$2:$M$1001,'External Data'!$L$2:$L$1001,SUBSTITUTE(SUBSTITUTE(SUBSTITUTE(L78,"~","~~"),"*","~*"),"?","~?"))&lt;&gt;1,"Other amount is invalid",IF(J78&lt;&gt;0,"Amount differs","Matched")))))))</x:f>
      </x:c>
      <x:c r="L78" t="str">
        <x:f>IF(COUNTA(A78:F78)=0,"",LEN(A78)&amp;":"&amp;A78&amp;LEN(B78)&amp;":"&amp;B78&amp;LEN(C78)&amp;":"&amp;C78&amp;LEN(D78)&amp;":"&amp;D78)</x:f>
      </x:c>
      <x:c r="M78" t="str">
        <x:f>IF(COUNTA(A78:F78)=0,"",IF(ISNUMBER(E78),1,0))</x:f>
      </x:c>
    </x:row>
    <x:row r="79">
      <x:c r="A79" s="11"/>
      <x:c r="B79" s="11"/>
      <x:c r="C79" s="11"/>
      <x:c r="D79" s="11"/>
      <x:c r="E79" s="12"/>
      <x:c r="F79" s="10"/>
      <x:c r="G79" s="2" t="str">
        <x:f>IF(COUNTA(A79:F79)=0,"",COUNTIFS('App Data'!$L$2:$L$1001,SUBSTITUTE(SUBSTITUTE(SUBSTITUTE(L79,"~","~~"),"*","~*"),"?","~?")))</x:f>
      </x:c>
      <x:c r="H79" s="2" t="str">
        <x:f>IF(COUNTA(A79:F79)=0,"",COUNTIFS('External Data'!$L$2:$L$1001,SUBSTITUTE(SUBSTITUTE(SUBSTITUTE(L79,"~","~~"),"*","~*"),"?","~?")))</x:f>
      </x:c>
      <x:c r="I79" s="13" t="str">
        <x:f>IF(OR(H79&lt;&gt;1,G79&lt;&gt;1),"",SUMIFS('External Data'!$E$2:$E$1001,'External Data'!$L$2:$L$1001,SUBSTITUTE(SUBSTITUTE(SUBSTITUTE(L79,"~","~~"),"*","~*"),"?","~?")))</x:f>
      </x:c>
      <x:c r="J79" s="13" t="str">
        <x:f>IF(OR(NOT(ISNUMBER(E79)),NOT(ISNUMBER(I79))),"",ROUND(E79-I79,2))</x:f>
      </x:c>
      <x:c r="K79" s="2" t="str">
        <x:f>IF(COUNTA(A79:F79)=0,"",IF(OR(A79="",B79="",C79="",D79="",NOT(ISNUMBER(E79))),"Missing / invalid input",IF(G79&gt;1,"Duplicate key in this source",IF(H79=0,"Missing in other source",IF(H79&gt;1,"Duplicate in other source",IF(SUMIFS('External Data'!$M$2:$M$1001,'External Data'!$L$2:$L$1001,SUBSTITUTE(SUBSTITUTE(SUBSTITUTE(L79,"~","~~"),"*","~*"),"?","~?"))&lt;&gt;1,"Other amount is invalid",IF(J79&lt;&gt;0,"Amount differs","Matched")))))))</x:f>
      </x:c>
      <x:c r="L79" t="str">
        <x:f>IF(COUNTA(A79:F79)=0,"",LEN(A79)&amp;":"&amp;A79&amp;LEN(B79)&amp;":"&amp;B79&amp;LEN(C79)&amp;":"&amp;C79&amp;LEN(D79)&amp;":"&amp;D79)</x:f>
      </x:c>
      <x:c r="M79" t="str">
        <x:f>IF(COUNTA(A79:F79)=0,"",IF(ISNUMBER(E79),1,0))</x:f>
      </x:c>
    </x:row>
    <x:row r="80">
      <x:c r="A80" s="11"/>
      <x:c r="B80" s="11"/>
      <x:c r="C80" s="11"/>
      <x:c r="D80" s="11"/>
      <x:c r="E80" s="12"/>
      <x:c r="F80" s="10"/>
      <x:c r="G80" s="2" t="str">
        <x:f>IF(COUNTA(A80:F80)=0,"",COUNTIFS('App Data'!$L$2:$L$1001,SUBSTITUTE(SUBSTITUTE(SUBSTITUTE(L80,"~","~~"),"*","~*"),"?","~?")))</x:f>
      </x:c>
      <x:c r="H80" s="2" t="str">
        <x:f>IF(COUNTA(A80:F80)=0,"",COUNTIFS('External Data'!$L$2:$L$1001,SUBSTITUTE(SUBSTITUTE(SUBSTITUTE(L80,"~","~~"),"*","~*"),"?","~?")))</x:f>
      </x:c>
      <x:c r="I80" s="13" t="str">
        <x:f>IF(OR(H80&lt;&gt;1,G80&lt;&gt;1),"",SUMIFS('External Data'!$E$2:$E$1001,'External Data'!$L$2:$L$1001,SUBSTITUTE(SUBSTITUTE(SUBSTITUTE(L80,"~","~~"),"*","~*"),"?","~?")))</x:f>
      </x:c>
      <x:c r="J80" s="13" t="str">
        <x:f>IF(OR(NOT(ISNUMBER(E80)),NOT(ISNUMBER(I80))),"",ROUND(E80-I80,2))</x:f>
      </x:c>
      <x:c r="K80" s="2" t="str">
        <x:f>IF(COUNTA(A80:F80)=0,"",IF(OR(A80="",B80="",C80="",D80="",NOT(ISNUMBER(E80))),"Missing / invalid input",IF(G80&gt;1,"Duplicate key in this source",IF(H80=0,"Missing in other source",IF(H80&gt;1,"Duplicate in other source",IF(SUMIFS('External Data'!$M$2:$M$1001,'External Data'!$L$2:$L$1001,SUBSTITUTE(SUBSTITUTE(SUBSTITUTE(L80,"~","~~"),"*","~*"),"?","~?"))&lt;&gt;1,"Other amount is invalid",IF(J80&lt;&gt;0,"Amount differs","Matched")))))))</x:f>
      </x:c>
      <x:c r="L80" t="str">
        <x:f>IF(COUNTA(A80:F80)=0,"",LEN(A80)&amp;":"&amp;A80&amp;LEN(B80)&amp;":"&amp;B80&amp;LEN(C80)&amp;":"&amp;C80&amp;LEN(D80)&amp;":"&amp;D80)</x:f>
      </x:c>
      <x:c r="M80" t="str">
        <x:f>IF(COUNTA(A80:F80)=0,"",IF(ISNUMBER(E80),1,0))</x:f>
      </x:c>
    </x:row>
    <x:row r="81">
      <x:c r="A81" s="11"/>
      <x:c r="B81" s="11"/>
      <x:c r="C81" s="11"/>
      <x:c r="D81" s="11"/>
      <x:c r="E81" s="12"/>
      <x:c r="F81" s="10"/>
      <x:c r="G81" s="2" t="str">
        <x:f>IF(COUNTA(A81:F81)=0,"",COUNTIFS('App Data'!$L$2:$L$1001,SUBSTITUTE(SUBSTITUTE(SUBSTITUTE(L81,"~","~~"),"*","~*"),"?","~?")))</x:f>
      </x:c>
      <x:c r="H81" s="2" t="str">
        <x:f>IF(COUNTA(A81:F81)=0,"",COUNTIFS('External Data'!$L$2:$L$1001,SUBSTITUTE(SUBSTITUTE(SUBSTITUTE(L81,"~","~~"),"*","~*"),"?","~?")))</x:f>
      </x:c>
      <x:c r="I81" s="13" t="str">
        <x:f>IF(OR(H81&lt;&gt;1,G81&lt;&gt;1),"",SUMIFS('External Data'!$E$2:$E$1001,'External Data'!$L$2:$L$1001,SUBSTITUTE(SUBSTITUTE(SUBSTITUTE(L81,"~","~~"),"*","~*"),"?","~?")))</x:f>
      </x:c>
      <x:c r="J81" s="13" t="str">
        <x:f>IF(OR(NOT(ISNUMBER(E81)),NOT(ISNUMBER(I81))),"",ROUND(E81-I81,2))</x:f>
      </x:c>
      <x:c r="K81" s="2" t="str">
        <x:f>IF(COUNTA(A81:F81)=0,"",IF(OR(A81="",B81="",C81="",D81="",NOT(ISNUMBER(E81))),"Missing / invalid input",IF(G81&gt;1,"Duplicate key in this source",IF(H81=0,"Missing in other source",IF(H81&gt;1,"Duplicate in other source",IF(SUMIFS('External Data'!$M$2:$M$1001,'External Data'!$L$2:$L$1001,SUBSTITUTE(SUBSTITUTE(SUBSTITUTE(L81,"~","~~"),"*","~*"),"?","~?"))&lt;&gt;1,"Other amount is invalid",IF(J81&lt;&gt;0,"Amount differs","Matched")))))))</x:f>
      </x:c>
      <x:c r="L81" t="str">
        <x:f>IF(COUNTA(A81:F81)=0,"",LEN(A81)&amp;":"&amp;A81&amp;LEN(B81)&amp;":"&amp;B81&amp;LEN(C81)&amp;":"&amp;C81&amp;LEN(D81)&amp;":"&amp;D81)</x:f>
      </x:c>
      <x:c r="M81" t="str">
        <x:f>IF(COUNTA(A81:F81)=0,"",IF(ISNUMBER(E81),1,0))</x:f>
      </x:c>
    </x:row>
    <x:row r="82">
      <x:c r="A82" s="11"/>
      <x:c r="B82" s="11"/>
      <x:c r="C82" s="11"/>
      <x:c r="D82" s="11"/>
      <x:c r="E82" s="12"/>
      <x:c r="F82" s="10"/>
      <x:c r="G82" s="2" t="str">
        <x:f>IF(COUNTA(A82:F82)=0,"",COUNTIFS('App Data'!$L$2:$L$1001,SUBSTITUTE(SUBSTITUTE(SUBSTITUTE(L82,"~","~~"),"*","~*"),"?","~?")))</x:f>
      </x:c>
      <x:c r="H82" s="2" t="str">
        <x:f>IF(COUNTA(A82:F82)=0,"",COUNTIFS('External Data'!$L$2:$L$1001,SUBSTITUTE(SUBSTITUTE(SUBSTITUTE(L82,"~","~~"),"*","~*"),"?","~?")))</x:f>
      </x:c>
      <x:c r="I82" s="13" t="str">
        <x:f>IF(OR(H82&lt;&gt;1,G82&lt;&gt;1),"",SUMIFS('External Data'!$E$2:$E$1001,'External Data'!$L$2:$L$1001,SUBSTITUTE(SUBSTITUTE(SUBSTITUTE(L82,"~","~~"),"*","~*"),"?","~?")))</x:f>
      </x:c>
      <x:c r="J82" s="13" t="str">
        <x:f>IF(OR(NOT(ISNUMBER(E82)),NOT(ISNUMBER(I82))),"",ROUND(E82-I82,2))</x:f>
      </x:c>
      <x:c r="K82" s="2" t="str">
        <x:f>IF(COUNTA(A82:F82)=0,"",IF(OR(A82="",B82="",C82="",D82="",NOT(ISNUMBER(E82))),"Missing / invalid input",IF(G82&gt;1,"Duplicate key in this source",IF(H82=0,"Missing in other source",IF(H82&gt;1,"Duplicate in other source",IF(SUMIFS('External Data'!$M$2:$M$1001,'External Data'!$L$2:$L$1001,SUBSTITUTE(SUBSTITUTE(SUBSTITUTE(L82,"~","~~"),"*","~*"),"?","~?"))&lt;&gt;1,"Other amount is invalid",IF(J82&lt;&gt;0,"Amount differs","Matched")))))))</x:f>
      </x:c>
      <x:c r="L82" t="str">
        <x:f>IF(COUNTA(A82:F82)=0,"",LEN(A82)&amp;":"&amp;A82&amp;LEN(B82)&amp;":"&amp;B82&amp;LEN(C82)&amp;":"&amp;C82&amp;LEN(D82)&amp;":"&amp;D82)</x:f>
      </x:c>
      <x:c r="M82" t="str">
        <x:f>IF(COUNTA(A82:F82)=0,"",IF(ISNUMBER(E82),1,0))</x:f>
      </x:c>
    </x:row>
    <x:row r="83">
      <x:c r="A83" s="11"/>
      <x:c r="B83" s="11"/>
      <x:c r="C83" s="11"/>
      <x:c r="D83" s="11"/>
      <x:c r="E83" s="12"/>
      <x:c r="F83" s="10"/>
      <x:c r="G83" s="2" t="str">
        <x:f>IF(COUNTA(A83:F83)=0,"",COUNTIFS('App Data'!$L$2:$L$1001,SUBSTITUTE(SUBSTITUTE(SUBSTITUTE(L83,"~","~~"),"*","~*"),"?","~?")))</x:f>
      </x:c>
      <x:c r="H83" s="2" t="str">
        <x:f>IF(COUNTA(A83:F83)=0,"",COUNTIFS('External Data'!$L$2:$L$1001,SUBSTITUTE(SUBSTITUTE(SUBSTITUTE(L83,"~","~~"),"*","~*"),"?","~?")))</x:f>
      </x:c>
      <x:c r="I83" s="13" t="str">
        <x:f>IF(OR(H83&lt;&gt;1,G83&lt;&gt;1),"",SUMIFS('External Data'!$E$2:$E$1001,'External Data'!$L$2:$L$1001,SUBSTITUTE(SUBSTITUTE(SUBSTITUTE(L83,"~","~~"),"*","~*"),"?","~?")))</x:f>
      </x:c>
      <x:c r="J83" s="13" t="str">
        <x:f>IF(OR(NOT(ISNUMBER(E83)),NOT(ISNUMBER(I83))),"",ROUND(E83-I83,2))</x:f>
      </x:c>
      <x:c r="K83" s="2" t="str">
        <x:f>IF(COUNTA(A83:F83)=0,"",IF(OR(A83="",B83="",C83="",D83="",NOT(ISNUMBER(E83))),"Missing / invalid input",IF(G83&gt;1,"Duplicate key in this source",IF(H83=0,"Missing in other source",IF(H83&gt;1,"Duplicate in other source",IF(SUMIFS('External Data'!$M$2:$M$1001,'External Data'!$L$2:$L$1001,SUBSTITUTE(SUBSTITUTE(SUBSTITUTE(L83,"~","~~"),"*","~*"),"?","~?"))&lt;&gt;1,"Other amount is invalid",IF(J83&lt;&gt;0,"Amount differs","Matched")))))))</x:f>
      </x:c>
      <x:c r="L83" t="str">
        <x:f>IF(COUNTA(A83:F83)=0,"",LEN(A83)&amp;":"&amp;A83&amp;LEN(B83)&amp;":"&amp;B83&amp;LEN(C83)&amp;":"&amp;C83&amp;LEN(D83)&amp;":"&amp;D83)</x:f>
      </x:c>
      <x:c r="M83" t="str">
        <x:f>IF(COUNTA(A83:F83)=0,"",IF(ISNUMBER(E83),1,0))</x:f>
      </x:c>
    </x:row>
    <x:row r="84">
      <x:c r="A84" s="11"/>
      <x:c r="B84" s="11"/>
      <x:c r="C84" s="11"/>
      <x:c r="D84" s="11"/>
      <x:c r="E84" s="12"/>
      <x:c r="F84" s="10"/>
      <x:c r="G84" s="2" t="str">
        <x:f>IF(COUNTA(A84:F84)=0,"",COUNTIFS('App Data'!$L$2:$L$1001,SUBSTITUTE(SUBSTITUTE(SUBSTITUTE(L84,"~","~~"),"*","~*"),"?","~?")))</x:f>
      </x:c>
      <x:c r="H84" s="2" t="str">
        <x:f>IF(COUNTA(A84:F84)=0,"",COUNTIFS('External Data'!$L$2:$L$1001,SUBSTITUTE(SUBSTITUTE(SUBSTITUTE(L84,"~","~~"),"*","~*"),"?","~?")))</x:f>
      </x:c>
      <x:c r="I84" s="13" t="str">
        <x:f>IF(OR(H84&lt;&gt;1,G84&lt;&gt;1),"",SUMIFS('External Data'!$E$2:$E$1001,'External Data'!$L$2:$L$1001,SUBSTITUTE(SUBSTITUTE(SUBSTITUTE(L84,"~","~~"),"*","~*"),"?","~?")))</x:f>
      </x:c>
      <x:c r="J84" s="13" t="str">
        <x:f>IF(OR(NOT(ISNUMBER(E84)),NOT(ISNUMBER(I84))),"",ROUND(E84-I84,2))</x:f>
      </x:c>
      <x:c r="K84" s="2" t="str">
        <x:f>IF(COUNTA(A84:F84)=0,"",IF(OR(A84="",B84="",C84="",D84="",NOT(ISNUMBER(E84))),"Missing / invalid input",IF(G84&gt;1,"Duplicate key in this source",IF(H84=0,"Missing in other source",IF(H84&gt;1,"Duplicate in other source",IF(SUMIFS('External Data'!$M$2:$M$1001,'External Data'!$L$2:$L$1001,SUBSTITUTE(SUBSTITUTE(SUBSTITUTE(L84,"~","~~"),"*","~*"),"?","~?"))&lt;&gt;1,"Other amount is invalid",IF(J84&lt;&gt;0,"Amount differs","Matched")))))))</x:f>
      </x:c>
      <x:c r="L84" t="str">
        <x:f>IF(COUNTA(A84:F84)=0,"",LEN(A84)&amp;":"&amp;A84&amp;LEN(B84)&amp;":"&amp;B84&amp;LEN(C84)&amp;":"&amp;C84&amp;LEN(D84)&amp;":"&amp;D84)</x:f>
      </x:c>
      <x:c r="M84" t="str">
        <x:f>IF(COUNTA(A84:F84)=0,"",IF(ISNUMBER(E84),1,0))</x:f>
      </x:c>
    </x:row>
    <x:row r="85">
      <x:c r="A85" s="11"/>
      <x:c r="B85" s="11"/>
      <x:c r="C85" s="11"/>
      <x:c r="D85" s="11"/>
      <x:c r="E85" s="12"/>
      <x:c r="F85" s="10"/>
      <x:c r="G85" s="2" t="str">
        <x:f>IF(COUNTA(A85:F85)=0,"",COUNTIFS('App Data'!$L$2:$L$1001,SUBSTITUTE(SUBSTITUTE(SUBSTITUTE(L85,"~","~~"),"*","~*"),"?","~?")))</x:f>
      </x:c>
      <x:c r="H85" s="2" t="str">
        <x:f>IF(COUNTA(A85:F85)=0,"",COUNTIFS('External Data'!$L$2:$L$1001,SUBSTITUTE(SUBSTITUTE(SUBSTITUTE(L85,"~","~~"),"*","~*"),"?","~?")))</x:f>
      </x:c>
      <x:c r="I85" s="13" t="str">
        <x:f>IF(OR(H85&lt;&gt;1,G85&lt;&gt;1),"",SUMIFS('External Data'!$E$2:$E$1001,'External Data'!$L$2:$L$1001,SUBSTITUTE(SUBSTITUTE(SUBSTITUTE(L85,"~","~~"),"*","~*"),"?","~?")))</x:f>
      </x:c>
      <x:c r="J85" s="13" t="str">
        <x:f>IF(OR(NOT(ISNUMBER(E85)),NOT(ISNUMBER(I85))),"",ROUND(E85-I85,2))</x:f>
      </x:c>
      <x:c r="K85" s="2" t="str">
        <x:f>IF(COUNTA(A85:F85)=0,"",IF(OR(A85="",B85="",C85="",D85="",NOT(ISNUMBER(E85))),"Missing / invalid input",IF(G85&gt;1,"Duplicate key in this source",IF(H85=0,"Missing in other source",IF(H85&gt;1,"Duplicate in other source",IF(SUMIFS('External Data'!$M$2:$M$1001,'External Data'!$L$2:$L$1001,SUBSTITUTE(SUBSTITUTE(SUBSTITUTE(L85,"~","~~"),"*","~*"),"?","~?"))&lt;&gt;1,"Other amount is invalid",IF(J85&lt;&gt;0,"Amount differs","Matched")))))))</x:f>
      </x:c>
      <x:c r="L85" t="str">
        <x:f>IF(COUNTA(A85:F85)=0,"",LEN(A85)&amp;":"&amp;A85&amp;LEN(B85)&amp;":"&amp;B85&amp;LEN(C85)&amp;":"&amp;C85&amp;LEN(D85)&amp;":"&amp;D85)</x:f>
      </x:c>
      <x:c r="M85" t="str">
        <x:f>IF(COUNTA(A85:F85)=0,"",IF(ISNUMBER(E85),1,0))</x:f>
      </x:c>
    </x:row>
    <x:row r="86">
      <x:c r="A86" s="11"/>
      <x:c r="B86" s="11"/>
      <x:c r="C86" s="11"/>
      <x:c r="D86" s="11"/>
      <x:c r="E86" s="12"/>
      <x:c r="F86" s="10"/>
      <x:c r="G86" s="2" t="str">
        <x:f>IF(COUNTA(A86:F86)=0,"",COUNTIFS('App Data'!$L$2:$L$1001,SUBSTITUTE(SUBSTITUTE(SUBSTITUTE(L86,"~","~~"),"*","~*"),"?","~?")))</x:f>
      </x:c>
      <x:c r="H86" s="2" t="str">
        <x:f>IF(COUNTA(A86:F86)=0,"",COUNTIFS('External Data'!$L$2:$L$1001,SUBSTITUTE(SUBSTITUTE(SUBSTITUTE(L86,"~","~~"),"*","~*"),"?","~?")))</x:f>
      </x:c>
      <x:c r="I86" s="13" t="str">
        <x:f>IF(OR(H86&lt;&gt;1,G86&lt;&gt;1),"",SUMIFS('External Data'!$E$2:$E$1001,'External Data'!$L$2:$L$1001,SUBSTITUTE(SUBSTITUTE(SUBSTITUTE(L86,"~","~~"),"*","~*"),"?","~?")))</x:f>
      </x:c>
      <x:c r="J86" s="13" t="str">
        <x:f>IF(OR(NOT(ISNUMBER(E86)),NOT(ISNUMBER(I86))),"",ROUND(E86-I86,2))</x:f>
      </x:c>
      <x:c r="K86" s="2" t="str">
        <x:f>IF(COUNTA(A86:F86)=0,"",IF(OR(A86="",B86="",C86="",D86="",NOT(ISNUMBER(E86))),"Missing / invalid input",IF(G86&gt;1,"Duplicate key in this source",IF(H86=0,"Missing in other source",IF(H86&gt;1,"Duplicate in other source",IF(SUMIFS('External Data'!$M$2:$M$1001,'External Data'!$L$2:$L$1001,SUBSTITUTE(SUBSTITUTE(SUBSTITUTE(L86,"~","~~"),"*","~*"),"?","~?"))&lt;&gt;1,"Other amount is invalid",IF(J86&lt;&gt;0,"Amount differs","Matched")))))))</x:f>
      </x:c>
      <x:c r="L86" t="str">
        <x:f>IF(COUNTA(A86:F86)=0,"",LEN(A86)&amp;":"&amp;A86&amp;LEN(B86)&amp;":"&amp;B86&amp;LEN(C86)&amp;":"&amp;C86&amp;LEN(D86)&amp;":"&amp;D86)</x:f>
      </x:c>
      <x:c r="M86" t="str">
        <x:f>IF(COUNTA(A86:F86)=0,"",IF(ISNUMBER(E86),1,0))</x:f>
      </x:c>
    </x:row>
    <x:row r="87">
      <x:c r="A87" s="11"/>
      <x:c r="B87" s="11"/>
      <x:c r="C87" s="11"/>
      <x:c r="D87" s="11"/>
      <x:c r="E87" s="12"/>
      <x:c r="F87" s="10"/>
      <x:c r="G87" s="2" t="str">
        <x:f>IF(COUNTA(A87:F87)=0,"",COUNTIFS('App Data'!$L$2:$L$1001,SUBSTITUTE(SUBSTITUTE(SUBSTITUTE(L87,"~","~~"),"*","~*"),"?","~?")))</x:f>
      </x:c>
      <x:c r="H87" s="2" t="str">
        <x:f>IF(COUNTA(A87:F87)=0,"",COUNTIFS('External Data'!$L$2:$L$1001,SUBSTITUTE(SUBSTITUTE(SUBSTITUTE(L87,"~","~~"),"*","~*"),"?","~?")))</x:f>
      </x:c>
      <x:c r="I87" s="13" t="str">
        <x:f>IF(OR(H87&lt;&gt;1,G87&lt;&gt;1),"",SUMIFS('External Data'!$E$2:$E$1001,'External Data'!$L$2:$L$1001,SUBSTITUTE(SUBSTITUTE(SUBSTITUTE(L87,"~","~~"),"*","~*"),"?","~?")))</x:f>
      </x:c>
      <x:c r="J87" s="13" t="str">
        <x:f>IF(OR(NOT(ISNUMBER(E87)),NOT(ISNUMBER(I87))),"",ROUND(E87-I87,2))</x:f>
      </x:c>
      <x:c r="K87" s="2" t="str">
        <x:f>IF(COUNTA(A87:F87)=0,"",IF(OR(A87="",B87="",C87="",D87="",NOT(ISNUMBER(E87))),"Missing / invalid input",IF(G87&gt;1,"Duplicate key in this source",IF(H87=0,"Missing in other source",IF(H87&gt;1,"Duplicate in other source",IF(SUMIFS('External Data'!$M$2:$M$1001,'External Data'!$L$2:$L$1001,SUBSTITUTE(SUBSTITUTE(SUBSTITUTE(L87,"~","~~"),"*","~*"),"?","~?"))&lt;&gt;1,"Other amount is invalid",IF(J87&lt;&gt;0,"Amount differs","Matched")))))))</x:f>
      </x:c>
      <x:c r="L87" t="str">
        <x:f>IF(COUNTA(A87:F87)=0,"",LEN(A87)&amp;":"&amp;A87&amp;LEN(B87)&amp;":"&amp;B87&amp;LEN(C87)&amp;":"&amp;C87&amp;LEN(D87)&amp;":"&amp;D87)</x:f>
      </x:c>
      <x:c r="M87" t="str">
        <x:f>IF(COUNTA(A87:F87)=0,"",IF(ISNUMBER(E87),1,0))</x:f>
      </x:c>
    </x:row>
    <x:row r="88">
      <x:c r="A88" s="11"/>
      <x:c r="B88" s="11"/>
      <x:c r="C88" s="11"/>
      <x:c r="D88" s="11"/>
      <x:c r="E88" s="12"/>
      <x:c r="F88" s="10"/>
      <x:c r="G88" s="2" t="str">
        <x:f>IF(COUNTA(A88:F88)=0,"",COUNTIFS('App Data'!$L$2:$L$1001,SUBSTITUTE(SUBSTITUTE(SUBSTITUTE(L88,"~","~~"),"*","~*"),"?","~?")))</x:f>
      </x:c>
      <x:c r="H88" s="2" t="str">
        <x:f>IF(COUNTA(A88:F88)=0,"",COUNTIFS('External Data'!$L$2:$L$1001,SUBSTITUTE(SUBSTITUTE(SUBSTITUTE(L88,"~","~~"),"*","~*"),"?","~?")))</x:f>
      </x:c>
      <x:c r="I88" s="13" t="str">
        <x:f>IF(OR(H88&lt;&gt;1,G88&lt;&gt;1),"",SUMIFS('External Data'!$E$2:$E$1001,'External Data'!$L$2:$L$1001,SUBSTITUTE(SUBSTITUTE(SUBSTITUTE(L88,"~","~~"),"*","~*"),"?","~?")))</x:f>
      </x:c>
      <x:c r="J88" s="13" t="str">
        <x:f>IF(OR(NOT(ISNUMBER(E88)),NOT(ISNUMBER(I88))),"",ROUND(E88-I88,2))</x:f>
      </x:c>
      <x:c r="K88" s="2" t="str">
        <x:f>IF(COUNTA(A88:F88)=0,"",IF(OR(A88="",B88="",C88="",D88="",NOT(ISNUMBER(E88))),"Missing / invalid input",IF(G88&gt;1,"Duplicate key in this source",IF(H88=0,"Missing in other source",IF(H88&gt;1,"Duplicate in other source",IF(SUMIFS('External Data'!$M$2:$M$1001,'External Data'!$L$2:$L$1001,SUBSTITUTE(SUBSTITUTE(SUBSTITUTE(L88,"~","~~"),"*","~*"),"?","~?"))&lt;&gt;1,"Other amount is invalid",IF(J88&lt;&gt;0,"Amount differs","Matched")))))))</x:f>
      </x:c>
      <x:c r="L88" t="str">
        <x:f>IF(COUNTA(A88:F88)=0,"",LEN(A88)&amp;":"&amp;A88&amp;LEN(B88)&amp;":"&amp;B88&amp;LEN(C88)&amp;":"&amp;C88&amp;LEN(D88)&amp;":"&amp;D88)</x:f>
      </x:c>
      <x:c r="M88" t="str">
        <x:f>IF(COUNTA(A88:F88)=0,"",IF(ISNUMBER(E88),1,0))</x:f>
      </x:c>
    </x:row>
    <x:row r="89">
      <x:c r="A89" s="11"/>
      <x:c r="B89" s="11"/>
      <x:c r="C89" s="11"/>
      <x:c r="D89" s="11"/>
      <x:c r="E89" s="12"/>
      <x:c r="F89" s="10"/>
      <x:c r="G89" s="2" t="str">
        <x:f>IF(COUNTA(A89:F89)=0,"",COUNTIFS('App Data'!$L$2:$L$1001,SUBSTITUTE(SUBSTITUTE(SUBSTITUTE(L89,"~","~~"),"*","~*"),"?","~?")))</x:f>
      </x:c>
      <x:c r="H89" s="2" t="str">
        <x:f>IF(COUNTA(A89:F89)=0,"",COUNTIFS('External Data'!$L$2:$L$1001,SUBSTITUTE(SUBSTITUTE(SUBSTITUTE(L89,"~","~~"),"*","~*"),"?","~?")))</x:f>
      </x:c>
      <x:c r="I89" s="13" t="str">
        <x:f>IF(OR(H89&lt;&gt;1,G89&lt;&gt;1),"",SUMIFS('External Data'!$E$2:$E$1001,'External Data'!$L$2:$L$1001,SUBSTITUTE(SUBSTITUTE(SUBSTITUTE(L89,"~","~~"),"*","~*"),"?","~?")))</x:f>
      </x:c>
      <x:c r="J89" s="13" t="str">
        <x:f>IF(OR(NOT(ISNUMBER(E89)),NOT(ISNUMBER(I89))),"",ROUND(E89-I89,2))</x:f>
      </x:c>
      <x:c r="K89" s="2" t="str">
        <x:f>IF(COUNTA(A89:F89)=0,"",IF(OR(A89="",B89="",C89="",D89="",NOT(ISNUMBER(E89))),"Missing / invalid input",IF(G89&gt;1,"Duplicate key in this source",IF(H89=0,"Missing in other source",IF(H89&gt;1,"Duplicate in other source",IF(SUMIFS('External Data'!$M$2:$M$1001,'External Data'!$L$2:$L$1001,SUBSTITUTE(SUBSTITUTE(SUBSTITUTE(L89,"~","~~"),"*","~*"),"?","~?"))&lt;&gt;1,"Other amount is invalid",IF(J89&lt;&gt;0,"Amount differs","Matched")))))))</x:f>
      </x:c>
      <x:c r="L89" t="str">
        <x:f>IF(COUNTA(A89:F89)=0,"",LEN(A89)&amp;":"&amp;A89&amp;LEN(B89)&amp;":"&amp;B89&amp;LEN(C89)&amp;":"&amp;C89&amp;LEN(D89)&amp;":"&amp;D89)</x:f>
      </x:c>
      <x:c r="M89" t="str">
        <x:f>IF(COUNTA(A89:F89)=0,"",IF(ISNUMBER(E89),1,0))</x:f>
      </x:c>
    </x:row>
    <x:row r="90">
      <x:c r="A90" s="11"/>
      <x:c r="B90" s="11"/>
      <x:c r="C90" s="11"/>
      <x:c r="D90" s="11"/>
      <x:c r="E90" s="12"/>
      <x:c r="F90" s="10"/>
      <x:c r="G90" s="2" t="str">
        <x:f>IF(COUNTA(A90:F90)=0,"",COUNTIFS('App Data'!$L$2:$L$1001,SUBSTITUTE(SUBSTITUTE(SUBSTITUTE(L90,"~","~~"),"*","~*"),"?","~?")))</x:f>
      </x:c>
      <x:c r="H90" s="2" t="str">
        <x:f>IF(COUNTA(A90:F90)=0,"",COUNTIFS('External Data'!$L$2:$L$1001,SUBSTITUTE(SUBSTITUTE(SUBSTITUTE(L90,"~","~~"),"*","~*"),"?","~?")))</x:f>
      </x:c>
      <x:c r="I90" s="13" t="str">
        <x:f>IF(OR(H90&lt;&gt;1,G90&lt;&gt;1),"",SUMIFS('External Data'!$E$2:$E$1001,'External Data'!$L$2:$L$1001,SUBSTITUTE(SUBSTITUTE(SUBSTITUTE(L90,"~","~~"),"*","~*"),"?","~?")))</x:f>
      </x:c>
      <x:c r="J90" s="13" t="str">
        <x:f>IF(OR(NOT(ISNUMBER(E90)),NOT(ISNUMBER(I90))),"",ROUND(E90-I90,2))</x:f>
      </x:c>
      <x:c r="K90" s="2" t="str">
        <x:f>IF(COUNTA(A90:F90)=0,"",IF(OR(A90="",B90="",C90="",D90="",NOT(ISNUMBER(E90))),"Missing / invalid input",IF(G90&gt;1,"Duplicate key in this source",IF(H90=0,"Missing in other source",IF(H90&gt;1,"Duplicate in other source",IF(SUMIFS('External Data'!$M$2:$M$1001,'External Data'!$L$2:$L$1001,SUBSTITUTE(SUBSTITUTE(SUBSTITUTE(L90,"~","~~"),"*","~*"),"?","~?"))&lt;&gt;1,"Other amount is invalid",IF(J90&lt;&gt;0,"Amount differs","Matched")))))))</x:f>
      </x:c>
      <x:c r="L90" t="str">
        <x:f>IF(COUNTA(A90:F90)=0,"",LEN(A90)&amp;":"&amp;A90&amp;LEN(B90)&amp;":"&amp;B90&amp;LEN(C90)&amp;":"&amp;C90&amp;LEN(D90)&amp;":"&amp;D90)</x:f>
      </x:c>
      <x:c r="M90" t="str">
        <x:f>IF(COUNTA(A90:F90)=0,"",IF(ISNUMBER(E90),1,0))</x:f>
      </x:c>
    </x:row>
    <x:row r="91">
      <x:c r="A91" s="11"/>
      <x:c r="B91" s="11"/>
      <x:c r="C91" s="11"/>
      <x:c r="D91" s="11"/>
      <x:c r="E91" s="12"/>
      <x:c r="F91" s="10"/>
      <x:c r="G91" s="2" t="str">
        <x:f>IF(COUNTA(A91:F91)=0,"",COUNTIFS('App Data'!$L$2:$L$1001,SUBSTITUTE(SUBSTITUTE(SUBSTITUTE(L91,"~","~~"),"*","~*"),"?","~?")))</x:f>
      </x:c>
      <x:c r="H91" s="2" t="str">
        <x:f>IF(COUNTA(A91:F91)=0,"",COUNTIFS('External Data'!$L$2:$L$1001,SUBSTITUTE(SUBSTITUTE(SUBSTITUTE(L91,"~","~~"),"*","~*"),"?","~?")))</x:f>
      </x:c>
      <x:c r="I91" s="13" t="str">
        <x:f>IF(OR(H91&lt;&gt;1,G91&lt;&gt;1),"",SUMIFS('External Data'!$E$2:$E$1001,'External Data'!$L$2:$L$1001,SUBSTITUTE(SUBSTITUTE(SUBSTITUTE(L91,"~","~~"),"*","~*"),"?","~?")))</x:f>
      </x:c>
      <x:c r="J91" s="13" t="str">
        <x:f>IF(OR(NOT(ISNUMBER(E91)),NOT(ISNUMBER(I91))),"",ROUND(E91-I91,2))</x:f>
      </x:c>
      <x:c r="K91" s="2" t="str">
        <x:f>IF(COUNTA(A91:F91)=0,"",IF(OR(A91="",B91="",C91="",D91="",NOT(ISNUMBER(E91))),"Missing / invalid input",IF(G91&gt;1,"Duplicate key in this source",IF(H91=0,"Missing in other source",IF(H91&gt;1,"Duplicate in other source",IF(SUMIFS('External Data'!$M$2:$M$1001,'External Data'!$L$2:$L$1001,SUBSTITUTE(SUBSTITUTE(SUBSTITUTE(L91,"~","~~"),"*","~*"),"?","~?"))&lt;&gt;1,"Other amount is invalid",IF(J91&lt;&gt;0,"Amount differs","Matched")))))))</x:f>
      </x:c>
      <x:c r="L91" t="str">
        <x:f>IF(COUNTA(A91:F91)=0,"",LEN(A91)&amp;":"&amp;A91&amp;LEN(B91)&amp;":"&amp;B91&amp;LEN(C91)&amp;":"&amp;C91&amp;LEN(D91)&amp;":"&amp;D91)</x:f>
      </x:c>
      <x:c r="M91" t="str">
        <x:f>IF(COUNTA(A91:F91)=0,"",IF(ISNUMBER(E91),1,0))</x:f>
      </x:c>
    </x:row>
    <x:row r="92">
      <x:c r="A92" s="11"/>
      <x:c r="B92" s="11"/>
      <x:c r="C92" s="11"/>
      <x:c r="D92" s="11"/>
      <x:c r="E92" s="12"/>
      <x:c r="F92" s="10"/>
      <x:c r="G92" s="2" t="str">
        <x:f>IF(COUNTA(A92:F92)=0,"",COUNTIFS('App Data'!$L$2:$L$1001,SUBSTITUTE(SUBSTITUTE(SUBSTITUTE(L92,"~","~~"),"*","~*"),"?","~?")))</x:f>
      </x:c>
      <x:c r="H92" s="2" t="str">
        <x:f>IF(COUNTA(A92:F92)=0,"",COUNTIFS('External Data'!$L$2:$L$1001,SUBSTITUTE(SUBSTITUTE(SUBSTITUTE(L92,"~","~~"),"*","~*"),"?","~?")))</x:f>
      </x:c>
      <x:c r="I92" s="13" t="str">
        <x:f>IF(OR(H92&lt;&gt;1,G92&lt;&gt;1),"",SUMIFS('External Data'!$E$2:$E$1001,'External Data'!$L$2:$L$1001,SUBSTITUTE(SUBSTITUTE(SUBSTITUTE(L92,"~","~~"),"*","~*"),"?","~?")))</x:f>
      </x:c>
      <x:c r="J92" s="13" t="str">
        <x:f>IF(OR(NOT(ISNUMBER(E92)),NOT(ISNUMBER(I92))),"",ROUND(E92-I92,2))</x:f>
      </x:c>
      <x:c r="K92" s="2" t="str">
        <x:f>IF(COUNTA(A92:F92)=0,"",IF(OR(A92="",B92="",C92="",D92="",NOT(ISNUMBER(E92))),"Missing / invalid input",IF(G92&gt;1,"Duplicate key in this source",IF(H92=0,"Missing in other source",IF(H92&gt;1,"Duplicate in other source",IF(SUMIFS('External Data'!$M$2:$M$1001,'External Data'!$L$2:$L$1001,SUBSTITUTE(SUBSTITUTE(SUBSTITUTE(L92,"~","~~"),"*","~*"),"?","~?"))&lt;&gt;1,"Other amount is invalid",IF(J92&lt;&gt;0,"Amount differs","Matched")))))))</x:f>
      </x:c>
      <x:c r="L92" t="str">
        <x:f>IF(COUNTA(A92:F92)=0,"",LEN(A92)&amp;":"&amp;A92&amp;LEN(B92)&amp;":"&amp;B92&amp;LEN(C92)&amp;":"&amp;C92&amp;LEN(D92)&amp;":"&amp;D92)</x:f>
      </x:c>
      <x:c r="M92" t="str">
        <x:f>IF(COUNTA(A92:F92)=0,"",IF(ISNUMBER(E92),1,0))</x:f>
      </x:c>
    </x:row>
    <x:row r="93">
      <x:c r="A93" s="11"/>
      <x:c r="B93" s="11"/>
      <x:c r="C93" s="11"/>
      <x:c r="D93" s="11"/>
      <x:c r="E93" s="12"/>
      <x:c r="F93" s="10"/>
      <x:c r="G93" s="2" t="str">
        <x:f>IF(COUNTA(A93:F93)=0,"",COUNTIFS('App Data'!$L$2:$L$1001,SUBSTITUTE(SUBSTITUTE(SUBSTITUTE(L93,"~","~~"),"*","~*"),"?","~?")))</x:f>
      </x:c>
      <x:c r="H93" s="2" t="str">
        <x:f>IF(COUNTA(A93:F93)=0,"",COUNTIFS('External Data'!$L$2:$L$1001,SUBSTITUTE(SUBSTITUTE(SUBSTITUTE(L93,"~","~~"),"*","~*"),"?","~?")))</x:f>
      </x:c>
      <x:c r="I93" s="13" t="str">
        <x:f>IF(OR(H93&lt;&gt;1,G93&lt;&gt;1),"",SUMIFS('External Data'!$E$2:$E$1001,'External Data'!$L$2:$L$1001,SUBSTITUTE(SUBSTITUTE(SUBSTITUTE(L93,"~","~~"),"*","~*"),"?","~?")))</x:f>
      </x:c>
      <x:c r="J93" s="13" t="str">
        <x:f>IF(OR(NOT(ISNUMBER(E93)),NOT(ISNUMBER(I93))),"",ROUND(E93-I93,2))</x:f>
      </x:c>
      <x:c r="K93" s="2" t="str">
        <x:f>IF(COUNTA(A93:F93)=0,"",IF(OR(A93="",B93="",C93="",D93="",NOT(ISNUMBER(E93))),"Missing / invalid input",IF(G93&gt;1,"Duplicate key in this source",IF(H93=0,"Missing in other source",IF(H93&gt;1,"Duplicate in other source",IF(SUMIFS('External Data'!$M$2:$M$1001,'External Data'!$L$2:$L$1001,SUBSTITUTE(SUBSTITUTE(SUBSTITUTE(L93,"~","~~"),"*","~*"),"?","~?"))&lt;&gt;1,"Other amount is invalid",IF(J93&lt;&gt;0,"Amount differs","Matched")))))))</x:f>
      </x:c>
      <x:c r="L93" t="str">
        <x:f>IF(COUNTA(A93:F93)=0,"",LEN(A93)&amp;":"&amp;A93&amp;LEN(B93)&amp;":"&amp;B93&amp;LEN(C93)&amp;":"&amp;C93&amp;LEN(D93)&amp;":"&amp;D93)</x:f>
      </x:c>
      <x:c r="M93" t="str">
        <x:f>IF(COUNTA(A93:F93)=0,"",IF(ISNUMBER(E93),1,0))</x:f>
      </x:c>
    </x:row>
    <x:row r="94">
      <x:c r="A94" s="11"/>
      <x:c r="B94" s="11"/>
      <x:c r="C94" s="11"/>
      <x:c r="D94" s="11"/>
      <x:c r="E94" s="12"/>
      <x:c r="F94" s="10"/>
      <x:c r="G94" s="2" t="str">
        <x:f>IF(COUNTA(A94:F94)=0,"",COUNTIFS('App Data'!$L$2:$L$1001,SUBSTITUTE(SUBSTITUTE(SUBSTITUTE(L94,"~","~~"),"*","~*"),"?","~?")))</x:f>
      </x:c>
      <x:c r="H94" s="2" t="str">
        <x:f>IF(COUNTA(A94:F94)=0,"",COUNTIFS('External Data'!$L$2:$L$1001,SUBSTITUTE(SUBSTITUTE(SUBSTITUTE(L94,"~","~~"),"*","~*"),"?","~?")))</x:f>
      </x:c>
      <x:c r="I94" s="13" t="str">
        <x:f>IF(OR(H94&lt;&gt;1,G94&lt;&gt;1),"",SUMIFS('External Data'!$E$2:$E$1001,'External Data'!$L$2:$L$1001,SUBSTITUTE(SUBSTITUTE(SUBSTITUTE(L94,"~","~~"),"*","~*"),"?","~?")))</x:f>
      </x:c>
      <x:c r="J94" s="13" t="str">
        <x:f>IF(OR(NOT(ISNUMBER(E94)),NOT(ISNUMBER(I94))),"",ROUND(E94-I94,2))</x:f>
      </x:c>
      <x:c r="K94" s="2" t="str">
        <x:f>IF(COUNTA(A94:F94)=0,"",IF(OR(A94="",B94="",C94="",D94="",NOT(ISNUMBER(E94))),"Missing / invalid input",IF(G94&gt;1,"Duplicate key in this source",IF(H94=0,"Missing in other source",IF(H94&gt;1,"Duplicate in other source",IF(SUMIFS('External Data'!$M$2:$M$1001,'External Data'!$L$2:$L$1001,SUBSTITUTE(SUBSTITUTE(SUBSTITUTE(L94,"~","~~"),"*","~*"),"?","~?"))&lt;&gt;1,"Other amount is invalid",IF(J94&lt;&gt;0,"Amount differs","Matched")))))))</x:f>
      </x:c>
      <x:c r="L94" t="str">
        <x:f>IF(COUNTA(A94:F94)=0,"",LEN(A94)&amp;":"&amp;A94&amp;LEN(B94)&amp;":"&amp;B94&amp;LEN(C94)&amp;":"&amp;C94&amp;LEN(D94)&amp;":"&amp;D94)</x:f>
      </x:c>
      <x:c r="M94" t="str">
        <x:f>IF(COUNTA(A94:F94)=0,"",IF(ISNUMBER(E94),1,0))</x:f>
      </x:c>
    </x:row>
    <x:row r="95">
      <x:c r="A95" s="11"/>
      <x:c r="B95" s="11"/>
      <x:c r="C95" s="11"/>
      <x:c r="D95" s="11"/>
      <x:c r="E95" s="12"/>
      <x:c r="F95" s="10"/>
      <x:c r="G95" s="2" t="str">
        <x:f>IF(COUNTA(A95:F95)=0,"",COUNTIFS('App Data'!$L$2:$L$1001,SUBSTITUTE(SUBSTITUTE(SUBSTITUTE(L95,"~","~~"),"*","~*"),"?","~?")))</x:f>
      </x:c>
      <x:c r="H95" s="2" t="str">
        <x:f>IF(COUNTA(A95:F95)=0,"",COUNTIFS('External Data'!$L$2:$L$1001,SUBSTITUTE(SUBSTITUTE(SUBSTITUTE(L95,"~","~~"),"*","~*"),"?","~?")))</x:f>
      </x:c>
      <x:c r="I95" s="13" t="str">
        <x:f>IF(OR(H95&lt;&gt;1,G95&lt;&gt;1),"",SUMIFS('External Data'!$E$2:$E$1001,'External Data'!$L$2:$L$1001,SUBSTITUTE(SUBSTITUTE(SUBSTITUTE(L95,"~","~~"),"*","~*"),"?","~?")))</x:f>
      </x:c>
      <x:c r="J95" s="13" t="str">
        <x:f>IF(OR(NOT(ISNUMBER(E95)),NOT(ISNUMBER(I95))),"",ROUND(E95-I95,2))</x:f>
      </x:c>
      <x:c r="K95" s="2" t="str">
        <x:f>IF(COUNTA(A95:F95)=0,"",IF(OR(A95="",B95="",C95="",D95="",NOT(ISNUMBER(E95))),"Missing / invalid input",IF(G95&gt;1,"Duplicate key in this source",IF(H95=0,"Missing in other source",IF(H95&gt;1,"Duplicate in other source",IF(SUMIFS('External Data'!$M$2:$M$1001,'External Data'!$L$2:$L$1001,SUBSTITUTE(SUBSTITUTE(SUBSTITUTE(L95,"~","~~"),"*","~*"),"?","~?"))&lt;&gt;1,"Other amount is invalid",IF(J95&lt;&gt;0,"Amount differs","Matched")))))))</x:f>
      </x:c>
      <x:c r="L95" t="str">
        <x:f>IF(COUNTA(A95:F95)=0,"",LEN(A95)&amp;":"&amp;A95&amp;LEN(B95)&amp;":"&amp;B95&amp;LEN(C95)&amp;":"&amp;C95&amp;LEN(D95)&amp;":"&amp;D95)</x:f>
      </x:c>
      <x:c r="M95" t="str">
        <x:f>IF(COUNTA(A95:F95)=0,"",IF(ISNUMBER(E95),1,0))</x:f>
      </x:c>
    </x:row>
    <x:row r="96">
      <x:c r="A96" s="11"/>
      <x:c r="B96" s="11"/>
      <x:c r="C96" s="11"/>
      <x:c r="D96" s="11"/>
      <x:c r="E96" s="12"/>
      <x:c r="F96" s="10"/>
      <x:c r="G96" s="2" t="str">
        <x:f>IF(COUNTA(A96:F96)=0,"",COUNTIFS('App Data'!$L$2:$L$1001,SUBSTITUTE(SUBSTITUTE(SUBSTITUTE(L96,"~","~~"),"*","~*"),"?","~?")))</x:f>
      </x:c>
      <x:c r="H96" s="2" t="str">
        <x:f>IF(COUNTA(A96:F96)=0,"",COUNTIFS('External Data'!$L$2:$L$1001,SUBSTITUTE(SUBSTITUTE(SUBSTITUTE(L96,"~","~~"),"*","~*"),"?","~?")))</x:f>
      </x:c>
      <x:c r="I96" s="13" t="str">
        <x:f>IF(OR(H96&lt;&gt;1,G96&lt;&gt;1),"",SUMIFS('External Data'!$E$2:$E$1001,'External Data'!$L$2:$L$1001,SUBSTITUTE(SUBSTITUTE(SUBSTITUTE(L96,"~","~~"),"*","~*"),"?","~?")))</x:f>
      </x:c>
      <x:c r="J96" s="13" t="str">
        <x:f>IF(OR(NOT(ISNUMBER(E96)),NOT(ISNUMBER(I96))),"",ROUND(E96-I96,2))</x:f>
      </x:c>
      <x:c r="K96" s="2" t="str">
        <x:f>IF(COUNTA(A96:F96)=0,"",IF(OR(A96="",B96="",C96="",D96="",NOT(ISNUMBER(E96))),"Missing / invalid input",IF(G96&gt;1,"Duplicate key in this source",IF(H96=0,"Missing in other source",IF(H96&gt;1,"Duplicate in other source",IF(SUMIFS('External Data'!$M$2:$M$1001,'External Data'!$L$2:$L$1001,SUBSTITUTE(SUBSTITUTE(SUBSTITUTE(L96,"~","~~"),"*","~*"),"?","~?"))&lt;&gt;1,"Other amount is invalid",IF(J96&lt;&gt;0,"Amount differs","Matched")))))))</x:f>
      </x:c>
      <x:c r="L96" t="str">
        <x:f>IF(COUNTA(A96:F96)=0,"",LEN(A96)&amp;":"&amp;A96&amp;LEN(B96)&amp;":"&amp;B96&amp;LEN(C96)&amp;":"&amp;C96&amp;LEN(D96)&amp;":"&amp;D96)</x:f>
      </x:c>
      <x:c r="M96" t="str">
        <x:f>IF(COUNTA(A96:F96)=0,"",IF(ISNUMBER(E96),1,0))</x:f>
      </x:c>
    </x:row>
    <x:row r="97">
      <x:c r="A97" s="11"/>
      <x:c r="B97" s="11"/>
      <x:c r="C97" s="11"/>
      <x:c r="D97" s="11"/>
      <x:c r="E97" s="12"/>
      <x:c r="F97" s="10"/>
      <x:c r="G97" s="2" t="str">
        <x:f>IF(COUNTA(A97:F97)=0,"",COUNTIFS('App Data'!$L$2:$L$1001,SUBSTITUTE(SUBSTITUTE(SUBSTITUTE(L97,"~","~~"),"*","~*"),"?","~?")))</x:f>
      </x:c>
      <x:c r="H97" s="2" t="str">
        <x:f>IF(COUNTA(A97:F97)=0,"",COUNTIFS('External Data'!$L$2:$L$1001,SUBSTITUTE(SUBSTITUTE(SUBSTITUTE(L97,"~","~~"),"*","~*"),"?","~?")))</x:f>
      </x:c>
      <x:c r="I97" s="13" t="str">
        <x:f>IF(OR(H97&lt;&gt;1,G97&lt;&gt;1),"",SUMIFS('External Data'!$E$2:$E$1001,'External Data'!$L$2:$L$1001,SUBSTITUTE(SUBSTITUTE(SUBSTITUTE(L97,"~","~~"),"*","~*"),"?","~?")))</x:f>
      </x:c>
      <x:c r="J97" s="13" t="str">
        <x:f>IF(OR(NOT(ISNUMBER(E97)),NOT(ISNUMBER(I97))),"",ROUND(E97-I97,2))</x:f>
      </x:c>
      <x:c r="K97" s="2" t="str">
        <x:f>IF(COUNTA(A97:F97)=0,"",IF(OR(A97="",B97="",C97="",D97="",NOT(ISNUMBER(E97))),"Missing / invalid input",IF(G97&gt;1,"Duplicate key in this source",IF(H97=0,"Missing in other source",IF(H97&gt;1,"Duplicate in other source",IF(SUMIFS('External Data'!$M$2:$M$1001,'External Data'!$L$2:$L$1001,SUBSTITUTE(SUBSTITUTE(SUBSTITUTE(L97,"~","~~"),"*","~*"),"?","~?"))&lt;&gt;1,"Other amount is invalid",IF(J97&lt;&gt;0,"Amount differs","Matched")))))))</x:f>
      </x:c>
      <x:c r="L97" t="str">
        <x:f>IF(COUNTA(A97:F97)=0,"",LEN(A97)&amp;":"&amp;A97&amp;LEN(B97)&amp;":"&amp;B97&amp;LEN(C97)&amp;":"&amp;C97&amp;LEN(D97)&amp;":"&amp;D97)</x:f>
      </x:c>
      <x:c r="M97" t="str">
        <x:f>IF(COUNTA(A97:F97)=0,"",IF(ISNUMBER(E97),1,0))</x:f>
      </x:c>
    </x:row>
    <x:row r="98">
      <x:c r="A98" s="11"/>
      <x:c r="B98" s="11"/>
      <x:c r="C98" s="11"/>
      <x:c r="D98" s="11"/>
      <x:c r="E98" s="12"/>
      <x:c r="F98" s="10"/>
      <x:c r="G98" s="2" t="str">
        <x:f>IF(COUNTA(A98:F98)=0,"",COUNTIFS('App Data'!$L$2:$L$1001,SUBSTITUTE(SUBSTITUTE(SUBSTITUTE(L98,"~","~~"),"*","~*"),"?","~?")))</x:f>
      </x:c>
      <x:c r="H98" s="2" t="str">
        <x:f>IF(COUNTA(A98:F98)=0,"",COUNTIFS('External Data'!$L$2:$L$1001,SUBSTITUTE(SUBSTITUTE(SUBSTITUTE(L98,"~","~~"),"*","~*"),"?","~?")))</x:f>
      </x:c>
      <x:c r="I98" s="13" t="str">
        <x:f>IF(OR(H98&lt;&gt;1,G98&lt;&gt;1),"",SUMIFS('External Data'!$E$2:$E$1001,'External Data'!$L$2:$L$1001,SUBSTITUTE(SUBSTITUTE(SUBSTITUTE(L98,"~","~~"),"*","~*"),"?","~?")))</x:f>
      </x:c>
      <x:c r="J98" s="13" t="str">
        <x:f>IF(OR(NOT(ISNUMBER(E98)),NOT(ISNUMBER(I98))),"",ROUND(E98-I98,2))</x:f>
      </x:c>
      <x:c r="K98" s="2" t="str">
        <x:f>IF(COUNTA(A98:F98)=0,"",IF(OR(A98="",B98="",C98="",D98="",NOT(ISNUMBER(E98))),"Missing / invalid input",IF(G98&gt;1,"Duplicate key in this source",IF(H98=0,"Missing in other source",IF(H98&gt;1,"Duplicate in other source",IF(SUMIFS('External Data'!$M$2:$M$1001,'External Data'!$L$2:$L$1001,SUBSTITUTE(SUBSTITUTE(SUBSTITUTE(L98,"~","~~"),"*","~*"),"?","~?"))&lt;&gt;1,"Other amount is invalid",IF(J98&lt;&gt;0,"Amount differs","Matched")))))))</x:f>
      </x:c>
      <x:c r="L98" t="str">
        <x:f>IF(COUNTA(A98:F98)=0,"",LEN(A98)&amp;":"&amp;A98&amp;LEN(B98)&amp;":"&amp;B98&amp;LEN(C98)&amp;":"&amp;C98&amp;LEN(D98)&amp;":"&amp;D98)</x:f>
      </x:c>
      <x:c r="M98" t="str">
        <x:f>IF(COUNTA(A98:F98)=0,"",IF(ISNUMBER(E98),1,0))</x:f>
      </x:c>
    </x:row>
    <x:row r="99">
      <x:c r="A99" s="11"/>
      <x:c r="B99" s="11"/>
      <x:c r="C99" s="11"/>
      <x:c r="D99" s="11"/>
      <x:c r="E99" s="12"/>
      <x:c r="F99" s="10"/>
      <x:c r="G99" s="2" t="str">
        <x:f>IF(COUNTA(A99:F99)=0,"",COUNTIFS('App Data'!$L$2:$L$1001,SUBSTITUTE(SUBSTITUTE(SUBSTITUTE(L99,"~","~~"),"*","~*"),"?","~?")))</x:f>
      </x:c>
      <x:c r="H99" s="2" t="str">
        <x:f>IF(COUNTA(A99:F99)=0,"",COUNTIFS('External Data'!$L$2:$L$1001,SUBSTITUTE(SUBSTITUTE(SUBSTITUTE(L99,"~","~~"),"*","~*"),"?","~?")))</x:f>
      </x:c>
      <x:c r="I99" s="13" t="str">
        <x:f>IF(OR(H99&lt;&gt;1,G99&lt;&gt;1),"",SUMIFS('External Data'!$E$2:$E$1001,'External Data'!$L$2:$L$1001,SUBSTITUTE(SUBSTITUTE(SUBSTITUTE(L99,"~","~~"),"*","~*"),"?","~?")))</x:f>
      </x:c>
      <x:c r="J99" s="13" t="str">
        <x:f>IF(OR(NOT(ISNUMBER(E99)),NOT(ISNUMBER(I99))),"",ROUND(E99-I99,2))</x:f>
      </x:c>
      <x:c r="K99" s="2" t="str">
        <x:f>IF(COUNTA(A99:F99)=0,"",IF(OR(A99="",B99="",C99="",D99="",NOT(ISNUMBER(E99))),"Missing / invalid input",IF(G99&gt;1,"Duplicate key in this source",IF(H99=0,"Missing in other source",IF(H99&gt;1,"Duplicate in other source",IF(SUMIFS('External Data'!$M$2:$M$1001,'External Data'!$L$2:$L$1001,SUBSTITUTE(SUBSTITUTE(SUBSTITUTE(L99,"~","~~"),"*","~*"),"?","~?"))&lt;&gt;1,"Other amount is invalid",IF(J99&lt;&gt;0,"Amount differs","Matched")))))))</x:f>
      </x:c>
      <x:c r="L99" t="str">
        <x:f>IF(COUNTA(A99:F99)=0,"",LEN(A99)&amp;":"&amp;A99&amp;LEN(B99)&amp;":"&amp;B99&amp;LEN(C99)&amp;":"&amp;C99&amp;LEN(D99)&amp;":"&amp;D99)</x:f>
      </x:c>
      <x:c r="M99" t="str">
        <x:f>IF(COUNTA(A99:F99)=0,"",IF(ISNUMBER(E99),1,0))</x:f>
      </x:c>
    </x:row>
    <x:row r="100">
      <x:c r="A100" s="11"/>
      <x:c r="B100" s="11"/>
      <x:c r="C100" s="11"/>
      <x:c r="D100" s="11"/>
      <x:c r="E100" s="12"/>
      <x:c r="F100" s="10"/>
      <x:c r="G100" s="2" t="str">
        <x:f>IF(COUNTA(A100:F100)=0,"",COUNTIFS('App Data'!$L$2:$L$1001,SUBSTITUTE(SUBSTITUTE(SUBSTITUTE(L100,"~","~~"),"*","~*"),"?","~?")))</x:f>
      </x:c>
      <x:c r="H100" s="2" t="str">
        <x:f>IF(COUNTA(A100:F100)=0,"",COUNTIFS('External Data'!$L$2:$L$1001,SUBSTITUTE(SUBSTITUTE(SUBSTITUTE(L100,"~","~~"),"*","~*"),"?","~?")))</x:f>
      </x:c>
      <x:c r="I100" s="13" t="str">
        <x:f>IF(OR(H100&lt;&gt;1,G100&lt;&gt;1),"",SUMIFS('External Data'!$E$2:$E$1001,'External Data'!$L$2:$L$1001,SUBSTITUTE(SUBSTITUTE(SUBSTITUTE(L100,"~","~~"),"*","~*"),"?","~?")))</x:f>
      </x:c>
      <x:c r="J100" s="13" t="str">
        <x:f>IF(OR(NOT(ISNUMBER(E100)),NOT(ISNUMBER(I100))),"",ROUND(E100-I100,2))</x:f>
      </x:c>
      <x:c r="K100" s="2" t="str">
        <x:f>IF(COUNTA(A100:F100)=0,"",IF(OR(A100="",B100="",C100="",D100="",NOT(ISNUMBER(E100))),"Missing / invalid input",IF(G100&gt;1,"Duplicate key in this source",IF(H100=0,"Missing in other source",IF(H100&gt;1,"Duplicate in other source",IF(SUMIFS('External Data'!$M$2:$M$1001,'External Data'!$L$2:$L$1001,SUBSTITUTE(SUBSTITUTE(SUBSTITUTE(L100,"~","~~"),"*","~*"),"?","~?"))&lt;&gt;1,"Other amount is invalid",IF(J100&lt;&gt;0,"Amount differs","Matched")))))))</x:f>
      </x:c>
      <x:c r="L100" t="str">
        <x:f>IF(COUNTA(A100:F100)=0,"",LEN(A100)&amp;":"&amp;A100&amp;LEN(B100)&amp;":"&amp;B100&amp;LEN(C100)&amp;":"&amp;C100&amp;LEN(D100)&amp;":"&amp;D100)</x:f>
      </x:c>
      <x:c r="M100" t="str">
        <x:f>IF(COUNTA(A100:F100)=0,"",IF(ISNUMBER(E100),1,0))</x:f>
      </x:c>
    </x:row>
    <x:row r="101">
      <x:c r="A101" s="11"/>
      <x:c r="B101" s="11"/>
      <x:c r="C101" s="11"/>
      <x:c r="D101" s="11"/>
      <x:c r="E101" s="12"/>
      <x:c r="F101" s="10"/>
      <x:c r="G101" s="2" t="str">
        <x:f>IF(COUNTA(A101:F101)=0,"",COUNTIFS('App Data'!$L$2:$L$1001,SUBSTITUTE(SUBSTITUTE(SUBSTITUTE(L101,"~","~~"),"*","~*"),"?","~?")))</x:f>
      </x:c>
      <x:c r="H101" s="2" t="str">
        <x:f>IF(COUNTA(A101:F101)=0,"",COUNTIFS('External Data'!$L$2:$L$1001,SUBSTITUTE(SUBSTITUTE(SUBSTITUTE(L101,"~","~~"),"*","~*"),"?","~?")))</x:f>
      </x:c>
      <x:c r="I101" s="13" t="str">
        <x:f>IF(OR(H101&lt;&gt;1,G101&lt;&gt;1),"",SUMIFS('External Data'!$E$2:$E$1001,'External Data'!$L$2:$L$1001,SUBSTITUTE(SUBSTITUTE(SUBSTITUTE(L101,"~","~~"),"*","~*"),"?","~?")))</x:f>
      </x:c>
      <x:c r="J101" s="13" t="str">
        <x:f>IF(OR(NOT(ISNUMBER(E101)),NOT(ISNUMBER(I101))),"",ROUND(E101-I101,2))</x:f>
      </x:c>
      <x:c r="K101" s="2" t="str">
        <x:f>IF(COUNTA(A101:F101)=0,"",IF(OR(A101="",B101="",C101="",D101="",NOT(ISNUMBER(E101))),"Missing / invalid input",IF(G101&gt;1,"Duplicate key in this source",IF(H101=0,"Missing in other source",IF(H101&gt;1,"Duplicate in other source",IF(SUMIFS('External Data'!$M$2:$M$1001,'External Data'!$L$2:$L$1001,SUBSTITUTE(SUBSTITUTE(SUBSTITUTE(L101,"~","~~"),"*","~*"),"?","~?"))&lt;&gt;1,"Other amount is invalid",IF(J101&lt;&gt;0,"Amount differs","Matched")))))))</x:f>
      </x:c>
      <x:c r="L101" t="str">
        <x:f>IF(COUNTA(A101:F101)=0,"",LEN(A101)&amp;":"&amp;A101&amp;LEN(B101)&amp;":"&amp;B101&amp;LEN(C101)&amp;":"&amp;C101&amp;LEN(D101)&amp;":"&amp;D101)</x:f>
      </x:c>
      <x:c r="M101" t="str">
        <x:f>IF(COUNTA(A101:F101)=0,"",IF(ISNUMBER(E101),1,0))</x:f>
      </x:c>
    </x:row>
    <x:row r="102">
      <x:c r="A102" s="11"/>
      <x:c r="B102" s="11"/>
      <x:c r="C102" s="11"/>
      <x:c r="D102" s="11"/>
      <x:c r="E102" s="12"/>
      <x:c r="F102" s="10"/>
      <x:c r="G102" s="2" t="str">
        <x:f>IF(COUNTA(A102:F102)=0,"",COUNTIFS('App Data'!$L$2:$L$1001,SUBSTITUTE(SUBSTITUTE(SUBSTITUTE(L102,"~","~~"),"*","~*"),"?","~?")))</x:f>
      </x:c>
      <x:c r="H102" s="2" t="str">
        <x:f>IF(COUNTA(A102:F102)=0,"",COUNTIFS('External Data'!$L$2:$L$1001,SUBSTITUTE(SUBSTITUTE(SUBSTITUTE(L102,"~","~~"),"*","~*"),"?","~?")))</x:f>
      </x:c>
      <x:c r="I102" s="13" t="str">
        <x:f>IF(OR(H102&lt;&gt;1,G102&lt;&gt;1),"",SUMIFS('External Data'!$E$2:$E$1001,'External Data'!$L$2:$L$1001,SUBSTITUTE(SUBSTITUTE(SUBSTITUTE(L102,"~","~~"),"*","~*"),"?","~?")))</x:f>
      </x:c>
      <x:c r="J102" s="13" t="str">
        <x:f>IF(OR(NOT(ISNUMBER(E102)),NOT(ISNUMBER(I102))),"",ROUND(E102-I102,2))</x:f>
      </x:c>
      <x:c r="K102" s="2" t="str">
        <x:f>IF(COUNTA(A102:F102)=0,"",IF(OR(A102="",B102="",C102="",D102="",NOT(ISNUMBER(E102))),"Missing / invalid input",IF(G102&gt;1,"Duplicate key in this source",IF(H102=0,"Missing in other source",IF(H102&gt;1,"Duplicate in other source",IF(SUMIFS('External Data'!$M$2:$M$1001,'External Data'!$L$2:$L$1001,SUBSTITUTE(SUBSTITUTE(SUBSTITUTE(L102,"~","~~"),"*","~*"),"?","~?"))&lt;&gt;1,"Other amount is invalid",IF(J102&lt;&gt;0,"Amount differs","Matched")))))))</x:f>
      </x:c>
      <x:c r="L102" t="str">
        <x:f>IF(COUNTA(A102:F102)=0,"",LEN(A102)&amp;":"&amp;A102&amp;LEN(B102)&amp;":"&amp;B102&amp;LEN(C102)&amp;":"&amp;C102&amp;LEN(D102)&amp;":"&amp;D102)</x:f>
      </x:c>
      <x:c r="M102" t="str">
        <x:f>IF(COUNTA(A102:F102)=0,"",IF(ISNUMBER(E102),1,0))</x:f>
      </x:c>
    </x:row>
    <x:row r="103">
      <x:c r="A103" s="11"/>
      <x:c r="B103" s="11"/>
      <x:c r="C103" s="11"/>
      <x:c r="D103" s="11"/>
      <x:c r="E103" s="12"/>
      <x:c r="F103" s="10"/>
      <x:c r="G103" s="2" t="str">
        <x:f>IF(COUNTA(A103:F103)=0,"",COUNTIFS('App Data'!$L$2:$L$1001,SUBSTITUTE(SUBSTITUTE(SUBSTITUTE(L103,"~","~~"),"*","~*"),"?","~?")))</x:f>
      </x:c>
      <x:c r="H103" s="2" t="str">
        <x:f>IF(COUNTA(A103:F103)=0,"",COUNTIFS('External Data'!$L$2:$L$1001,SUBSTITUTE(SUBSTITUTE(SUBSTITUTE(L103,"~","~~"),"*","~*"),"?","~?")))</x:f>
      </x:c>
      <x:c r="I103" s="13" t="str">
        <x:f>IF(OR(H103&lt;&gt;1,G103&lt;&gt;1),"",SUMIFS('External Data'!$E$2:$E$1001,'External Data'!$L$2:$L$1001,SUBSTITUTE(SUBSTITUTE(SUBSTITUTE(L103,"~","~~"),"*","~*"),"?","~?")))</x:f>
      </x:c>
      <x:c r="J103" s="13" t="str">
        <x:f>IF(OR(NOT(ISNUMBER(E103)),NOT(ISNUMBER(I103))),"",ROUND(E103-I103,2))</x:f>
      </x:c>
      <x:c r="K103" s="2" t="str">
        <x:f>IF(COUNTA(A103:F103)=0,"",IF(OR(A103="",B103="",C103="",D103="",NOT(ISNUMBER(E103))),"Missing / invalid input",IF(G103&gt;1,"Duplicate key in this source",IF(H103=0,"Missing in other source",IF(H103&gt;1,"Duplicate in other source",IF(SUMIFS('External Data'!$M$2:$M$1001,'External Data'!$L$2:$L$1001,SUBSTITUTE(SUBSTITUTE(SUBSTITUTE(L103,"~","~~"),"*","~*"),"?","~?"))&lt;&gt;1,"Other amount is invalid",IF(J103&lt;&gt;0,"Amount differs","Matched")))))))</x:f>
      </x:c>
      <x:c r="L103" t="str">
        <x:f>IF(COUNTA(A103:F103)=0,"",LEN(A103)&amp;":"&amp;A103&amp;LEN(B103)&amp;":"&amp;B103&amp;LEN(C103)&amp;":"&amp;C103&amp;LEN(D103)&amp;":"&amp;D103)</x:f>
      </x:c>
      <x:c r="M103" t="str">
        <x:f>IF(COUNTA(A103:F103)=0,"",IF(ISNUMBER(E103),1,0))</x:f>
      </x:c>
    </x:row>
    <x:row r="104">
      <x:c r="A104" s="11"/>
      <x:c r="B104" s="11"/>
      <x:c r="C104" s="11"/>
      <x:c r="D104" s="11"/>
      <x:c r="E104" s="12"/>
      <x:c r="F104" s="10"/>
      <x:c r="G104" s="2" t="str">
        <x:f>IF(COUNTA(A104:F104)=0,"",COUNTIFS('App Data'!$L$2:$L$1001,SUBSTITUTE(SUBSTITUTE(SUBSTITUTE(L104,"~","~~"),"*","~*"),"?","~?")))</x:f>
      </x:c>
      <x:c r="H104" s="2" t="str">
        <x:f>IF(COUNTA(A104:F104)=0,"",COUNTIFS('External Data'!$L$2:$L$1001,SUBSTITUTE(SUBSTITUTE(SUBSTITUTE(L104,"~","~~"),"*","~*"),"?","~?")))</x:f>
      </x:c>
      <x:c r="I104" s="13" t="str">
        <x:f>IF(OR(H104&lt;&gt;1,G104&lt;&gt;1),"",SUMIFS('External Data'!$E$2:$E$1001,'External Data'!$L$2:$L$1001,SUBSTITUTE(SUBSTITUTE(SUBSTITUTE(L104,"~","~~"),"*","~*"),"?","~?")))</x:f>
      </x:c>
      <x:c r="J104" s="13" t="str">
        <x:f>IF(OR(NOT(ISNUMBER(E104)),NOT(ISNUMBER(I104))),"",ROUND(E104-I104,2))</x:f>
      </x:c>
      <x:c r="K104" s="2" t="str">
        <x:f>IF(COUNTA(A104:F104)=0,"",IF(OR(A104="",B104="",C104="",D104="",NOT(ISNUMBER(E104))),"Missing / invalid input",IF(G104&gt;1,"Duplicate key in this source",IF(H104=0,"Missing in other source",IF(H104&gt;1,"Duplicate in other source",IF(SUMIFS('External Data'!$M$2:$M$1001,'External Data'!$L$2:$L$1001,SUBSTITUTE(SUBSTITUTE(SUBSTITUTE(L104,"~","~~"),"*","~*"),"?","~?"))&lt;&gt;1,"Other amount is invalid",IF(J104&lt;&gt;0,"Amount differs","Matched")))))))</x:f>
      </x:c>
      <x:c r="L104" t="str">
        <x:f>IF(COUNTA(A104:F104)=0,"",LEN(A104)&amp;":"&amp;A104&amp;LEN(B104)&amp;":"&amp;B104&amp;LEN(C104)&amp;":"&amp;C104&amp;LEN(D104)&amp;":"&amp;D104)</x:f>
      </x:c>
      <x:c r="M104" t="str">
        <x:f>IF(COUNTA(A104:F104)=0,"",IF(ISNUMBER(E104),1,0))</x:f>
      </x:c>
    </x:row>
    <x:row r="105">
      <x:c r="A105" s="11"/>
      <x:c r="B105" s="11"/>
      <x:c r="C105" s="11"/>
      <x:c r="D105" s="11"/>
      <x:c r="E105" s="12"/>
      <x:c r="F105" s="10"/>
      <x:c r="G105" s="2" t="str">
        <x:f>IF(COUNTA(A105:F105)=0,"",COUNTIFS('App Data'!$L$2:$L$1001,SUBSTITUTE(SUBSTITUTE(SUBSTITUTE(L105,"~","~~"),"*","~*"),"?","~?")))</x:f>
      </x:c>
      <x:c r="H105" s="2" t="str">
        <x:f>IF(COUNTA(A105:F105)=0,"",COUNTIFS('External Data'!$L$2:$L$1001,SUBSTITUTE(SUBSTITUTE(SUBSTITUTE(L105,"~","~~"),"*","~*"),"?","~?")))</x:f>
      </x:c>
      <x:c r="I105" s="13" t="str">
        <x:f>IF(OR(H105&lt;&gt;1,G105&lt;&gt;1),"",SUMIFS('External Data'!$E$2:$E$1001,'External Data'!$L$2:$L$1001,SUBSTITUTE(SUBSTITUTE(SUBSTITUTE(L105,"~","~~"),"*","~*"),"?","~?")))</x:f>
      </x:c>
      <x:c r="J105" s="13" t="str">
        <x:f>IF(OR(NOT(ISNUMBER(E105)),NOT(ISNUMBER(I105))),"",ROUND(E105-I105,2))</x:f>
      </x:c>
      <x:c r="K105" s="2" t="str">
        <x:f>IF(COUNTA(A105:F105)=0,"",IF(OR(A105="",B105="",C105="",D105="",NOT(ISNUMBER(E105))),"Missing / invalid input",IF(G105&gt;1,"Duplicate key in this source",IF(H105=0,"Missing in other source",IF(H105&gt;1,"Duplicate in other source",IF(SUMIFS('External Data'!$M$2:$M$1001,'External Data'!$L$2:$L$1001,SUBSTITUTE(SUBSTITUTE(SUBSTITUTE(L105,"~","~~"),"*","~*"),"?","~?"))&lt;&gt;1,"Other amount is invalid",IF(J105&lt;&gt;0,"Amount differs","Matched")))))))</x:f>
      </x:c>
      <x:c r="L105" t="str">
        <x:f>IF(COUNTA(A105:F105)=0,"",LEN(A105)&amp;":"&amp;A105&amp;LEN(B105)&amp;":"&amp;B105&amp;LEN(C105)&amp;":"&amp;C105&amp;LEN(D105)&amp;":"&amp;D105)</x:f>
      </x:c>
      <x:c r="M105" t="str">
        <x:f>IF(COUNTA(A105:F105)=0,"",IF(ISNUMBER(E105),1,0))</x:f>
      </x:c>
    </x:row>
    <x:row r="106">
      <x:c r="A106" s="11"/>
      <x:c r="B106" s="11"/>
      <x:c r="C106" s="11"/>
      <x:c r="D106" s="11"/>
      <x:c r="E106" s="12"/>
      <x:c r="F106" s="10"/>
      <x:c r="G106" s="2" t="str">
        <x:f>IF(COUNTA(A106:F106)=0,"",COUNTIFS('App Data'!$L$2:$L$1001,SUBSTITUTE(SUBSTITUTE(SUBSTITUTE(L106,"~","~~"),"*","~*"),"?","~?")))</x:f>
      </x:c>
      <x:c r="H106" s="2" t="str">
        <x:f>IF(COUNTA(A106:F106)=0,"",COUNTIFS('External Data'!$L$2:$L$1001,SUBSTITUTE(SUBSTITUTE(SUBSTITUTE(L106,"~","~~"),"*","~*"),"?","~?")))</x:f>
      </x:c>
      <x:c r="I106" s="13" t="str">
        <x:f>IF(OR(H106&lt;&gt;1,G106&lt;&gt;1),"",SUMIFS('External Data'!$E$2:$E$1001,'External Data'!$L$2:$L$1001,SUBSTITUTE(SUBSTITUTE(SUBSTITUTE(L106,"~","~~"),"*","~*"),"?","~?")))</x:f>
      </x:c>
      <x:c r="J106" s="13" t="str">
        <x:f>IF(OR(NOT(ISNUMBER(E106)),NOT(ISNUMBER(I106))),"",ROUND(E106-I106,2))</x:f>
      </x:c>
      <x:c r="K106" s="2" t="str">
        <x:f>IF(COUNTA(A106:F106)=0,"",IF(OR(A106="",B106="",C106="",D106="",NOT(ISNUMBER(E106))),"Missing / invalid input",IF(G106&gt;1,"Duplicate key in this source",IF(H106=0,"Missing in other source",IF(H106&gt;1,"Duplicate in other source",IF(SUMIFS('External Data'!$M$2:$M$1001,'External Data'!$L$2:$L$1001,SUBSTITUTE(SUBSTITUTE(SUBSTITUTE(L106,"~","~~"),"*","~*"),"?","~?"))&lt;&gt;1,"Other amount is invalid",IF(J106&lt;&gt;0,"Amount differs","Matched")))))))</x:f>
      </x:c>
      <x:c r="L106" t="str">
        <x:f>IF(COUNTA(A106:F106)=0,"",LEN(A106)&amp;":"&amp;A106&amp;LEN(B106)&amp;":"&amp;B106&amp;LEN(C106)&amp;":"&amp;C106&amp;LEN(D106)&amp;":"&amp;D106)</x:f>
      </x:c>
      <x:c r="M106" t="str">
        <x:f>IF(COUNTA(A106:F106)=0,"",IF(ISNUMBER(E106),1,0))</x:f>
      </x:c>
    </x:row>
    <x:row r="107">
      <x:c r="A107" s="11"/>
      <x:c r="B107" s="11"/>
      <x:c r="C107" s="11"/>
      <x:c r="D107" s="11"/>
      <x:c r="E107" s="12"/>
      <x:c r="F107" s="10"/>
      <x:c r="G107" s="2" t="str">
        <x:f>IF(COUNTA(A107:F107)=0,"",COUNTIFS('App Data'!$L$2:$L$1001,SUBSTITUTE(SUBSTITUTE(SUBSTITUTE(L107,"~","~~"),"*","~*"),"?","~?")))</x:f>
      </x:c>
      <x:c r="H107" s="2" t="str">
        <x:f>IF(COUNTA(A107:F107)=0,"",COUNTIFS('External Data'!$L$2:$L$1001,SUBSTITUTE(SUBSTITUTE(SUBSTITUTE(L107,"~","~~"),"*","~*"),"?","~?")))</x:f>
      </x:c>
      <x:c r="I107" s="13" t="str">
        <x:f>IF(OR(H107&lt;&gt;1,G107&lt;&gt;1),"",SUMIFS('External Data'!$E$2:$E$1001,'External Data'!$L$2:$L$1001,SUBSTITUTE(SUBSTITUTE(SUBSTITUTE(L107,"~","~~"),"*","~*"),"?","~?")))</x:f>
      </x:c>
      <x:c r="J107" s="13" t="str">
        <x:f>IF(OR(NOT(ISNUMBER(E107)),NOT(ISNUMBER(I107))),"",ROUND(E107-I107,2))</x:f>
      </x:c>
      <x:c r="K107" s="2" t="str">
        <x:f>IF(COUNTA(A107:F107)=0,"",IF(OR(A107="",B107="",C107="",D107="",NOT(ISNUMBER(E107))),"Missing / invalid input",IF(G107&gt;1,"Duplicate key in this source",IF(H107=0,"Missing in other source",IF(H107&gt;1,"Duplicate in other source",IF(SUMIFS('External Data'!$M$2:$M$1001,'External Data'!$L$2:$L$1001,SUBSTITUTE(SUBSTITUTE(SUBSTITUTE(L107,"~","~~"),"*","~*"),"?","~?"))&lt;&gt;1,"Other amount is invalid",IF(J107&lt;&gt;0,"Amount differs","Matched")))))))</x:f>
      </x:c>
      <x:c r="L107" t="str">
        <x:f>IF(COUNTA(A107:F107)=0,"",LEN(A107)&amp;":"&amp;A107&amp;LEN(B107)&amp;":"&amp;B107&amp;LEN(C107)&amp;":"&amp;C107&amp;LEN(D107)&amp;":"&amp;D107)</x:f>
      </x:c>
      <x:c r="M107" t="str">
        <x:f>IF(COUNTA(A107:F107)=0,"",IF(ISNUMBER(E107),1,0))</x:f>
      </x:c>
    </x:row>
    <x:row r="108">
      <x:c r="A108" s="11"/>
      <x:c r="B108" s="11"/>
      <x:c r="C108" s="11"/>
      <x:c r="D108" s="11"/>
      <x:c r="E108" s="12"/>
      <x:c r="F108" s="10"/>
      <x:c r="G108" s="2" t="str">
        <x:f>IF(COUNTA(A108:F108)=0,"",COUNTIFS('App Data'!$L$2:$L$1001,SUBSTITUTE(SUBSTITUTE(SUBSTITUTE(L108,"~","~~"),"*","~*"),"?","~?")))</x:f>
      </x:c>
      <x:c r="H108" s="2" t="str">
        <x:f>IF(COUNTA(A108:F108)=0,"",COUNTIFS('External Data'!$L$2:$L$1001,SUBSTITUTE(SUBSTITUTE(SUBSTITUTE(L108,"~","~~"),"*","~*"),"?","~?")))</x:f>
      </x:c>
      <x:c r="I108" s="13" t="str">
        <x:f>IF(OR(H108&lt;&gt;1,G108&lt;&gt;1),"",SUMIFS('External Data'!$E$2:$E$1001,'External Data'!$L$2:$L$1001,SUBSTITUTE(SUBSTITUTE(SUBSTITUTE(L108,"~","~~"),"*","~*"),"?","~?")))</x:f>
      </x:c>
      <x:c r="J108" s="13" t="str">
        <x:f>IF(OR(NOT(ISNUMBER(E108)),NOT(ISNUMBER(I108))),"",ROUND(E108-I108,2))</x:f>
      </x:c>
      <x:c r="K108" s="2" t="str">
        <x:f>IF(COUNTA(A108:F108)=0,"",IF(OR(A108="",B108="",C108="",D108="",NOT(ISNUMBER(E108))),"Missing / invalid input",IF(G108&gt;1,"Duplicate key in this source",IF(H108=0,"Missing in other source",IF(H108&gt;1,"Duplicate in other source",IF(SUMIFS('External Data'!$M$2:$M$1001,'External Data'!$L$2:$L$1001,SUBSTITUTE(SUBSTITUTE(SUBSTITUTE(L108,"~","~~"),"*","~*"),"?","~?"))&lt;&gt;1,"Other amount is invalid",IF(J108&lt;&gt;0,"Amount differs","Matched")))))))</x:f>
      </x:c>
      <x:c r="L108" t="str">
        <x:f>IF(COUNTA(A108:F108)=0,"",LEN(A108)&amp;":"&amp;A108&amp;LEN(B108)&amp;":"&amp;B108&amp;LEN(C108)&amp;":"&amp;C108&amp;LEN(D108)&amp;":"&amp;D108)</x:f>
      </x:c>
      <x:c r="M108" t="str">
        <x:f>IF(COUNTA(A108:F108)=0,"",IF(ISNUMBER(E108),1,0))</x:f>
      </x:c>
    </x:row>
    <x:row r="109">
      <x:c r="A109" s="11"/>
      <x:c r="B109" s="11"/>
      <x:c r="C109" s="11"/>
      <x:c r="D109" s="11"/>
      <x:c r="E109" s="12"/>
      <x:c r="F109" s="10"/>
      <x:c r="G109" s="2" t="str">
        <x:f>IF(COUNTA(A109:F109)=0,"",COUNTIFS('App Data'!$L$2:$L$1001,SUBSTITUTE(SUBSTITUTE(SUBSTITUTE(L109,"~","~~"),"*","~*"),"?","~?")))</x:f>
      </x:c>
      <x:c r="H109" s="2" t="str">
        <x:f>IF(COUNTA(A109:F109)=0,"",COUNTIFS('External Data'!$L$2:$L$1001,SUBSTITUTE(SUBSTITUTE(SUBSTITUTE(L109,"~","~~"),"*","~*"),"?","~?")))</x:f>
      </x:c>
      <x:c r="I109" s="13" t="str">
        <x:f>IF(OR(H109&lt;&gt;1,G109&lt;&gt;1),"",SUMIFS('External Data'!$E$2:$E$1001,'External Data'!$L$2:$L$1001,SUBSTITUTE(SUBSTITUTE(SUBSTITUTE(L109,"~","~~"),"*","~*"),"?","~?")))</x:f>
      </x:c>
      <x:c r="J109" s="13" t="str">
        <x:f>IF(OR(NOT(ISNUMBER(E109)),NOT(ISNUMBER(I109))),"",ROUND(E109-I109,2))</x:f>
      </x:c>
      <x:c r="K109" s="2" t="str">
        <x:f>IF(COUNTA(A109:F109)=0,"",IF(OR(A109="",B109="",C109="",D109="",NOT(ISNUMBER(E109))),"Missing / invalid input",IF(G109&gt;1,"Duplicate key in this source",IF(H109=0,"Missing in other source",IF(H109&gt;1,"Duplicate in other source",IF(SUMIFS('External Data'!$M$2:$M$1001,'External Data'!$L$2:$L$1001,SUBSTITUTE(SUBSTITUTE(SUBSTITUTE(L109,"~","~~"),"*","~*"),"?","~?"))&lt;&gt;1,"Other amount is invalid",IF(J109&lt;&gt;0,"Amount differs","Matched")))))))</x:f>
      </x:c>
      <x:c r="L109" t="str">
        <x:f>IF(COUNTA(A109:F109)=0,"",LEN(A109)&amp;":"&amp;A109&amp;LEN(B109)&amp;":"&amp;B109&amp;LEN(C109)&amp;":"&amp;C109&amp;LEN(D109)&amp;":"&amp;D109)</x:f>
      </x:c>
      <x:c r="M109" t="str">
        <x:f>IF(COUNTA(A109:F109)=0,"",IF(ISNUMBER(E109),1,0))</x:f>
      </x:c>
    </x:row>
    <x:row r="110">
      <x:c r="A110" s="11"/>
      <x:c r="B110" s="11"/>
      <x:c r="C110" s="11"/>
      <x:c r="D110" s="11"/>
      <x:c r="E110" s="12"/>
      <x:c r="F110" s="10"/>
      <x:c r="G110" s="2" t="str">
        <x:f>IF(COUNTA(A110:F110)=0,"",COUNTIFS('App Data'!$L$2:$L$1001,SUBSTITUTE(SUBSTITUTE(SUBSTITUTE(L110,"~","~~"),"*","~*"),"?","~?")))</x:f>
      </x:c>
      <x:c r="H110" s="2" t="str">
        <x:f>IF(COUNTA(A110:F110)=0,"",COUNTIFS('External Data'!$L$2:$L$1001,SUBSTITUTE(SUBSTITUTE(SUBSTITUTE(L110,"~","~~"),"*","~*"),"?","~?")))</x:f>
      </x:c>
      <x:c r="I110" s="13" t="str">
        <x:f>IF(OR(H110&lt;&gt;1,G110&lt;&gt;1),"",SUMIFS('External Data'!$E$2:$E$1001,'External Data'!$L$2:$L$1001,SUBSTITUTE(SUBSTITUTE(SUBSTITUTE(L110,"~","~~"),"*","~*"),"?","~?")))</x:f>
      </x:c>
      <x:c r="J110" s="13" t="str">
        <x:f>IF(OR(NOT(ISNUMBER(E110)),NOT(ISNUMBER(I110))),"",ROUND(E110-I110,2))</x:f>
      </x:c>
      <x:c r="K110" s="2" t="str">
        <x:f>IF(COUNTA(A110:F110)=0,"",IF(OR(A110="",B110="",C110="",D110="",NOT(ISNUMBER(E110))),"Missing / invalid input",IF(G110&gt;1,"Duplicate key in this source",IF(H110=0,"Missing in other source",IF(H110&gt;1,"Duplicate in other source",IF(SUMIFS('External Data'!$M$2:$M$1001,'External Data'!$L$2:$L$1001,SUBSTITUTE(SUBSTITUTE(SUBSTITUTE(L110,"~","~~"),"*","~*"),"?","~?"))&lt;&gt;1,"Other amount is invalid",IF(J110&lt;&gt;0,"Amount differs","Matched")))))))</x:f>
      </x:c>
      <x:c r="L110" t="str">
        <x:f>IF(COUNTA(A110:F110)=0,"",LEN(A110)&amp;":"&amp;A110&amp;LEN(B110)&amp;":"&amp;B110&amp;LEN(C110)&amp;":"&amp;C110&amp;LEN(D110)&amp;":"&amp;D110)</x:f>
      </x:c>
      <x:c r="M110" t="str">
        <x:f>IF(COUNTA(A110:F110)=0,"",IF(ISNUMBER(E110),1,0))</x:f>
      </x:c>
    </x:row>
    <x:row r="111">
      <x:c r="A111" s="11"/>
      <x:c r="B111" s="11"/>
      <x:c r="C111" s="11"/>
      <x:c r="D111" s="11"/>
      <x:c r="E111" s="12"/>
      <x:c r="F111" s="10"/>
      <x:c r="G111" s="2" t="str">
        <x:f>IF(COUNTA(A111:F111)=0,"",COUNTIFS('App Data'!$L$2:$L$1001,SUBSTITUTE(SUBSTITUTE(SUBSTITUTE(L111,"~","~~"),"*","~*"),"?","~?")))</x:f>
      </x:c>
      <x:c r="H111" s="2" t="str">
        <x:f>IF(COUNTA(A111:F111)=0,"",COUNTIFS('External Data'!$L$2:$L$1001,SUBSTITUTE(SUBSTITUTE(SUBSTITUTE(L111,"~","~~"),"*","~*"),"?","~?")))</x:f>
      </x:c>
      <x:c r="I111" s="13" t="str">
        <x:f>IF(OR(H111&lt;&gt;1,G111&lt;&gt;1),"",SUMIFS('External Data'!$E$2:$E$1001,'External Data'!$L$2:$L$1001,SUBSTITUTE(SUBSTITUTE(SUBSTITUTE(L111,"~","~~"),"*","~*"),"?","~?")))</x:f>
      </x:c>
      <x:c r="J111" s="13" t="str">
        <x:f>IF(OR(NOT(ISNUMBER(E111)),NOT(ISNUMBER(I111))),"",ROUND(E111-I111,2))</x:f>
      </x:c>
      <x:c r="K111" s="2" t="str">
        <x:f>IF(COUNTA(A111:F111)=0,"",IF(OR(A111="",B111="",C111="",D111="",NOT(ISNUMBER(E111))),"Missing / invalid input",IF(G111&gt;1,"Duplicate key in this source",IF(H111=0,"Missing in other source",IF(H111&gt;1,"Duplicate in other source",IF(SUMIFS('External Data'!$M$2:$M$1001,'External Data'!$L$2:$L$1001,SUBSTITUTE(SUBSTITUTE(SUBSTITUTE(L111,"~","~~"),"*","~*"),"?","~?"))&lt;&gt;1,"Other amount is invalid",IF(J111&lt;&gt;0,"Amount differs","Matched")))))))</x:f>
      </x:c>
      <x:c r="L111" t="str">
        <x:f>IF(COUNTA(A111:F111)=0,"",LEN(A111)&amp;":"&amp;A111&amp;LEN(B111)&amp;":"&amp;B111&amp;LEN(C111)&amp;":"&amp;C111&amp;LEN(D111)&amp;":"&amp;D111)</x:f>
      </x:c>
      <x:c r="M111" t="str">
        <x:f>IF(COUNTA(A111:F111)=0,"",IF(ISNUMBER(E111),1,0))</x:f>
      </x:c>
    </x:row>
    <x:row r="112">
      <x:c r="A112" s="11"/>
      <x:c r="B112" s="11"/>
      <x:c r="C112" s="11"/>
      <x:c r="D112" s="11"/>
      <x:c r="E112" s="12"/>
      <x:c r="F112" s="10"/>
      <x:c r="G112" s="2" t="str">
        <x:f>IF(COUNTA(A112:F112)=0,"",COUNTIFS('App Data'!$L$2:$L$1001,SUBSTITUTE(SUBSTITUTE(SUBSTITUTE(L112,"~","~~"),"*","~*"),"?","~?")))</x:f>
      </x:c>
      <x:c r="H112" s="2" t="str">
        <x:f>IF(COUNTA(A112:F112)=0,"",COUNTIFS('External Data'!$L$2:$L$1001,SUBSTITUTE(SUBSTITUTE(SUBSTITUTE(L112,"~","~~"),"*","~*"),"?","~?")))</x:f>
      </x:c>
      <x:c r="I112" s="13" t="str">
        <x:f>IF(OR(H112&lt;&gt;1,G112&lt;&gt;1),"",SUMIFS('External Data'!$E$2:$E$1001,'External Data'!$L$2:$L$1001,SUBSTITUTE(SUBSTITUTE(SUBSTITUTE(L112,"~","~~"),"*","~*"),"?","~?")))</x:f>
      </x:c>
      <x:c r="J112" s="13" t="str">
        <x:f>IF(OR(NOT(ISNUMBER(E112)),NOT(ISNUMBER(I112))),"",ROUND(E112-I112,2))</x:f>
      </x:c>
      <x:c r="K112" s="2" t="str">
        <x:f>IF(COUNTA(A112:F112)=0,"",IF(OR(A112="",B112="",C112="",D112="",NOT(ISNUMBER(E112))),"Missing / invalid input",IF(G112&gt;1,"Duplicate key in this source",IF(H112=0,"Missing in other source",IF(H112&gt;1,"Duplicate in other source",IF(SUMIFS('External Data'!$M$2:$M$1001,'External Data'!$L$2:$L$1001,SUBSTITUTE(SUBSTITUTE(SUBSTITUTE(L112,"~","~~"),"*","~*"),"?","~?"))&lt;&gt;1,"Other amount is invalid",IF(J112&lt;&gt;0,"Amount differs","Matched")))))))</x:f>
      </x:c>
      <x:c r="L112" t="str">
        <x:f>IF(COUNTA(A112:F112)=0,"",LEN(A112)&amp;":"&amp;A112&amp;LEN(B112)&amp;":"&amp;B112&amp;LEN(C112)&amp;":"&amp;C112&amp;LEN(D112)&amp;":"&amp;D112)</x:f>
      </x:c>
      <x:c r="M112" t="str">
        <x:f>IF(COUNTA(A112:F112)=0,"",IF(ISNUMBER(E112),1,0))</x:f>
      </x:c>
    </x:row>
    <x:row r="113">
      <x:c r="A113" s="11"/>
      <x:c r="B113" s="11"/>
      <x:c r="C113" s="11"/>
      <x:c r="D113" s="11"/>
      <x:c r="E113" s="12"/>
      <x:c r="F113" s="10"/>
      <x:c r="G113" s="2" t="str">
        <x:f>IF(COUNTA(A113:F113)=0,"",COUNTIFS('App Data'!$L$2:$L$1001,SUBSTITUTE(SUBSTITUTE(SUBSTITUTE(L113,"~","~~"),"*","~*"),"?","~?")))</x:f>
      </x:c>
      <x:c r="H113" s="2" t="str">
        <x:f>IF(COUNTA(A113:F113)=0,"",COUNTIFS('External Data'!$L$2:$L$1001,SUBSTITUTE(SUBSTITUTE(SUBSTITUTE(L113,"~","~~"),"*","~*"),"?","~?")))</x:f>
      </x:c>
      <x:c r="I113" s="13" t="str">
        <x:f>IF(OR(H113&lt;&gt;1,G113&lt;&gt;1),"",SUMIFS('External Data'!$E$2:$E$1001,'External Data'!$L$2:$L$1001,SUBSTITUTE(SUBSTITUTE(SUBSTITUTE(L113,"~","~~"),"*","~*"),"?","~?")))</x:f>
      </x:c>
      <x:c r="J113" s="13" t="str">
        <x:f>IF(OR(NOT(ISNUMBER(E113)),NOT(ISNUMBER(I113))),"",ROUND(E113-I113,2))</x:f>
      </x:c>
      <x:c r="K113" s="2" t="str">
        <x:f>IF(COUNTA(A113:F113)=0,"",IF(OR(A113="",B113="",C113="",D113="",NOT(ISNUMBER(E113))),"Missing / invalid input",IF(G113&gt;1,"Duplicate key in this source",IF(H113=0,"Missing in other source",IF(H113&gt;1,"Duplicate in other source",IF(SUMIFS('External Data'!$M$2:$M$1001,'External Data'!$L$2:$L$1001,SUBSTITUTE(SUBSTITUTE(SUBSTITUTE(L113,"~","~~"),"*","~*"),"?","~?"))&lt;&gt;1,"Other amount is invalid",IF(J113&lt;&gt;0,"Amount differs","Matched")))))))</x:f>
      </x:c>
      <x:c r="L113" t="str">
        <x:f>IF(COUNTA(A113:F113)=0,"",LEN(A113)&amp;":"&amp;A113&amp;LEN(B113)&amp;":"&amp;B113&amp;LEN(C113)&amp;":"&amp;C113&amp;LEN(D113)&amp;":"&amp;D113)</x:f>
      </x:c>
      <x:c r="M113" t="str">
        <x:f>IF(COUNTA(A113:F113)=0,"",IF(ISNUMBER(E113),1,0))</x:f>
      </x:c>
    </x:row>
    <x:row r="114">
      <x:c r="A114" s="11"/>
      <x:c r="B114" s="11"/>
      <x:c r="C114" s="11"/>
      <x:c r="D114" s="11"/>
      <x:c r="E114" s="12"/>
      <x:c r="F114" s="10"/>
      <x:c r="G114" s="2" t="str">
        <x:f>IF(COUNTA(A114:F114)=0,"",COUNTIFS('App Data'!$L$2:$L$1001,SUBSTITUTE(SUBSTITUTE(SUBSTITUTE(L114,"~","~~"),"*","~*"),"?","~?")))</x:f>
      </x:c>
      <x:c r="H114" s="2" t="str">
        <x:f>IF(COUNTA(A114:F114)=0,"",COUNTIFS('External Data'!$L$2:$L$1001,SUBSTITUTE(SUBSTITUTE(SUBSTITUTE(L114,"~","~~"),"*","~*"),"?","~?")))</x:f>
      </x:c>
      <x:c r="I114" s="13" t="str">
        <x:f>IF(OR(H114&lt;&gt;1,G114&lt;&gt;1),"",SUMIFS('External Data'!$E$2:$E$1001,'External Data'!$L$2:$L$1001,SUBSTITUTE(SUBSTITUTE(SUBSTITUTE(L114,"~","~~"),"*","~*"),"?","~?")))</x:f>
      </x:c>
      <x:c r="J114" s="13" t="str">
        <x:f>IF(OR(NOT(ISNUMBER(E114)),NOT(ISNUMBER(I114))),"",ROUND(E114-I114,2))</x:f>
      </x:c>
      <x:c r="K114" s="2" t="str">
        <x:f>IF(COUNTA(A114:F114)=0,"",IF(OR(A114="",B114="",C114="",D114="",NOT(ISNUMBER(E114))),"Missing / invalid input",IF(G114&gt;1,"Duplicate key in this source",IF(H114=0,"Missing in other source",IF(H114&gt;1,"Duplicate in other source",IF(SUMIFS('External Data'!$M$2:$M$1001,'External Data'!$L$2:$L$1001,SUBSTITUTE(SUBSTITUTE(SUBSTITUTE(L114,"~","~~"),"*","~*"),"?","~?"))&lt;&gt;1,"Other amount is invalid",IF(J114&lt;&gt;0,"Amount differs","Matched")))))))</x:f>
      </x:c>
      <x:c r="L114" t="str">
        <x:f>IF(COUNTA(A114:F114)=0,"",LEN(A114)&amp;":"&amp;A114&amp;LEN(B114)&amp;":"&amp;B114&amp;LEN(C114)&amp;":"&amp;C114&amp;LEN(D114)&amp;":"&amp;D114)</x:f>
      </x:c>
      <x:c r="M114" t="str">
        <x:f>IF(COUNTA(A114:F114)=0,"",IF(ISNUMBER(E114),1,0))</x:f>
      </x:c>
    </x:row>
    <x:row r="115">
      <x:c r="A115" s="11"/>
      <x:c r="B115" s="11"/>
      <x:c r="C115" s="11"/>
      <x:c r="D115" s="11"/>
      <x:c r="E115" s="12"/>
      <x:c r="F115" s="10"/>
      <x:c r="G115" s="2" t="str">
        <x:f>IF(COUNTA(A115:F115)=0,"",COUNTIFS('App Data'!$L$2:$L$1001,SUBSTITUTE(SUBSTITUTE(SUBSTITUTE(L115,"~","~~"),"*","~*"),"?","~?")))</x:f>
      </x:c>
      <x:c r="H115" s="2" t="str">
        <x:f>IF(COUNTA(A115:F115)=0,"",COUNTIFS('External Data'!$L$2:$L$1001,SUBSTITUTE(SUBSTITUTE(SUBSTITUTE(L115,"~","~~"),"*","~*"),"?","~?")))</x:f>
      </x:c>
      <x:c r="I115" s="13" t="str">
        <x:f>IF(OR(H115&lt;&gt;1,G115&lt;&gt;1),"",SUMIFS('External Data'!$E$2:$E$1001,'External Data'!$L$2:$L$1001,SUBSTITUTE(SUBSTITUTE(SUBSTITUTE(L115,"~","~~"),"*","~*"),"?","~?")))</x:f>
      </x:c>
      <x:c r="J115" s="13" t="str">
        <x:f>IF(OR(NOT(ISNUMBER(E115)),NOT(ISNUMBER(I115))),"",ROUND(E115-I115,2))</x:f>
      </x:c>
      <x:c r="K115" s="2" t="str">
        <x:f>IF(COUNTA(A115:F115)=0,"",IF(OR(A115="",B115="",C115="",D115="",NOT(ISNUMBER(E115))),"Missing / invalid input",IF(G115&gt;1,"Duplicate key in this source",IF(H115=0,"Missing in other source",IF(H115&gt;1,"Duplicate in other source",IF(SUMIFS('External Data'!$M$2:$M$1001,'External Data'!$L$2:$L$1001,SUBSTITUTE(SUBSTITUTE(SUBSTITUTE(L115,"~","~~"),"*","~*"),"?","~?"))&lt;&gt;1,"Other amount is invalid",IF(J115&lt;&gt;0,"Amount differs","Matched")))))))</x:f>
      </x:c>
      <x:c r="L115" t="str">
        <x:f>IF(COUNTA(A115:F115)=0,"",LEN(A115)&amp;":"&amp;A115&amp;LEN(B115)&amp;":"&amp;B115&amp;LEN(C115)&amp;":"&amp;C115&amp;LEN(D115)&amp;":"&amp;D115)</x:f>
      </x:c>
      <x:c r="M115" t="str">
        <x:f>IF(COUNTA(A115:F115)=0,"",IF(ISNUMBER(E115),1,0))</x:f>
      </x:c>
    </x:row>
    <x:row r="116">
      <x:c r="A116" s="11"/>
      <x:c r="B116" s="11"/>
      <x:c r="C116" s="11"/>
      <x:c r="D116" s="11"/>
      <x:c r="E116" s="12"/>
      <x:c r="F116" s="10"/>
      <x:c r="G116" s="2" t="str">
        <x:f>IF(COUNTA(A116:F116)=0,"",COUNTIFS('App Data'!$L$2:$L$1001,SUBSTITUTE(SUBSTITUTE(SUBSTITUTE(L116,"~","~~"),"*","~*"),"?","~?")))</x:f>
      </x:c>
      <x:c r="H116" s="2" t="str">
        <x:f>IF(COUNTA(A116:F116)=0,"",COUNTIFS('External Data'!$L$2:$L$1001,SUBSTITUTE(SUBSTITUTE(SUBSTITUTE(L116,"~","~~"),"*","~*"),"?","~?")))</x:f>
      </x:c>
      <x:c r="I116" s="13" t="str">
        <x:f>IF(OR(H116&lt;&gt;1,G116&lt;&gt;1),"",SUMIFS('External Data'!$E$2:$E$1001,'External Data'!$L$2:$L$1001,SUBSTITUTE(SUBSTITUTE(SUBSTITUTE(L116,"~","~~"),"*","~*"),"?","~?")))</x:f>
      </x:c>
      <x:c r="J116" s="13" t="str">
        <x:f>IF(OR(NOT(ISNUMBER(E116)),NOT(ISNUMBER(I116))),"",ROUND(E116-I116,2))</x:f>
      </x:c>
      <x:c r="K116" s="2" t="str">
        <x:f>IF(COUNTA(A116:F116)=0,"",IF(OR(A116="",B116="",C116="",D116="",NOT(ISNUMBER(E116))),"Missing / invalid input",IF(G116&gt;1,"Duplicate key in this source",IF(H116=0,"Missing in other source",IF(H116&gt;1,"Duplicate in other source",IF(SUMIFS('External Data'!$M$2:$M$1001,'External Data'!$L$2:$L$1001,SUBSTITUTE(SUBSTITUTE(SUBSTITUTE(L116,"~","~~"),"*","~*"),"?","~?"))&lt;&gt;1,"Other amount is invalid",IF(J116&lt;&gt;0,"Amount differs","Matched")))))))</x:f>
      </x:c>
      <x:c r="L116" t="str">
        <x:f>IF(COUNTA(A116:F116)=0,"",LEN(A116)&amp;":"&amp;A116&amp;LEN(B116)&amp;":"&amp;B116&amp;LEN(C116)&amp;":"&amp;C116&amp;LEN(D116)&amp;":"&amp;D116)</x:f>
      </x:c>
      <x:c r="M116" t="str">
        <x:f>IF(COUNTA(A116:F116)=0,"",IF(ISNUMBER(E116),1,0))</x:f>
      </x:c>
    </x:row>
    <x:row r="117">
      <x:c r="A117" s="11"/>
      <x:c r="B117" s="11"/>
      <x:c r="C117" s="11"/>
      <x:c r="D117" s="11"/>
      <x:c r="E117" s="12"/>
      <x:c r="F117" s="10"/>
      <x:c r="G117" s="2" t="str">
        <x:f>IF(COUNTA(A117:F117)=0,"",COUNTIFS('App Data'!$L$2:$L$1001,SUBSTITUTE(SUBSTITUTE(SUBSTITUTE(L117,"~","~~"),"*","~*"),"?","~?")))</x:f>
      </x:c>
      <x:c r="H117" s="2" t="str">
        <x:f>IF(COUNTA(A117:F117)=0,"",COUNTIFS('External Data'!$L$2:$L$1001,SUBSTITUTE(SUBSTITUTE(SUBSTITUTE(L117,"~","~~"),"*","~*"),"?","~?")))</x:f>
      </x:c>
      <x:c r="I117" s="13" t="str">
        <x:f>IF(OR(H117&lt;&gt;1,G117&lt;&gt;1),"",SUMIFS('External Data'!$E$2:$E$1001,'External Data'!$L$2:$L$1001,SUBSTITUTE(SUBSTITUTE(SUBSTITUTE(L117,"~","~~"),"*","~*"),"?","~?")))</x:f>
      </x:c>
      <x:c r="J117" s="13" t="str">
        <x:f>IF(OR(NOT(ISNUMBER(E117)),NOT(ISNUMBER(I117))),"",ROUND(E117-I117,2))</x:f>
      </x:c>
      <x:c r="K117" s="2" t="str">
        <x:f>IF(COUNTA(A117:F117)=0,"",IF(OR(A117="",B117="",C117="",D117="",NOT(ISNUMBER(E117))),"Missing / invalid input",IF(G117&gt;1,"Duplicate key in this source",IF(H117=0,"Missing in other source",IF(H117&gt;1,"Duplicate in other source",IF(SUMIFS('External Data'!$M$2:$M$1001,'External Data'!$L$2:$L$1001,SUBSTITUTE(SUBSTITUTE(SUBSTITUTE(L117,"~","~~"),"*","~*"),"?","~?"))&lt;&gt;1,"Other amount is invalid",IF(J117&lt;&gt;0,"Amount differs","Matched")))))))</x:f>
      </x:c>
      <x:c r="L117" t="str">
        <x:f>IF(COUNTA(A117:F117)=0,"",LEN(A117)&amp;":"&amp;A117&amp;LEN(B117)&amp;":"&amp;B117&amp;LEN(C117)&amp;":"&amp;C117&amp;LEN(D117)&amp;":"&amp;D117)</x:f>
      </x:c>
      <x:c r="M117" t="str">
        <x:f>IF(COUNTA(A117:F117)=0,"",IF(ISNUMBER(E117),1,0))</x:f>
      </x:c>
    </x:row>
    <x:row r="118">
      <x:c r="A118" s="11"/>
      <x:c r="B118" s="11"/>
      <x:c r="C118" s="11"/>
      <x:c r="D118" s="11"/>
      <x:c r="E118" s="12"/>
      <x:c r="F118" s="10"/>
      <x:c r="G118" s="2" t="str">
        <x:f>IF(COUNTA(A118:F118)=0,"",COUNTIFS('App Data'!$L$2:$L$1001,SUBSTITUTE(SUBSTITUTE(SUBSTITUTE(L118,"~","~~"),"*","~*"),"?","~?")))</x:f>
      </x:c>
      <x:c r="H118" s="2" t="str">
        <x:f>IF(COUNTA(A118:F118)=0,"",COUNTIFS('External Data'!$L$2:$L$1001,SUBSTITUTE(SUBSTITUTE(SUBSTITUTE(L118,"~","~~"),"*","~*"),"?","~?")))</x:f>
      </x:c>
      <x:c r="I118" s="13" t="str">
        <x:f>IF(OR(H118&lt;&gt;1,G118&lt;&gt;1),"",SUMIFS('External Data'!$E$2:$E$1001,'External Data'!$L$2:$L$1001,SUBSTITUTE(SUBSTITUTE(SUBSTITUTE(L118,"~","~~"),"*","~*"),"?","~?")))</x:f>
      </x:c>
      <x:c r="J118" s="13" t="str">
        <x:f>IF(OR(NOT(ISNUMBER(E118)),NOT(ISNUMBER(I118))),"",ROUND(E118-I118,2))</x:f>
      </x:c>
      <x:c r="K118" s="2" t="str">
        <x:f>IF(COUNTA(A118:F118)=0,"",IF(OR(A118="",B118="",C118="",D118="",NOT(ISNUMBER(E118))),"Missing / invalid input",IF(G118&gt;1,"Duplicate key in this source",IF(H118=0,"Missing in other source",IF(H118&gt;1,"Duplicate in other source",IF(SUMIFS('External Data'!$M$2:$M$1001,'External Data'!$L$2:$L$1001,SUBSTITUTE(SUBSTITUTE(SUBSTITUTE(L118,"~","~~"),"*","~*"),"?","~?"))&lt;&gt;1,"Other amount is invalid",IF(J118&lt;&gt;0,"Amount differs","Matched")))))))</x:f>
      </x:c>
      <x:c r="L118" t="str">
        <x:f>IF(COUNTA(A118:F118)=0,"",LEN(A118)&amp;":"&amp;A118&amp;LEN(B118)&amp;":"&amp;B118&amp;LEN(C118)&amp;":"&amp;C118&amp;LEN(D118)&amp;":"&amp;D118)</x:f>
      </x:c>
      <x:c r="M118" t="str">
        <x:f>IF(COUNTA(A118:F118)=0,"",IF(ISNUMBER(E118),1,0))</x:f>
      </x:c>
    </x:row>
    <x:row r="119">
      <x:c r="A119" s="11"/>
      <x:c r="B119" s="11"/>
      <x:c r="C119" s="11"/>
      <x:c r="D119" s="11"/>
      <x:c r="E119" s="12"/>
      <x:c r="F119" s="10"/>
      <x:c r="G119" s="2" t="str">
        <x:f>IF(COUNTA(A119:F119)=0,"",COUNTIFS('App Data'!$L$2:$L$1001,SUBSTITUTE(SUBSTITUTE(SUBSTITUTE(L119,"~","~~"),"*","~*"),"?","~?")))</x:f>
      </x:c>
      <x:c r="H119" s="2" t="str">
        <x:f>IF(COUNTA(A119:F119)=0,"",COUNTIFS('External Data'!$L$2:$L$1001,SUBSTITUTE(SUBSTITUTE(SUBSTITUTE(L119,"~","~~"),"*","~*"),"?","~?")))</x:f>
      </x:c>
      <x:c r="I119" s="13" t="str">
        <x:f>IF(OR(H119&lt;&gt;1,G119&lt;&gt;1),"",SUMIFS('External Data'!$E$2:$E$1001,'External Data'!$L$2:$L$1001,SUBSTITUTE(SUBSTITUTE(SUBSTITUTE(L119,"~","~~"),"*","~*"),"?","~?")))</x:f>
      </x:c>
      <x:c r="J119" s="13" t="str">
        <x:f>IF(OR(NOT(ISNUMBER(E119)),NOT(ISNUMBER(I119))),"",ROUND(E119-I119,2))</x:f>
      </x:c>
      <x:c r="K119" s="2" t="str">
        <x:f>IF(COUNTA(A119:F119)=0,"",IF(OR(A119="",B119="",C119="",D119="",NOT(ISNUMBER(E119))),"Missing / invalid input",IF(G119&gt;1,"Duplicate key in this source",IF(H119=0,"Missing in other source",IF(H119&gt;1,"Duplicate in other source",IF(SUMIFS('External Data'!$M$2:$M$1001,'External Data'!$L$2:$L$1001,SUBSTITUTE(SUBSTITUTE(SUBSTITUTE(L119,"~","~~"),"*","~*"),"?","~?"))&lt;&gt;1,"Other amount is invalid",IF(J119&lt;&gt;0,"Amount differs","Matched")))))))</x:f>
      </x:c>
      <x:c r="L119" t="str">
        <x:f>IF(COUNTA(A119:F119)=0,"",LEN(A119)&amp;":"&amp;A119&amp;LEN(B119)&amp;":"&amp;B119&amp;LEN(C119)&amp;":"&amp;C119&amp;LEN(D119)&amp;":"&amp;D119)</x:f>
      </x:c>
      <x:c r="M119" t="str">
        <x:f>IF(COUNTA(A119:F119)=0,"",IF(ISNUMBER(E119),1,0))</x:f>
      </x:c>
    </x:row>
    <x:row r="120">
      <x:c r="A120" s="11"/>
      <x:c r="B120" s="11"/>
      <x:c r="C120" s="11"/>
      <x:c r="D120" s="11"/>
      <x:c r="E120" s="12"/>
      <x:c r="F120" s="10"/>
      <x:c r="G120" s="2" t="str">
        <x:f>IF(COUNTA(A120:F120)=0,"",COUNTIFS('App Data'!$L$2:$L$1001,SUBSTITUTE(SUBSTITUTE(SUBSTITUTE(L120,"~","~~"),"*","~*"),"?","~?")))</x:f>
      </x:c>
      <x:c r="H120" s="2" t="str">
        <x:f>IF(COUNTA(A120:F120)=0,"",COUNTIFS('External Data'!$L$2:$L$1001,SUBSTITUTE(SUBSTITUTE(SUBSTITUTE(L120,"~","~~"),"*","~*"),"?","~?")))</x:f>
      </x:c>
      <x:c r="I120" s="13" t="str">
        <x:f>IF(OR(H120&lt;&gt;1,G120&lt;&gt;1),"",SUMIFS('External Data'!$E$2:$E$1001,'External Data'!$L$2:$L$1001,SUBSTITUTE(SUBSTITUTE(SUBSTITUTE(L120,"~","~~"),"*","~*"),"?","~?")))</x:f>
      </x:c>
      <x:c r="J120" s="13" t="str">
        <x:f>IF(OR(NOT(ISNUMBER(E120)),NOT(ISNUMBER(I120))),"",ROUND(E120-I120,2))</x:f>
      </x:c>
      <x:c r="K120" s="2" t="str">
        <x:f>IF(COUNTA(A120:F120)=0,"",IF(OR(A120="",B120="",C120="",D120="",NOT(ISNUMBER(E120))),"Missing / invalid input",IF(G120&gt;1,"Duplicate key in this source",IF(H120=0,"Missing in other source",IF(H120&gt;1,"Duplicate in other source",IF(SUMIFS('External Data'!$M$2:$M$1001,'External Data'!$L$2:$L$1001,SUBSTITUTE(SUBSTITUTE(SUBSTITUTE(L120,"~","~~"),"*","~*"),"?","~?"))&lt;&gt;1,"Other amount is invalid",IF(J120&lt;&gt;0,"Amount differs","Matched")))))))</x:f>
      </x:c>
      <x:c r="L120" t="str">
        <x:f>IF(COUNTA(A120:F120)=0,"",LEN(A120)&amp;":"&amp;A120&amp;LEN(B120)&amp;":"&amp;B120&amp;LEN(C120)&amp;":"&amp;C120&amp;LEN(D120)&amp;":"&amp;D120)</x:f>
      </x:c>
      <x:c r="M120" t="str">
        <x:f>IF(COUNTA(A120:F120)=0,"",IF(ISNUMBER(E120),1,0))</x:f>
      </x:c>
    </x:row>
    <x:row r="121">
      <x:c r="A121" s="11"/>
      <x:c r="B121" s="11"/>
      <x:c r="C121" s="11"/>
      <x:c r="D121" s="11"/>
      <x:c r="E121" s="12"/>
      <x:c r="F121" s="10"/>
      <x:c r="G121" s="2" t="str">
        <x:f>IF(COUNTA(A121:F121)=0,"",COUNTIFS('App Data'!$L$2:$L$1001,SUBSTITUTE(SUBSTITUTE(SUBSTITUTE(L121,"~","~~"),"*","~*"),"?","~?")))</x:f>
      </x:c>
      <x:c r="H121" s="2" t="str">
        <x:f>IF(COUNTA(A121:F121)=0,"",COUNTIFS('External Data'!$L$2:$L$1001,SUBSTITUTE(SUBSTITUTE(SUBSTITUTE(L121,"~","~~"),"*","~*"),"?","~?")))</x:f>
      </x:c>
      <x:c r="I121" s="13" t="str">
        <x:f>IF(OR(H121&lt;&gt;1,G121&lt;&gt;1),"",SUMIFS('External Data'!$E$2:$E$1001,'External Data'!$L$2:$L$1001,SUBSTITUTE(SUBSTITUTE(SUBSTITUTE(L121,"~","~~"),"*","~*"),"?","~?")))</x:f>
      </x:c>
      <x:c r="J121" s="13" t="str">
        <x:f>IF(OR(NOT(ISNUMBER(E121)),NOT(ISNUMBER(I121))),"",ROUND(E121-I121,2))</x:f>
      </x:c>
      <x:c r="K121" s="2" t="str">
        <x:f>IF(COUNTA(A121:F121)=0,"",IF(OR(A121="",B121="",C121="",D121="",NOT(ISNUMBER(E121))),"Missing / invalid input",IF(G121&gt;1,"Duplicate key in this source",IF(H121=0,"Missing in other source",IF(H121&gt;1,"Duplicate in other source",IF(SUMIFS('External Data'!$M$2:$M$1001,'External Data'!$L$2:$L$1001,SUBSTITUTE(SUBSTITUTE(SUBSTITUTE(L121,"~","~~"),"*","~*"),"?","~?"))&lt;&gt;1,"Other amount is invalid",IF(J121&lt;&gt;0,"Amount differs","Matched")))))))</x:f>
      </x:c>
      <x:c r="L121" t="str">
        <x:f>IF(COUNTA(A121:F121)=0,"",LEN(A121)&amp;":"&amp;A121&amp;LEN(B121)&amp;":"&amp;B121&amp;LEN(C121)&amp;":"&amp;C121&amp;LEN(D121)&amp;":"&amp;D121)</x:f>
      </x:c>
      <x:c r="M121" t="str">
        <x:f>IF(COUNTA(A121:F121)=0,"",IF(ISNUMBER(E121),1,0))</x:f>
      </x:c>
    </x:row>
    <x:row r="122">
      <x:c r="A122" s="11"/>
      <x:c r="B122" s="11"/>
      <x:c r="C122" s="11"/>
      <x:c r="D122" s="11"/>
      <x:c r="E122" s="12"/>
      <x:c r="F122" s="10"/>
      <x:c r="G122" s="2" t="str">
        <x:f>IF(COUNTA(A122:F122)=0,"",COUNTIFS('App Data'!$L$2:$L$1001,SUBSTITUTE(SUBSTITUTE(SUBSTITUTE(L122,"~","~~"),"*","~*"),"?","~?")))</x:f>
      </x:c>
      <x:c r="H122" s="2" t="str">
        <x:f>IF(COUNTA(A122:F122)=0,"",COUNTIFS('External Data'!$L$2:$L$1001,SUBSTITUTE(SUBSTITUTE(SUBSTITUTE(L122,"~","~~"),"*","~*"),"?","~?")))</x:f>
      </x:c>
      <x:c r="I122" s="13" t="str">
        <x:f>IF(OR(H122&lt;&gt;1,G122&lt;&gt;1),"",SUMIFS('External Data'!$E$2:$E$1001,'External Data'!$L$2:$L$1001,SUBSTITUTE(SUBSTITUTE(SUBSTITUTE(L122,"~","~~"),"*","~*"),"?","~?")))</x:f>
      </x:c>
      <x:c r="J122" s="13" t="str">
        <x:f>IF(OR(NOT(ISNUMBER(E122)),NOT(ISNUMBER(I122))),"",ROUND(E122-I122,2))</x:f>
      </x:c>
      <x:c r="K122" s="2" t="str">
        <x:f>IF(COUNTA(A122:F122)=0,"",IF(OR(A122="",B122="",C122="",D122="",NOT(ISNUMBER(E122))),"Missing / invalid input",IF(G122&gt;1,"Duplicate key in this source",IF(H122=0,"Missing in other source",IF(H122&gt;1,"Duplicate in other source",IF(SUMIFS('External Data'!$M$2:$M$1001,'External Data'!$L$2:$L$1001,SUBSTITUTE(SUBSTITUTE(SUBSTITUTE(L122,"~","~~"),"*","~*"),"?","~?"))&lt;&gt;1,"Other amount is invalid",IF(J122&lt;&gt;0,"Amount differs","Matched")))))))</x:f>
      </x:c>
      <x:c r="L122" t="str">
        <x:f>IF(COUNTA(A122:F122)=0,"",LEN(A122)&amp;":"&amp;A122&amp;LEN(B122)&amp;":"&amp;B122&amp;LEN(C122)&amp;":"&amp;C122&amp;LEN(D122)&amp;":"&amp;D122)</x:f>
      </x:c>
      <x:c r="M122" t="str">
        <x:f>IF(COUNTA(A122:F122)=0,"",IF(ISNUMBER(E122),1,0))</x:f>
      </x:c>
    </x:row>
    <x:row r="123">
      <x:c r="A123" s="11"/>
      <x:c r="B123" s="11"/>
      <x:c r="C123" s="11"/>
      <x:c r="D123" s="11"/>
      <x:c r="E123" s="12"/>
      <x:c r="F123" s="10"/>
      <x:c r="G123" s="2" t="str">
        <x:f>IF(COUNTA(A123:F123)=0,"",COUNTIFS('App Data'!$L$2:$L$1001,SUBSTITUTE(SUBSTITUTE(SUBSTITUTE(L123,"~","~~"),"*","~*"),"?","~?")))</x:f>
      </x:c>
      <x:c r="H123" s="2" t="str">
        <x:f>IF(COUNTA(A123:F123)=0,"",COUNTIFS('External Data'!$L$2:$L$1001,SUBSTITUTE(SUBSTITUTE(SUBSTITUTE(L123,"~","~~"),"*","~*"),"?","~?")))</x:f>
      </x:c>
      <x:c r="I123" s="13" t="str">
        <x:f>IF(OR(H123&lt;&gt;1,G123&lt;&gt;1),"",SUMIFS('External Data'!$E$2:$E$1001,'External Data'!$L$2:$L$1001,SUBSTITUTE(SUBSTITUTE(SUBSTITUTE(L123,"~","~~"),"*","~*"),"?","~?")))</x:f>
      </x:c>
      <x:c r="J123" s="13" t="str">
        <x:f>IF(OR(NOT(ISNUMBER(E123)),NOT(ISNUMBER(I123))),"",ROUND(E123-I123,2))</x:f>
      </x:c>
      <x:c r="K123" s="2" t="str">
        <x:f>IF(COUNTA(A123:F123)=0,"",IF(OR(A123="",B123="",C123="",D123="",NOT(ISNUMBER(E123))),"Missing / invalid input",IF(G123&gt;1,"Duplicate key in this source",IF(H123=0,"Missing in other source",IF(H123&gt;1,"Duplicate in other source",IF(SUMIFS('External Data'!$M$2:$M$1001,'External Data'!$L$2:$L$1001,SUBSTITUTE(SUBSTITUTE(SUBSTITUTE(L123,"~","~~"),"*","~*"),"?","~?"))&lt;&gt;1,"Other amount is invalid",IF(J123&lt;&gt;0,"Amount differs","Matched")))))))</x:f>
      </x:c>
      <x:c r="L123" t="str">
        <x:f>IF(COUNTA(A123:F123)=0,"",LEN(A123)&amp;":"&amp;A123&amp;LEN(B123)&amp;":"&amp;B123&amp;LEN(C123)&amp;":"&amp;C123&amp;LEN(D123)&amp;":"&amp;D123)</x:f>
      </x:c>
      <x:c r="M123" t="str">
        <x:f>IF(COUNTA(A123:F123)=0,"",IF(ISNUMBER(E123),1,0))</x:f>
      </x:c>
    </x:row>
    <x:row r="124">
      <x:c r="A124" s="11"/>
      <x:c r="B124" s="11"/>
      <x:c r="C124" s="11"/>
      <x:c r="D124" s="11"/>
      <x:c r="E124" s="12"/>
      <x:c r="F124" s="10"/>
      <x:c r="G124" s="2" t="str">
        <x:f>IF(COUNTA(A124:F124)=0,"",COUNTIFS('App Data'!$L$2:$L$1001,SUBSTITUTE(SUBSTITUTE(SUBSTITUTE(L124,"~","~~"),"*","~*"),"?","~?")))</x:f>
      </x:c>
      <x:c r="H124" s="2" t="str">
        <x:f>IF(COUNTA(A124:F124)=0,"",COUNTIFS('External Data'!$L$2:$L$1001,SUBSTITUTE(SUBSTITUTE(SUBSTITUTE(L124,"~","~~"),"*","~*"),"?","~?")))</x:f>
      </x:c>
      <x:c r="I124" s="13" t="str">
        <x:f>IF(OR(H124&lt;&gt;1,G124&lt;&gt;1),"",SUMIFS('External Data'!$E$2:$E$1001,'External Data'!$L$2:$L$1001,SUBSTITUTE(SUBSTITUTE(SUBSTITUTE(L124,"~","~~"),"*","~*"),"?","~?")))</x:f>
      </x:c>
      <x:c r="J124" s="13" t="str">
        <x:f>IF(OR(NOT(ISNUMBER(E124)),NOT(ISNUMBER(I124))),"",ROUND(E124-I124,2))</x:f>
      </x:c>
      <x:c r="K124" s="2" t="str">
        <x:f>IF(COUNTA(A124:F124)=0,"",IF(OR(A124="",B124="",C124="",D124="",NOT(ISNUMBER(E124))),"Missing / invalid input",IF(G124&gt;1,"Duplicate key in this source",IF(H124=0,"Missing in other source",IF(H124&gt;1,"Duplicate in other source",IF(SUMIFS('External Data'!$M$2:$M$1001,'External Data'!$L$2:$L$1001,SUBSTITUTE(SUBSTITUTE(SUBSTITUTE(L124,"~","~~"),"*","~*"),"?","~?"))&lt;&gt;1,"Other amount is invalid",IF(J124&lt;&gt;0,"Amount differs","Matched")))))))</x:f>
      </x:c>
      <x:c r="L124" t="str">
        <x:f>IF(COUNTA(A124:F124)=0,"",LEN(A124)&amp;":"&amp;A124&amp;LEN(B124)&amp;":"&amp;B124&amp;LEN(C124)&amp;":"&amp;C124&amp;LEN(D124)&amp;":"&amp;D124)</x:f>
      </x:c>
      <x:c r="M124" t="str">
        <x:f>IF(COUNTA(A124:F124)=0,"",IF(ISNUMBER(E124),1,0))</x:f>
      </x:c>
    </x:row>
    <x:row r="125">
      <x:c r="A125" s="11"/>
      <x:c r="B125" s="11"/>
      <x:c r="C125" s="11"/>
      <x:c r="D125" s="11"/>
      <x:c r="E125" s="12"/>
      <x:c r="F125" s="10"/>
      <x:c r="G125" s="2" t="str">
        <x:f>IF(COUNTA(A125:F125)=0,"",COUNTIFS('App Data'!$L$2:$L$1001,SUBSTITUTE(SUBSTITUTE(SUBSTITUTE(L125,"~","~~"),"*","~*"),"?","~?")))</x:f>
      </x:c>
      <x:c r="H125" s="2" t="str">
        <x:f>IF(COUNTA(A125:F125)=0,"",COUNTIFS('External Data'!$L$2:$L$1001,SUBSTITUTE(SUBSTITUTE(SUBSTITUTE(L125,"~","~~"),"*","~*"),"?","~?")))</x:f>
      </x:c>
      <x:c r="I125" s="13" t="str">
        <x:f>IF(OR(H125&lt;&gt;1,G125&lt;&gt;1),"",SUMIFS('External Data'!$E$2:$E$1001,'External Data'!$L$2:$L$1001,SUBSTITUTE(SUBSTITUTE(SUBSTITUTE(L125,"~","~~"),"*","~*"),"?","~?")))</x:f>
      </x:c>
      <x:c r="J125" s="13" t="str">
        <x:f>IF(OR(NOT(ISNUMBER(E125)),NOT(ISNUMBER(I125))),"",ROUND(E125-I125,2))</x:f>
      </x:c>
      <x:c r="K125" s="2" t="str">
        <x:f>IF(COUNTA(A125:F125)=0,"",IF(OR(A125="",B125="",C125="",D125="",NOT(ISNUMBER(E125))),"Missing / invalid input",IF(G125&gt;1,"Duplicate key in this source",IF(H125=0,"Missing in other source",IF(H125&gt;1,"Duplicate in other source",IF(SUMIFS('External Data'!$M$2:$M$1001,'External Data'!$L$2:$L$1001,SUBSTITUTE(SUBSTITUTE(SUBSTITUTE(L125,"~","~~"),"*","~*"),"?","~?"))&lt;&gt;1,"Other amount is invalid",IF(J125&lt;&gt;0,"Amount differs","Matched")))))))</x:f>
      </x:c>
      <x:c r="L125" t="str">
        <x:f>IF(COUNTA(A125:F125)=0,"",LEN(A125)&amp;":"&amp;A125&amp;LEN(B125)&amp;":"&amp;B125&amp;LEN(C125)&amp;":"&amp;C125&amp;LEN(D125)&amp;":"&amp;D125)</x:f>
      </x:c>
      <x:c r="M125" t="str">
        <x:f>IF(COUNTA(A125:F125)=0,"",IF(ISNUMBER(E125),1,0))</x:f>
      </x:c>
    </x:row>
    <x:row r="126">
      <x:c r="A126" s="11"/>
      <x:c r="B126" s="11"/>
      <x:c r="C126" s="11"/>
      <x:c r="D126" s="11"/>
      <x:c r="E126" s="12"/>
      <x:c r="F126" s="10"/>
      <x:c r="G126" s="2" t="str">
        <x:f>IF(COUNTA(A126:F126)=0,"",COUNTIFS('App Data'!$L$2:$L$1001,SUBSTITUTE(SUBSTITUTE(SUBSTITUTE(L126,"~","~~"),"*","~*"),"?","~?")))</x:f>
      </x:c>
      <x:c r="H126" s="2" t="str">
        <x:f>IF(COUNTA(A126:F126)=0,"",COUNTIFS('External Data'!$L$2:$L$1001,SUBSTITUTE(SUBSTITUTE(SUBSTITUTE(L126,"~","~~"),"*","~*"),"?","~?")))</x:f>
      </x:c>
      <x:c r="I126" s="13" t="str">
        <x:f>IF(OR(H126&lt;&gt;1,G126&lt;&gt;1),"",SUMIFS('External Data'!$E$2:$E$1001,'External Data'!$L$2:$L$1001,SUBSTITUTE(SUBSTITUTE(SUBSTITUTE(L126,"~","~~"),"*","~*"),"?","~?")))</x:f>
      </x:c>
      <x:c r="J126" s="13" t="str">
        <x:f>IF(OR(NOT(ISNUMBER(E126)),NOT(ISNUMBER(I126))),"",ROUND(E126-I126,2))</x:f>
      </x:c>
      <x:c r="K126" s="2" t="str">
        <x:f>IF(COUNTA(A126:F126)=0,"",IF(OR(A126="",B126="",C126="",D126="",NOT(ISNUMBER(E126))),"Missing / invalid input",IF(G126&gt;1,"Duplicate key in this source",IF(H126=0,"Missing in other source",IF(H126&gt;1,"Duplicate in other source",IF(SUMIFS('External Data'!$M$2:$M$1001,'External Data'!$L$2:$L$1001,SUBSTITUTE(SUBSTITUTE(SUBSTITUTE(L126,"~","~~"),"*","~*"),"?","~?"))&lt;&gt;1,"Other amount is invalid",IF(J126&lt;&gt;0,"Amount differs","Matched")))))))</x:f>
      </x:c>
      <x:c r="L126" t="str">
        <x:f>IF(COUNTA(A126:F126)=0,"",LEN(A126)&amp;":"&amp;A126&amp;LEN(B126)&amp;":"&amp;B126&amp;LEN(C126)&amp;":"&amp;C126&amp;LEN(D126)&amp;":"&amp;D126)</x:f>
      </x:c>
      <x:c r="M126" t="str">
        <x:f>IF(COUNTA(A126:F126)=0,"",IF(ISNUMBER(E126),1,0))</x:f>
      </x:c>
    </x:row>
    <x:row r="127">
      <x:c r="A127" s="11"/>
      <x:c r="B127" s="11"/>
      <x:c r="C127" s="11"/>
      <x:c r="D127" s="11"/>
      <x:c r="E127" s="12"/>
      <x:c r="F127" s="10"/>
      <x:c r="G127" s="2" t="str">
        <x:f>IF(COUNTA(A127:F127)=0,"",COUNTIFS('App Data'!$L$2:$L$1001,SUBSTITUTE(SUBSTITUTE(SUBSTITUTE(L127,"~","~~"),"*","~*"),"?","~?")))</x:f>
      </x:c>
      <x:c r="H127" s="2" t="str">
        <x:f>IF(COUNTA(A127:F127)=0,"",COUNTIFS('External Data'!$L$2:$L$1001,SUBSTITUTE(SUBSTITUTE(SUBSTITUTE(L127,"~","~~"),"*","~*"),"?","~?")))</x:f>
      </x:c>
      <x:c r="I127" s="13" t="str">
        <x:f>IF(OR(H127&lt;&gt;1,G127&lt;&gt;1),"",SUMIFS('External Data'!$E$2:$E$1001,'External Data'!$L$2:$L$1001,SUBSTITUTE(SUBSTITUTE(SUBSTITUTE(L127,"~","~~"),"*","~*"),"?","~?")))</x:f>
      </x:c>
      <x:c r="J127" s="13" t="str">
        <x:f>IF(OR(NOT(ISNUMBER(E127)),NOT(ISNUMBER(I127))),"",ROUND(E127-I127,2))</x:f>
      </x:c>
      <x:c r="K127" s="2" t="str">
        <x:f>IF(COUNTA(A127:F127)=0,"",IF(OR(A127="",B127="",C127="",D127="",NOT(ISNUMBER(E127))),"Missing / invalid input",IF(G127&gt;1,"Duplicate key in this source",IF(H127=0,"Missing in other source",IF(H127&gt;1,"Duplicate in other source",IF(SUMIFS('External Data'!$M$2:$M$1001,'External Data'!$L$2:$L$1001,SUBSTITUTE(SUBSTITUTE(SUBSTITUTE(L127,"~","~~"),"*","~*"),"?","~?"))&lt;&gt;1,"Other amount is invalid",IF(J127&lt;&gt;0,"Amount differs","Matched")))))))</x:f>
      </x:c>
      <x:c r="L127" t="str">
        <x:f>IF(COUNTA(A127:F127)=0,"",LEN(A127)&amp;":"&amp;A127&amp;LEN(B127)&amp;":"&amp;B127&amp;LEN(C127)&amp;":"&amp;C127&amp;LEN(D127)&amp;":"&amp;D127)</x:f>
      </x:c>
      <x:c r="M127" t="str">
        <x:f>IF(COUNTA(A127:F127)=0,"",IF(ISNUMBER(E127),1,0))</x:f>
      </x:c>
    </x:row>
    <x:row r="128">
      <x:c r="A128" s="11"/>
      <x:c r="B128" s="11"/>
      <x:c r="C128" s="11"/>
      <x:c r="D128" s="11"/>
      <x:c r="E128" s="12"/>
      <x:c r="F128" s="10"/>
      <x:c r="G128" s="2" t="str">
        <x:f>IF(COUNTA(A128:F128)=0,"",COUNTIFS('App Data'!$L$2:$L$1001,SUBSTITUTE(SUBSTITUTE(SUBSTITUTE(L128,"~","~~"),"*","~*"),"?","~?")))</x:f>
      </x:c>
      <x:c r="H128" s="2" t="str">
        <x:f>IF(COUNTA(A128:F128)=0,"",COUNTIFS('External Data'!$L$2:$L$1001,SUBSTITUTE(SUBSTITUTE(SUBSTITUTE(L128,"~","~~"),"*","~*"),"?","~?")))</x:f>
      </x:c>
      <x:c r="I128" s="13" t="str">
        <x:f>IF(OR(H128&lt;&gt;1,G128&lt;&gt;1),"",SUMIFS('External Data'!$E$2:$E$1001,'External Data'!$L$2:$L$1001,SUBSTITUTE(SUBSTITUTE(SUBSTITUTE(L128,"~","~~"),"*","~*"),"?","~?")))</x:f>
      </x:c>
      <x:c r="J128" s="13" t="str">
        <x:f>IF(OR(NOT(ISNUMBER(E128)),NOT(ISNUMBER(I128))),"",ROUND(E128-I128,2))</x:f>
      </x:c>
      <x:c r="K128" s="2" t="str">
        <x:f>IF(COUNTA(A128:F128)=0,"",IF(OR(A128="",B128="",C128="",D128="",NOT(ISNUMBER(E128))),"Missing / invalid input",IF(G128&gt;1,"Duplicate key in this source",IF(H128=0,"Missing in other source",IF(H128&gt;1,"Duplicate in other source",IF(SUMIFS('External Data'!$M$2:$M$1001,'External Data'!$L$2:$L$1001,SUBSTITUTE(SUBSTITUTE(SUBSTITUTE(L128,"~","~~"),"*","~*"),"?","~?"))&lt;&gt;1,"Other amount is invalid",IF(J128&lt;&gt;0,"Amount differs","Matched")))))))</x:f>
      </x:c>
      <x:c r="L128" t="str">
        <x:f>IF(COUNTA(A128:F128)=0,"",LEN(A128)&amp;":"&amp;A128&amp;LEN(B128)&amp;":"&amp;B128&amp;LEN(C128)&amp;":"&amp;C128&amp;LEN(D128)&amp;":"&amp;D128)</x:f>
      </x:c>
      <x:c r="M128" t="str">
        <x:f>IF(COUNTA(A128:F128)=0,"",IF(ISNUMBER(E128),1,0))</x:f>
      </x:c>
    </x:row>
    <x:row r="129">
      <x:c r="A129" s="11"/>
      <x:c r="B129" s="11"/>
      <x:c r="C129" s="11"/>
      <x:c r="D129" s="11"/>
      <x:c r="E129" s="12"/>
      <x:c r="F129" s="10"/>
      <x:c r="G129" s="2" t="str">
        <x:f>IF(COUNTA(A129:F129)=0,"",COUNTIFS('App Data'!$L$2:$L$1001,SUBSTITUTE(SUBSTITUTE(SUBSTITUTE(L129,"~","~~"),"*","~*"),"?","~?")))</x:f>
      </x:c>
      <x:c r="H129" s="2" t="str">
        <x:f>IF(COUNTA(A129:F129)=0,"",COUNTIFS('External Data'!$L$2:$L$1001,SUBSTITUTE(SUBSTITUTE(SUBSTITUTE(L129,"~","~~"),"*","~*"),"?","~?")))</x:f>
      </x:c>
      <x:c r="I129" s="13" t="str">
        <x:f>IF(OR(H129&lt;&gt;1,G129&lt;&gt;1),"",SUMIFS('External Data'!$E$2:$E$1001,'External Data'!$L$2:$L$1001,SUBSTITUTE(SUBSTITUTE(SUBSTITUTE(L129,"~","~~"),"*","~*"),"?","~?")))</x:f>
      </x:c>
      <x:c r="J129" s="13" t="str">
        <x:f>IF(OR(NOT(ISNUMBER(E129)),NOT(ISNUMBER(I129))),"",ROUND(E129-I129,2))</x:f>
      </x:c>
      <x:c r="K129" s="2" t="str">
        <x:f>IF(COUNTA(A129:F129)=0,"",IF(OR(A129="",B129="",C129="",D129="",NOT(ISNUMBER(E129))),"Missing / invalid input",IF(G129&gt;1,"Duplicate key in this source",IF(H129=0,"Missing in other source",IF(H129&gt;1,"Duplicate in other source",IF(SUMIFS('External Data'!$M$2:$M$1001,'External Data'!$L$2:$L$1001,SUBSTITUTE(SUBSTITUTE(SUBSTITUTE(L129,"~","~~"),"*","~*"),"?","~?"))&lt;&gt;1,"Other amount is invalid",IF(J129&lt;&gt;0,"Amount differs","Matched")))))))</x:f>
      </x:c>
      <x:c r="L129" t="str">
        <x:f>IF(COUNTA(A129:F129)=0,"",LEN(A129)&amp;":"&amp;A129&amp;LEN(B129)&amp;":"&amp;B129&amp;LEN(C129)&amp;":"&amp;C129&amp;LEN(D129)&amp;":"&amp;D129)</x:f>
      </x:c>
      <x:c r="M129" t="str">
        <x:f>IF(COUNTA(A129:F129)=0,"",IF(ISNUMBER(E129),1,0))</x:f>
      </x:c>
    </x:row>
    <x:row r="130">
      <x:c r="A130" s="11"/>
      <x:c r="B130" s="11"/>
      <x:c r="C130" s="11"/>
      <x:c r="D130" s="11"/>
      <x:c r="E130" s="12"/>
      <x:c r="F130" s="10"/>
      <x:c r="G130" s="2" t="str">
        <x:f>IF(COUNTA(A130:F130)=0,"",COUNTIFS('App Data'!$L$2:$L$1001,SUBSTITUTE(SUBSTITUTE(SUBSTITUTE(L130,"~","~~"),"*","~*"),"?","~?")))</x:f>
      </x:c>
      <x:c r="H130" s="2" t="str">
        <x:f>IF(COUNTA(A130:F130)=0,"",COUNTIFS('External Data'!$L$2:$L$1001,SUBSTITUTE(SUBSTITUTE(SUBSTITUTE(L130,"~","~~"),"*","~*"),"?","~?")))</x:f>
      </x:c>
      <x:c r="I130" s="13" t="str">
        <x:f>IF(OR(H130&lt;&gt;1,G130&lt;&gt;1),"",SUMIFS('External Data'!$E$2:$E$1001,'External Data'!$L$2:$L$1001,SUBSTITUTE(SUBSTITUTE(SUBSTITUTE(L130,"~","~~"),"*","~*"),"?","~?")))</x:f>
      </x:c>
      <x:c r="J130" s="13" t="str">
        <x:f>IF(OR(NOT(ISNUMBER(E130)),NOT(ISNUMBER(I130))),"",ROUND(E130-I130,2))</x:f>
      </x:c>
      <x:c r="K130" s="2" t="str">
        <x:f>IF(COUNTA(A130:F130)=0,"",IF(OR(A130="",B130="",C130="",D130="",NOT(ISNUMBER(E130))),"Missing / invalid input",IF(G130&gt;1,"Duplicate key in this source",IF(H130=0,"Missing in other source",IF(H130&gt;1,"Duplicate in other source",IF(SUMIFS('External Data'!$M$2:$M$1001,'External Data'!$L$2:$L$1001,SUBSTITUTE(SUBSTITUTE(SUBSTITUTE(L130,"~","~~"),"*","~*"),"?","~?"))&lt;&gt;1,"Other amount is invalid",IF(J130&lt;&gt;0,"Amount differs","Matched")))))))</x:f>
      </x:c>
      <x:c r="L130" t="str">
        <x:f>IF(COUNTA(A130:F130)=0,"",LEN(A130)&amp;":"&amp;A130&amp;LEN(B130)&amp;":"&amp;B130&amp;LEN(C130)&amp;":"&amp;C130&amp;LEN(D130)&amp;":"&amp;D130)</x:f>
      </x:c>
      <x:c r="M130" t="str">
        <x:f>IF(COUNTA(A130:F130)=0,"",IF(ISNUMBER(E130),1,0))</x:f>
      </x:c>
    </x:row>
    <x:row r="131">
      <x:c r="A131" s="11"/>
      <x:c r="B131" s="11"/>
      <x:c r="C131" s="11"/>
      <x:c r="D131" s="11"/>
      <x:c r="E131" s="12"/>
      <x:c r="F131" s="10"/>
      <x:c r="G131" s="2" t="str">
        <x:f>IF(COUNTA(A131:F131)=0,"",COUNTIFS('App Data'!$L$2:$L$1001,SUBSTITUTE(SUBSTITUTE(SUBSTITUTE(L131,"~","~~"),"*","~*"),"?","~?")))</x:f>
      </x:c>
      <x:c r="H131" s="2" t="str">
        <x:f>IF(COUNTA(A131:F131)=0,"",COUNTIFS('External Data'!$L$2:$L$1001,SUBSTITUTE(SUBSTITUTE(SUBSTITUTE(L131,"~","~~"),"*","~*"),"?","~?")))</x:f>
      </x:c>
      <x:c r="I131" s="13" t="str">
        <x:f>IF(OR(H131&lt;&gt;1,G131&lt;&gt;1),"",SUMIFS('External Data'!$E$2:$E$1001,'External Data'!$L$2:$L$1001,SUBSTITUTE(SUBSTITUTE(SUBSTITUTE(L131,"~","~~"),"*","~*"),"?","~?")))</x:f>
      </x:c>
      <x:c r="J131" s="13" t="str">
        <x:f>IF(OR(NOT(ISNUMBER(E131)),NOT(ISNUMBER(I131))),"",ROUND(E131-I131,2))</x:f>
      </x:c>
      <x:c r="K131" s="2" t="str">
        <x:f>IF(COUNTA(A131:F131)=0,"",IF(OR(A131="",B131="",C131="",D131="",NOT(ISNUMBER(E131))),"Missing / invalid input",IF(G131&gt;1,"Duplicate key in this source",IF(H131=0,"Missing in other source",IF(H131&gt;1,"Duplicate in other source",IF(SUMIFS('External Data'!$M$2:$M$1001,'External Data'!$L$2:$L$1001,SUBSTITUTE(SUBSTITUTE(SUBSTITUTE(L131,"~","~~"),"*","~*"),"?","~?"))&lt;&gt;1,"Other amount is invalid",IF(J131&lt;&gt;0,"Amount differs","Matched")))))))</x:f>
      </x:c>
      <x:c r="L131" t="str">
        <x:f>IF(COUNTA(A131:F131)=0,"",LEN(A131)&amp;":"&amp;A131&amp;LEN(B131)&amp;":"&amp;B131&amp;LEN(C131)&amp;":"&amp;C131&amp;LEN(D131)&amp;":"&amp;D131)</x:f>
      </x:c>
      <x:c r="M131" t="str">
        <x:f>IF(COUNTA(A131:F131)=0,"",IF(ISNUMBER(E131),1,0))</x:f>
      </x:c>
    </x:row>
    <x:row r="132">
      <x:c r="A132" s="11"/>
      <x:c r="B132" s="11"/>
      <x:c r="C132" s="11"/>
      <x:c r="D132" s="11"/>
      <x:c r="E132" s="12"/>
      <x:c r="F132" s="10"/>
      <x:c r="G132" s="2" t="str">
        <x:f>IF(COUNTA(A132:F132)=0,"",COUNTIFS('App Data'!$L$2:$L$1001,SUBSTITUTE(SUBSTITUTE(SUBSTITUTE(L132,"~","~~"),"*","~*"),"?","~?")))</x:f>
      </x:c>
      <x:c r="H132" s="2" t="str">
        <x:f>IF(COUNTA(A132:F132)=0,"",COUNTIFS('External Data'!$L$2:$L$1001,SUBSTITUTE(SUBSTITUTE(SUBSTITUTE(L132,"~","~~"),"*","~*"),"?","~?")))</x:f>
      </x:c>
      <x:c r="I132" s="13" t="str">
        <x:f>IF(OR(H132&lt;&gt;1,G132&lt;&gt;1),"",SUMIFS('External Data'!$E$2:$E$1001,'External Data'!$L$2:$L$1001,SUBSTITUTE(SUBSTITUTE(SUBSTITUTE(L132,"~","~~"),"*","~*"),"?","~?")))</x:f>
      </x:c>
      <x:c r="J132" s="13" t="str">
        <x:f>IF(OR(NOT(ISNUMBER(E132)),NOT(ISNUMBER(I132))),"",ROUND(E132-I132,2))</x:f>
      </x:c>
      <x:c r="K132" s="2" t="str">
        <x:f>IF(COUNTA(A132:F132)=0,"",IF(OR(A132="",B132="",C132="",D132="",NOT(ISNUMBER(E132))),"Missing / invalid input",IF(G132&gt;1,"Duplicate key in this source",IF(H132=0,"Missing in other source",IF(H132&gt;1,"Duplicate in other source",IF(SUMIFS('External Data'!$M$2:$M$1001,'External Data'!$L$2:$L$1001,SUBSTITUTE(SUBSTITUTE(SUBSTITUTE(L132,"~","~~"),"*","~*"),"?","~?"))&lt;&gt;1,"Other amount is invalid",IF(J132&lt;&gt;0,"Amount differs","Matched")))))))</x:f>
      </x:c>
      <x:c r="L132" t="str">
        <x:f>IF(COUNTA(A132:F132)=0,"",LEN(A132)&amp;":"&amp;A132&amp;LEN(B132)&amp;":"&amp;B132&amp;LEN(C132)&amp;":"&amp;C132&amp;LEN(D132)&amp;":"&amp;D132)</x:f>
      </x:c>
      <x:c r="M132" t="str">
        <x:f>IF(COUNTA(A132:F132)=0,"",IF(ISNUMBER(E132),1,0))</x:f>
      </x:c>
    </x:row>
    <x:row r="133">
      <x:c r="A133" s="11"/>
      <x:c r="B133" s="11"/>
      <x:c r="C133" s="11"/>
      <x:c r="D133" s="11"/>
      <x:c r="E133" s="12"/>
      <x:c r="F133" s="10"/>
      <x:c r="G133" s="2" t="str">
        <x:f>IF(COUNTA(A133:F133)=0,"",COUNTIFS('App Data'!$L$2:$L$1001,SUBSTITUTE(SUBSTITUTE(SUBSTITUTE(L133,"~","~~"),"*","~*"),"?","~?")))</x:f>
      </x:c>
      <x:c r="H133" s="2" t="str">
        <x:f>IF(COUNTA(A133:F133)=0,"",COUNTIFS('External Data'!$L$2:$L$1001,SUBSTITUTE(SUBSTITUTE(SUBSTITUTE(L133,"~","~~"),"*","~*"),"?","~?")))</x:f>
      </x:c>
      <x:c r="I133" s="13" t="str">
        <x:f>IF(OR(H133&lt;&gt;1,G133&lt;&gt;1),"",SUMIFS('External Data'!$E$2:$E$1001,'External Data'!$L$2:$L$1001,SUBSTITUTE(SUBSTITUTE(SUBSTITUTE(L133,"~","~~"),"*","~*"),"?","~?")))</x:f>
      </x:c>
      <x:c r="J133" s="13" t="str">
        <x:f>IF(OR(NOT(ISNUMBER(E133)),NOT(ISNUMBER(I133))),"",ROUND(E133-I133,2))</x:f>
      </x:c>
      <x:c r="K133" s="2" t="str">
        <x:f>IF(COUNTA(A133:F133)=0,"",IF(OR(A133="",B133="",C133="",D133="",NOT(ISNUMBER(E133))),"Missing / invalid input",IF(G133&gt;1,"Duplicate key in this source",IF(H133=0,"Missing in other source",IF(H133&gt;1,"Duplicate in other source",IF(SUMIFS('External Data'!$M$2:$M$1001,'External Data'!$L$2:$L$1001,SUBSTITUTE(SUBSTITUTE(SUBSTITUTE(L133,"~","~~"),"*","~*"),"?","~?"))&lt;&gt;1,"Other amount is invalid",IF(J133&lt;&gt;0,"Amount differs","Matched")))))))</x:f>
      </x:c>
      <x:c r="L133" t="str">
        <x:f>IF(COUNTA(A133:F133)=0,"",LEN(A133)&amp;":"&amp;A133&amp;LEN(B133)&amp;":"&amp;B133&amp;LEN(C133)&amp;":"&amp;C133&amp;LEN(D133)&amp;":"&amp;D133)</x:f>
      </x:c>
      <x:c r="M133" t="str">
        <x:f>IF(COUNTA(A133:F133)=0,"",IF(ISNUMBER(E133),1,0))</x:f>
      </x:c>
    </x:row>
    <x:row r="134">
      <x:c r="A134" s="11"/>
      <x:c r="B134" s="11"/>
      <x:c r="C134" s="11"/>
      <x:c r="D134" s="11"/>
      <x:c r="E134" s="12"/>
      <x:c r="F134" s="10"/>
      <x:c r="G134" s="2" t="str">
        <x:f>IF(COUNTA(A134:F134)=0,"",COUNTIFS('App Data'!$L$2:$L$1001,SUBSTITUTE(SUBSTITUTE(SUBSTITUTE(L134,"~","~~"),"*","~*"),"?","~?")))</x:f>
      </x:c>
      <x:c r="H134" s="2" t="str">
        <x:f>IF(COUNTA(A134:F134)=0,"",COUNTIFS('External Data'!$L$2:$L$1001,SUBSTITUTE(SUBSTITUTE(SUBSTITUTE(L134,"~","~~"),"*","~*"),"?","~?")))</x:f>
      </x:c>
      <x:c r="I134" s="13" t="str">
        <x:f>IF(OR(H134&lt;&gt;1,G134&lt;&gt;1),"",SUMIFS('External Data'!$E$2:$E$1001,'External Data'!$L$2:$L$1001,SUBSTITUTE(SUBSTITUTE(SUBSTITUTE(L134,"~","~~"),"*","~*"),"?","~?")))</x:f>
      </x:c>
      <x:c r="J134" s="13" t="str">
        <x:f>IF(OR(NOT(ISNUMBER(E134)),NOT(ISNUMBER(I134))),"",ROUND(E134-I134,2))</x:f>
      </x:c>
      <x:c r="K134" s="2" t="str">
        <x:f>IF(COUNTA(A134:F134)=0,"",IF(OR(A134="",B134="",C134="",D134="",NOT(ISNUMBER(E134))),"Missing / invalid input",IF(G134&gt;1,"Duplicate key in this source",IF(H134=0,"Missing in other source",IF(H134&gt;1,"Duplicate in other source",IF(SUMIFS('External Data'!$M$2:$M$1001,'External Data'!$L$2:$L$1001,SUBSTITUTE(SUBSTITUTE(SUBSTITUTE(L134,"~","~~"),"*","~*"),"?","~?"))&lt;&gt;1,"Other amount is invalid",IF(J134&lt;&gt;0,"Amount differs","Matched")))))))</x:f>
      </x:c>
      <x:c r="L134" t="str">
        <x:f>IF(COUNTA(A134:F134)=0,"",LEN(A134)&amp;":"&amp;A134&amp;LEN(B134)&amp;":"&amp;B134&amp;LEN(C134)&amp;":"&amp;C134&amp;LEN(D134)&amp;":"&amp;D134)</x:f>
      </x:c>
      <x:c r="M134" t="str">
        <x:f>IF(COUNTA(A134:F134)=0,"",IF(ISNUMBER(E134),1,0))</x:f>
      </x:c>
    </x:row>
    <x:row r="135">
      <x:c r="A135" s="11"/>
      <x:c r="B135" s="11"/>
      <x:c r="C135" s="11"/>
      <x:c r="D135" s="11"/>
      <x:c r="E135" s="12"/>
      <x:c r="F135" s="10"/>
      <x:c r="G135" s="2" t="str">
        <x:f>IF(COUNTA(A135:F135)=0,"",COUNTIFS('App Data'!$L$2:$L$1001,SUBSTITUTE(SUBSTITUTE(SUBSTITUTE(L135,"~","~~"),"*","~*"),"?","~?")))</x:f>
      </x:c>
      <x:c r="H135" s="2" t="str">
        <x:f>IF(COUNTA(A135:F135)=0,"",COUNTIFS('External Data'!$L$2:$L$1001,SUBSTITUTE(SUBSTITUTE(SUBSTITUTE(L135,"~","~~"),"*","~*"),"?","~?")))</x:f>
      </x:c>
      <x:c r="I135" s="13" t="str">
        <x:f>IF(OR(H135&lt;&gt;1,G135&lt;&gt;1),"",SUMIFS('External Data'!$E$2:$E$1001,'External Data'!$L$2:$L$1001,SUBSTITUTE(SUBSTITUTE(SUBSTITUTE(L135,"~","~~"),"*","~*"),"?","~?")))</x:f>
      </x:c>
      <x:c r="J135" s="13" t="str">
        <x:f>IF(OR(NOT(ISNUMBER(E135)),NOT(ISNUMBER(I135))),"",ROUND(E135-I135,2))</x:f>
      </x:c>
      <x:c r="K135" s="2" t="str">
        <x:f>IF(COUNTA(A135:F135)=0,"",IF(OR(A135="",B135="",C135="",D135="",NOT(ISNUMBER(E135))),"Missing / invalid input",IF(G135&gt;1,"Duplicate key in this source",IF(H135=0,"Missing in other source",IF(H135&gt;1,"Duplicate in other source",IF(SUMIFS('External Data'!$M$2:$M$1001,'External Data'!$L$2:$L$1001,SUBSTITUTE(SUBSTITUTE(SUBSTITUTE(L135,"~","~~"),"*","~*"),"?","~?"))&lt;&gt;1,"Other amount is invalid",IF(J135&lt;&gt;0,"Amount differs","Matched")))))))</x:f>
      </x:c>
      <x:c r="L135" t="str">
        <x:f>IF(COUNTA(A135:F135)=0,"",LEN(A135)&amp;":"&amp;A135&amp;LEN(B135)&amp;":"&amp;B135&amp;LEN(C135)&amp;":"&amp;C135&amp;LEN(D135)&amp;":"&amp;D135)</x:f>
      </x:c>
      <x:c r="M135" t="str">
        <x:f>IF(COUNTA(A135:F135)=0,"",IF(ISNUMBER(E135),1,0))</x:f>
      </x:c>
    </x:row>
    <x:row r="136">
      <x:c r="A136" s="11"/>
      <x:c r="B136" s="11"/>
      <x:c r="C136" s="11"/>
      <x:c r="D136" s="11"/>
      <x:c r="E136" s="12"/>
      <x:c r="F136" s="10"/>
      <x:c r="G136" s="2" t="str">
        <x:f>IF(COUNTA(A136:F136)=0,"",COUNTIFS('App Data'!$L$2:$L$1001,SUBSTITUTE(SUBSTITUTE(SUBSTITUTE(L136,"~","~~"),"*","~*"),"?","~?")))</x:f>
      </x:c>
      <x:c r="H136" s="2" t="str">
        <x:f>IF(COUNTA(A136:F136)=0,"",COUNTIFS('External Data'!$L$2:$L$1001,SUBSTITUTE(SUBSTITUTE(SUBSTITUTE(L136,"~","~~"),"*","~*"),"?","~?")))</x:f>
      </x:c>
      <x:c r="I136" s="13" t="str">
        <x:f>IF(OR(H136&lt;&gt;1,G136&lt;&gt;1),"",SUMIFS('External Data'!$E$2:$E$1001,'External Data'!$L$2:$L$1001,SUBSTITUTE(SUBSTITUTE(SUBSTITUTE(L136,"~","~~"),"*","~*"),"?","~?")))</x:f>
      </x:c>
      <x:c r="J136" s="13" t="str">
        <x:f>IF(OR(NOT(ISNUMBER(E136)),NOT(ISNUMBER(I136))),"",ROUND(E136-I136,2))</x:f>
      </x:c>
      <x:c r="K136" s="2" t="str">
        <x:f>IF(COUNTA(A136:F136)=0,"",IF(OR(A136="",B136="",C136="",D136="",NOT(ISNUMBER(E136))),"Missing / invalid input",IF(G136&gt;1,"Duplicate key in this source",IF(H136=0,"Missing in other source",IF(H136&gt;1,"Duplicate in other source",IF(SUMIFS('External Data'!$M$2:$M$1001,'External Data'!$L$2:$L$1001,SUBSTITUTE(SUBSTITUTE(SUBSTITUTE(L136,"~","~~"),"*","~*"),"?","~?"))&lt;&gt;1,"Other amount is invalid",IF(J136&lt;&gt;0,"Amount differs","Matched")))))))</x:f>
      </x:c>
      <x:c r="L136" t="str">
        <x:f>IF(COUNTA(A136:F136)=0,"",LEN(A136)&amp;":"&amp;A136&amp;LEN(B136)&amp;":"&amp;B136&amp;LEN(C136)&amp;":"&amp;C136&amp;LEN(D136)&amp;":"&amp;D136)</x:f>
      </x:c>
      <x:c r="M136" t="str">
        <x:f>IF(COUNTA(A136:F136)=0,"",IF(ISNUMBER(E136),1,0))</x:f>
      </x:c>
    </x:row>
    <x:row r="137">
      <x:c r="A137" s="11"/>
      <x:c r="B137" s="11"/>
      <x:c r="C137" s="11"/>
      <x:c r="D137" s="11"/>
      <x:c r="E137" s="12"/>
      <x:c r="F137" s="10"/>
      <x:c r="G137" s="2" t="str">
        <x:f>IF(COUNTA(A137:F137)=0,"",COUNTIFS('App Data'!$L$2:$L$1001,SUBSTITUTE(SUBSTITUTE(SUBSTITUTE(L137,"~","~~"),"*","~*"),"?","~?")))</x:f>
      </x:c>
      <x:c r="H137" s="2" t="str">
        <x:f>IF(COUNTA(A137:F137)=0,"",COUNTIFS('External Data'!$L$2:$L$1001,SUBSTITUTE(SUBSTITUTE(SUBSTITUTE(L137,"~","~~"),"*","~*"),"?","~?")))</x:f>
      </x:c>
      <x:c r="I137" s="13" t="str">
        <x:f>IF(OR(H137&lt;&gt;1,G137&lt;&gt;1),"",SUMIFS('External Data'!$E$2:$E$1001,'External Data'!$L$2:$L$1001,SUBSTITUTE(SUBSTITUTE(SUBSTITUTE(L137,"~","~~"),"*","~*"),"?","~?")))</x:f>
      </x:c>
      <x:c r="J137" s="13" t="str">
        <x:f>IF(OR(NOT(ISNUMBER(E137)),NOT(ISNUMBER(I137))),"",ROUND(E137-I137,2))</x:f>
      </x:c>
      <x:c r="K137" s="2" t="str">
        <x:f>IF(COUNTA(A137:F137)=0,"",IF(OR(A137="",B137="",C137="",D137="",NOT(ISNUMBER(E137))),"Missing / invalid input",IF(G137&gt;1,"Duplicate key in this source",IF(H137=0,"Missing in other source",IF(H137&gt;1,"Duplicate in other source",IF(SUMIFS('External Data'!$M$2:$M$1001,'External Data'!$L$2:$L$1001,SUBSTITUTE(SUBSTITUTE(SUBSTITUTE(L137,"~","~~"),"*","~*"),"?","~?"))&lt;&gt;1,"Other amount is invalid",IF(J137&lt;&gt;0,"Amount differs","Matched")))))))</x:f>
      </x:c>
      <x:c r="L137" t="str">
        <x:f>IF(COUNTA(A137:F137)=0,"",LEN(A137)&amp;":"&amp;A137&amp;LEN(B137)&amp;":"&amp;B137&amp;LEN(C137)&amp;":"&amp;C137&amp;LEN(D137)&amp;":"&amp;D137)</x:f>
      </x:c>
      <x:c r="M137" t="str">
        <x:f>IF(COUNTA(A137:F137)=0,"",IF(ISNUMBER(E137),1,0))</x:f>
      </x:c>
    </x:row>
    <x:row r="138">
      <x:c r="A138" s="11"/>
      <x:c r="B138" s="11"/>
      <x:c r="C138" s="11"/>
      <x:c r="D138" s="11"/>
      <x:c r="E138" s="12"/>
      <x:c r="F138" s="10"/>
      <x:c r="G138" s="2" t="str">
        <x:f>IF(COUNTA(A138:F138)=0,"",COUNTIFS('App Data'!$L$2:$L$1001,SUBSTITUTE(SUBSTITUTE(SUBSTITUTE(L138,"~","~~"),"*","~*"),"?","~?")))</x:f>
      </x:c>
      <x:c r="H138" s="2" t="str">
        <x:f>IF(COUNTA(A138:F138)=0,"",COUNTIFS('External Data'!$L$2:$L$1001,SUBSTITUTE(SUBSTITUTE(SUBSTITUTE(L138,"~","~~"),"*","~*"),"?","~?")))</x:f>
      </x:c>
      <x:c r="I138" s="13" t="str">
        <x:f>IF(OR(H138&lt;&gt;1,G138&lt;&gt;1),"",SUMIFS('External Data'!$E$2:$E$1001,'External Data'!$L$2:$L$1001,SUBSTITUTE(SUBSTITUTE(SUBSTITUTE(L138,"~","~~"),"*","~*"),"?","~?")))</x:f>
      </x:c>
      <x:c r="J138" s="13" t="str">
        <x:f>IF(OR(NOT(ISNUMBER(E138)),NOT(ISNUMBER(I138))),"",ROUND(E138-I138,2))</x:f>
      </x:c>
      <x:c r="K138" s="2" t="str">
        <x:f>IF(COUNTA(A138:F138)=0,"",IF(OR(A138="",B138="",C138="",D138="",NOT(ISNUMBER(E138))),"Missing / invalid input",IF(G138&gt;1,"Duplicate key in this source",IF(H138=0,"Missing in other source",IF(H138&gt;1,"Duplicate in other source",IF(SUMIFS('External Data'!$M$2:$M$1001,'External Data'!$L$2:$L$1001,SUBSTITUTE(SUBSTITUTE(SUBSTITUTE(L138,"~","~~"),"*","~*"),"?","~?"))&lt;&gt;1,"Other amount is invalid",IF(J138&lt;&gt;0,"Amount differs","Matched")))))))</x:f>
      </x:c>
      <x:c r="L138" t="str">
        <x:f>IF(COUNTA(A138:F138)=0,"",LEN(A138)&amp;":"&amp;A138&amp;LEN(B138)&amp;":"&amp;B138&amp;LEN(C138)&amp;":"&amp;C138&amp;LEN(D138)&amp;":"&amp;D138)</x:f>
      </x:c>
      <x:c r="M138" t="str">
        <x:f>IF(COUNTA(A138:F138)=0,"",IF(ISNUMBER(E138),1,0))</x:f>
      </x:c>
    </x:row>
    <x:row r="139">
      <x:c r="A139" s="11"/>
      <x:c r="B139" s="11"/>
      <x:c r="C139" s="11"/>
      <x:c r="D139" s="11"/>
      <x:c r="E139" s="12"/>
      <x:c r="F139" s="10"/>
      <x:c r="G139" s="2" t="str">
        <x:f>IF(COUNTA(A139:F139)=0,"",COUNTIFS('App Data'!$L$2:$L$1001,SUBSTITUTE(SUBSTITUTE(SUBSTITUTE(L139,"~","~~"),"*","~*"),"?","~?")))</x:f>
      </x:c>
      <x:c r="H139" s="2" t="str">
        <x:f>IF(COUNTA(A139:F139)=0,"",COUNTIFS('External Data'!$L$2:$L$1001,SUBSTITUTE(SUBSTITUTE(SUBSTITUTE(L139,"~","~~"),"*","~*"),"?","~?")))</x:f>
      </x:c>
      <x:c r="I139" s="13" t="str">
        <x:f>IF(OR(H139&lt;&gt;1,G139&lt;&gt;1),"",SUMIFS('External Data'!$E$2:$E$1001,'External Data'!$L$2:$L$1001,SUBSTITUTE(SUBSTITUTE(SUBSTITUTE(L139,"~","~~"),"*","~*"),"?","~?")))</x:f>
      </x:c>
      <x:c r="J139" s="13" t="str">
        <x:f>IF(OR(NOT(ISNUMBER(E139)),NOT(ISNUMBER(I139))),"",ROUND(E139-I139,2))</x:f>
      </x:c>
      <x:c r="K139" s="2" t="str">
        <x:f>IF(COUNTA(A139:F139)=0,"",IF(OR(A139="",B139="",C139="",D139="",NOT(ISNUMBER(E139))),"Missing / invalid input",IF(G139&gt;1,"Duplicate key in this source",IF(H139=0,"Missing in other source",IF(H139&gt;1,"Duplicate in other source",IF(SUMIFS('External Data'!$M$2:$M$1001,'External Data'!$L$2:$L$1001,SUBSTITUTE(SUBSTITUTE(SUBSTITUTE(L139,"~","~~"),"*","~*"),"?","~?"))&lt;&gt;1,"Other amount is invalid",IF(J139&lt;&gt;0,"Amount differs","Matched")))))))</x:f>
      </x:c>
      <x:c r="L139" t="str">
        <x:f>IF(COUNTA(A139:F139)=0,"",LEN(A139)&amp;":"&amp;A139&amp;LEN(B139)&amp;":"&amp;B139&amp;LEN(C139)&amp;":"&amp;C139&amp;LEN(D139)&amp;":"&amp;D139)</x:f>
      </x:c>
      <x:c r="M139" t="str">
        <x:f>IF(COUNTA(A139:F139)=0,"",IF(ISNUMBER(E139),1,0))</x:f>
      </x:c>
    </x:row>
    <x:row r="140">
      <x:c r="A140" s="11"/>
      <x:c r="B140" s="11"/>
      <x:c r="C140" s="11"/>
      <x:c r="D140" s="11"/>
      <x:c r="E140" s="12"/>
      <x:c r="F140" s="10"/>
      <x:c r="G140" s="2" t="str">
        <x:f>IF(COUNTA(A140:F140)=0,"",COUNTIFS('App Data'!$L$2:$L$1001,SUBSTITUTE(SUBSTITUTE(SUBSTITUTE(L140,"~","~~"),"*","~*"),"?","~?")))</x:f>
      </x:c>
      <x:c r="H140" s="2" t="str">
        <x:f>IF(COUNTA(A140:F140)=0,"",COUNTIFS('External Data'!$L$2:$L$1001,SUBSTITUTE(SUBSTITUTE(SUBSTITUTE(L140,"~","~~"),"*","~*"),"?","~?")))</x:f>
      </x:c>
      <x:c r="I140" s="13" t="str">
        <x:f>IF(OR(H140&lt;&gt;1,G140&lt;&gt;1),"",SUMIFS('External Data'!$E$2:$E$1001,'External Data'!$L$2:$L$1001,SUBSTITUTE(SUBSTITUTE(SUBSTITUTE(L140,"~","~~"),"*","~*"),"?","~?")))</x:f>
      </x:c>
      <x:c r="J140" s="13" t="str">
        <x:f>IF(OR(NOT(ISNUMBER(E140)),NOT(ISNUMBER(I140))),"",ROUND(E140-I140,2))</x:f>
      </x:c>
      <x:c r="K140" s="2" t="str">
        <x:f>IF(COUNTA(A140:F140)=0,"",IF(OR(A140="",B140="",C140="",D140="",NOT(ISNUMBER(E140))),"Missing / invalid input",IF(G140&gt;1,"Duplicate key in this source",IF(H140=0,"Missing in other source",IF(H140&gt;1,"Duplicate in other source",IF(SUMIFS('External Data'!$M$2:$M$1001,'External Data'!$L$2:$L$1001,SUBSTITUTE(SUBSTITUTE(SUBSTITUTE(L140,"~","~~"),"*","~*"),"?","~?"))&lt;&gt;1,"Other amount is invalid",IF(J140&lt;&gt;0,"Amount differs","Matched")))))))</x:f>
      </x:c>
      <x:c r="L140" t="str">
        <x:f>IF(COUNTA(A140:F140)=0,"",LEN(A140)&amp;":"&amp;A140&amp;LEN(B140)&amp;":"&amp;B140&amp;LEN(C140)&amp;":"&amp;C140&amp;LEN(D140)&amp;":"&amp;D140)</x:f>
      </x:c>
      <x:c r="M140" t="str">
        <x:f>IF(COUNTA(A140:F140)=0,"",IF(ISNUMBER(E140),1,0))</x:f>
      </x:c>
    </x:row>
    <x:row r="141">
      <x:c r="A141" s="11"/>
      <x:c r="B141" s="11"/>
      <x:c r="C141" s="11"/>
      <x:c r="D141" s="11"/>
      <x:c r="E141" s="12"/>
      <x:c r="F141" s="10"/>
      <x:c r="G141" s="2" t="str">
        <x:f>IF(COUNTA(A141:F141)=0,"",COUNTIFS('App Data'!$L$2:$L$1001,SUBSTITUTE(SUBSTITUTE(SUBSTITUTE(L141,"~","~~"),"*","~*"),"?","~?")))</x:f>
      </x:c>
      <x:c r="H141" s="2" t="str">
        <x:f>IF(COUNTA(A141:F141)=0,"",COUNTIFS('External Data'!$L$2:$L$1001,SUBSTITUTE(SUBSTITUTE(SUBSTITUTE(L141,"~","~~"),"*","~*"),"?","~?")))</x:f>
      </x:c>
      <x:c r="I141" s="13" t="str">
        <x:f>IF(OR(H141&lt;&gt;1,G141&lt;&gt;1),"",SUMIFS('External Data'!$E$2:$E$1001,'External Data'!$L$2:$L$1001,SUBSTITUTE(SUBSTITUTE(SUBSTITUTE(L141,"~","~~"),"*","~*"),"?","~?")))</x:f>
      </x:c>
      <x:c r="J141" s="13" t="str">
        <x:f>IF(OR(NOT(ISNUMBER(E141)),NOT(ISNUMBER(I141))),"",ROUND(E141-I141,2))</x:f>
      </x:c>
      <x:c r="K141" s="2" t="str">
        <x:f>IF(COUNTA(A141:F141)=0,"",IF(OR(A141="",B141="",C141="",D141="",NOT(ISNUMBER(E141))),"Missing / invalid input",IF(G141&gt;1,"Duplicate key in this source",IF(H141=0,"Missing in other source",IF(H141&gt;1,"Duplicate in other source",IF(SUMIFS('External Data'!$M$2:$M$1001,'External Data'!$L$2:$L$1001,SUBSTITUTE(SUBSTITUTE(SUBSTITUTE(L141,"~","~~"),"*","~*"),"?","~?"))&lt;&gt;1,"Other amount is invalid",IF(J141&lt;&gt;0,"Amount differs","Matched")))))))</x:f>
      </x:c>
      <x:c r="L141" t="str">
        <x:f>IF(COUNTA(A141:F141)=0,"",LEN(A141)&amp;":"&amp;A141&amp;LEN(B141)&amp;":"&amp;B141&amp;LEN(C141)&amp;":"&amp;C141&amp;LEN(D141)&amp;":"&amp;D141)</x:f>
      </x:c>
      <x:c r="M141" t="str">
        <x:f>IF(COUNTA(A141:F141)=0,"",IF(ISNUMBER(E141),1,0))</x:f>
      </x:c>
    </x:row>
    <x:row r="142">
      <x:c r="A142" s="11"/>
      <x:c r="B142" s="11"/>
      <x:c r="C142" s="11"/>
      <x:c r="D142" s="11"/>
      <x:c r="E142" s="12"/>
      <x:c r="F142" s="10"/>
      <x:c r="G142" s="2" t="str">
        <x:f>IF(COUNTA(A142:F142)=0,"",COUNTIFS('App Data'!$L$2:$L$1001,SUBSTITUTE(SUBSTITUTE(SUBSTITUTE(L142,"~","~~"),"*","~*"),"?","~?")))</x:f>
      </x:c>
      <x:c r="H142" s="2" t="str">
        <x:f>IF(COUNTA(A142:F142)=0,"",COUNTIFS('External Data'!$L$2:$L$1001,SUBSTITUTE(SUBSTITUTE(SUBSTITUTE(L142,"~","~~"),"*","~*"),"?","~?")))</x:f>
      </x:c>
      <x:c r="I142" s="13" t="str">
        <x:f>IF(OR(H142&lt;&gt;1,G142&lt;&gt;1),"",SUMIFS('External Data'!$E$2:$E$1001,'External Data'!$L$2:$L$1001,SUBSTITUTE(SUBSTITUTE(SUBSTITUTE(L142,"~","~~"),"*","~*"),"?","~?")))</x:f>
      </x:c>
      <x:c r="J142" s="13" t="str">
        <x:f>IF(OR(NOT(ISNUMBER(E142)),NOT(ISNUMBER(I142))),"",ROUND(E142-I142,2))</x:f>
      </x:c>
      <x:c r="K142" s="2" t="str">
        <x:f>IF(COUNTA(A142:F142)=0,"",IF(OR(A142="",B142="",C142="",D142="",NOT(ISNUMBER(E142))),"Missing / invalid input",IF(G142&gt;1,"Duplicate key in this source",IF(H142=0,"Missing in other source",IF(H142&gt;1,"Duplicate in other source",IF(SUMIFS('External Data'!$M$2:$M$1001,'External Data'!$L$2:$L$1001,SUBSTITUTE(SUBSTITUTE(SUBSTITUTE(L142,"~","~~"),"*","~*"),"?","~?"))&lt;&gt;1,"Other amount is invalid",IF(J142&lt;&gt;0,"Amount differs","Matched")))))))</x:f>
      </x:c>
      <x:c r="L142" t="str">
        <x:f>IF(COUNTA(A142:F142)=0,"",LEN(A142)&amp;":"&amp;A142&amp;LEN(B142)&amp;":"&amp;B142&amp;LEN(C142)&amp;":"&amp;C142&amp;LEN(D142)&amp;":"&amp;D142)</x:f>
      </x:c>
      <x:c r="M142" t="str">
        <x:f>IF(COUNTA(A142:F142)=0,"",IF(ISNUMBER(E142),1,0))</x:f>
      </x:c>
    </x:row>
    <x:row r="143">
      <x:c r="A143" s="11"/>
      <x:c r="B143" s="11"/>
      <x:c r="C143" s="11"/>
      <x:c r="D143" s="11"/>
      <x:c r="E143" s="12"/>
      <x:c r="F143" s="10"/>
      <x:c r="G143" s="2" t="str">
        <x:f>IF(COUNTA(A143:F143)=0,"",COUNTIFS('App Data'!$L$2:$L$1001,SUBSTITUTE(SUBSTITUTE(SUBSTITUTE(L143,"~","~~"),"*","~*"),"?","~?")))</x:f>
      </x:c>
      <x:c r="H143" s="2" t="str">
        <x:f>IF(COUNTA(A143:F143)=0,"",COUNTIFS('External Data'!$L$2:$L$1001,SUBSTITUTE(SUBSTITUTE(SUBSTITUTE(L143,"~","~~"),"*","~*"),"?","~?")))</x:f>
      </x:c>
      <x:c r="I143" s="13" t="str">
        <x:f>IF(OR(H143&lt;&gt;1,G143&lt;&gt;1),"",SUMIFS('External Data'!$E$2:$E$1001,'External Data'!$L$2:$L$1001,SUBSTITUTE(SUBSTITUTE(SUBSTITUTE(L143,"~","~~"),"*","~*"),"?","~?")))</x:f>
      </x:c>
      <x:c r="J143" s="13" t="str">
        <x:f>IF(OR(NOT(ISNUMBER(E143)),NOT(ISNUMBER(I143))),"",ROUND(E143-I143,2))</x:f>
      </x:c>
      <x:c r="K143" s="2" t="str">
        <x:f>IF(COUNTA(A143:F143)=0,"",IF(OR(A143="",B143="",C143="",D143="",NOT(ISNUMBER(E143))),"Missing / invalid input",IF(G143&gt;1,"Duplicate key in this source",IF(H143=0,"Missing in other source",IF(H143&gt;1,"Duplicate in other source",IF(SUMIFS('External Data'!$M$2:$M$1001,'External Data'!$L$2:$L$1001,SUBSTITUTE(SUBSTITUTE(SUBSTITUTE(L143,"~","~~"),"*","~*"),"?","~?"))&lt;&gt;1,"Other amount is invalid",IF(J143&lt;&gt;0,"Amount differs","Matched")))))))</x:f>
      </x:c>
      <x:c r="L143" t="str">
        <x:f>IF(COUNTA(A143:F143)=0,"",LEN(A143)&amp;":"&amp;A143&amp;LEN(B143)&amp;":"&amp;B143&amp;LEN(C143)&amp;":"&amp;C143&amp;LEN(D143)&amp;":"&amp;D143)</x:f>
      </x:c>
      <x:c r="M143" t="str">
        <x:f>IF(COUNTA(A143:F143)=0,"",IF(ISNUMBER(E143),1,0))</x:f>
      </x:c>
    </x:row>
    <x:row r="144">
      <x:c r="A144" s="11"/>
      <x:c r="B144" s="11"/>
      <x:c r="C144" s="11"/>
      <x:c r="D144" s="11"/>
      <x:c r="E144" s="12"/>
      <x:c r="F144" s="10"/>
      <x:c r="G144" s="2" t="str">
        <x:f>IF(COUNTA(A144:F144)=0,"",COUNTIFS('App Data'!$L$2:$L$1001,SUBSTITUTE(SUBSTITUTE(SUBSTITUTE(L144,"~","~~"),"*","~*"),"?","~?")))</x:f>
      </x:c>
      <x:c r="H144" s="2" t="str">
        <x:f>IF(COUNTA(A144:F144)=0,"",COUNTIFS('External Data'!$L$2:$L$1001,SUBSTITUTE(SUBSTITUTE(SUBSTITUTE(L144,"~","~~"),"*","~*"),"?","~?")))</x:f>
      </x:c>
      <x:c r="I144" s="13" t="str">
        <x:f>IF(OR(H144&lt;&gt;1,G144&lt;&gt;1),"",SUMIFS('External Data'!$E$2:$E$1001,'External Data'!$L$2:$L$1001,SUBSTITUTE(SUBSTITUTE(SUBSTITUTE(L144,"~","~~"),"*","~*"),"?","~?")))</x:f>
      </x:c>
      <x:c r="J144" s="13" t="str">
        <x:f>IF(OR(NOT(ISNUMBER(E144)),NOT(ISNUMBER(I144))),"",ROUND(E144-I144,2))</x:f>
      </x:c>
      <x:c r="K144" s="2" t="str">
        <x:f>IF(COUNTA(A144:F144)=0,"",IF(OR(A144="",B144="",C144="",D144="",NOT(ISNUMBER(E144))),"Missing / invalid input",IF(G144&gt;1,"Duplicate key in this source",IF(H144=0,"Missing in other source",IF(H144&gt;1,"Duplicate in other source",IF(SUMIFS('External Data'!$M$2:$M$1001,'External Data'!$L$2:$L$1001,SUBSTITUTE(SUBSTITUTE(SUBSTITUTE(L144,"~","~~"),"*","~*"),"?","~?"))&lt;&gt;1,"Other amount is invalid",IF(J144&lt;&gt;0,"Amount differs","Matched")))))))</x:f>
      </x:c>
      <x:c r="L144" t="str">
        <x:f>IF(COUNTA(A144:F144)=0,"",LEN(A144)&amp;":"&amp;A144&amp;LEN(B144)&amp;":"&amp;B144&amp;LEN(C144)&amp;":"&amp;C144&amp;LEN(D144)&amp;":"&amp;D144)</x:f>
      </x:c>
      <x:c r="M144" t="str">
        <x:f>IF(COUNTA(A144:F144)=0,"",IF(ISNUMBER(E144),1,0))</x:f>
      </x:c>
    </x:row>
    <x:row r="145">
      <x:c r="A145" s="11"/>
      <x:c r="B145" s="11"/>
      <x:c r="C145" s="11"/>
      <x:c r="D145" s="11"/>
      <x:c r="E145" s="12"/>
      <x:c r="F145" s="10"/>
      <x:c r="G145" s="2" t="str">
        <x:f>IF(COUNTA(A145:F145)=0,"",COUNTIFS('App Data'!$L$2:$L$1001,SUBSTITUTE(SUBSTITUTE(SUBSTITUTE(L145,"~","~~"),"*","~*"),"?","~?")))</x:f>
      </x:c>
      <x:c r="H145" s="2" t="str">
        <x:f>IF(COUNTA(A145:F145)=0,"",COUNTIFS('External Data'!$L$2:$L$1001,SUBSTITUTE(SUBSTITUTE(SUBSTITUTE(L145,"~","~~"),"*","~*"),"?","~?")))</x:f>
      </x:c>
      <x:c r="I145" s="13" t="str">
        <x:f>IF(OR(H145&lt;&gt;1,G145&lt;&gt;1),"",SUMIFS('External Data'!$E$2:$E$1001,'External Data'!$L$2:$L$1001,SUBSTITUTE(SUBSTITUTE(SUBSTITUTE(L145,"~","~~"),"*","~*"),"?","~?")))</x:f>
      </x:c>
      <x:c r="J145" s="13" t="str">
        <x:f>IF(OR(NOT(ISNUMBER(E145)),NOT(ISNUMBER(I145))),"",ROUND(E145-I145,2))</x:f>
      </x:c>
      <x:c r="K145" s="2" t="str">
        <x:f>IF(COUNTA(A145:F145)=0,"",IF(OR(A145="",B145="",C145="",D145="",NOT(ISNUMBER(E145))),"Missing / invalid input",IF(G145&gt;1,"Duplicate key in this source",IF(H145=0,"Missing in other source",IF(H145&gt;1,"Duplicate in other source",IF(SUMIFS('External Data'!$M$2:$M$1001,'External Data'!$L$2:$L$1001,SUBSTITUTE(SUBSTITUTE(SUBSTITUTE(L145,"~","~~"),"*","~*"),"?","~?"))&lt;&gt;1,"Other amount is invalid",IF(J145&lt;&gt;0,"Amount differs","Matched")))))))</x:f>
      </x:c>
      <x:c r="L145" t="str">
        <x:f>IF(COUNTA(A145:F145)=0,"",LEN(A145)&amp;":"&amp;A145&amp;LEN(B145)&amp;":"&amp;B145&amp;LEN(C145)&amp;":"&amp;C145&amp;LEN(D145)&amp;":"&amp;D145)</x:f>
      </x:c>
      <x:c r="M145" t="str">
        <x:f>IF(COUNTA(A145:F145)=0,"",IF(ISNUMBER(E145),1,0))</x:f>
      </x:c>
    </x:row>
    <x:row r="146">
      <x:c r="A146" s="11"/>
      <x:c r="B146" s="11"/>
      <x:c r="C146" s="11"/>
      <x:c r="D146" s="11"/>
      <x:c r="E146" s="12"/>
      <x:c r="F146" s="10"/>
      <x:c r="G146" s="2" t="str">
        <x:f>IF(COUNTA(A146:F146)=0,"",COUNTIFS('App Data'!$L$2:$L$1001,SUBSTITUTE(SUBSTITUTE(SUBSTITUTE(L146,"~","~~"),"*","~*"),"?","~?")))</x:f>
      </x:c>
      <x:c r="H146" s="2" t="str">
        <x:f>IF(COUNTA(A146:F146)=0,"",COUNTIFS('External Data'!$L$2:$L$1001,SUBSTITUTE(SUBSTITUTE(SUBSTITUTE(L146,"~","~~"),"*","~*"),"?","~?")))</x:f>
      </x:c>
      <x:c r="I146" s="13" t="str">
        <x:f>IF(OR(H146&lt;&gt;1,G146&lt;&gt;1),"",SUMIFS('External Data'!$E$2:$E$1001,'External Data'!$L$2:$L$1001,SUBSTITUTE(SUBSTITUTE(SUBSTITUTE(L146,"~","~~"),"*","~*"),"?","~?")))</x:f>
      </x:c>
      <x:c r="J146" s="13" t="str">
        <x:f>IF(OR(NOT(ISNUMBER(E146)),NOT(ISNUMBER(I146))),"",ROUND(E146-I146,2))</x:f>
      </x:c>
      <x:c r="K146" s="2" t="str">
        <x:f>IF(COUNTA(A146:F146)=0,"",IF(OR(A146="",B146="",C146="",D146="",NOT(ISNUMBER(E146))),"Missing / invalid input",IF(G146&gt;1,"Duplicate key in this source",IF(H146=0,"Missing in other source",IF(H146&gt;1,"Duplicate in other source",IF(SUMIFS('External Data'!$M$2:$M$1001,'External Data'!$L$2:$L$1001,SUBSTITUTE(SUBSTITUTE(SUBSTITUTE(L146,"~","~~"),"*","~*"),"?","~?"))&lt;&gt;1,"Other amount is invalid",IF(J146&lt;&gt;0,"Amount differs","Matched")))))))</x:f>
      </x:c>
      <x:c r="L146" t="str">
        <x:f>IF(COUNTA(A146:F146)=0,"",LEN(A146)&amp;":"&amp;A146&amp;LEN(B146)&amp;":"&amp;B146&amp;LEN(C146)&amp;":"&amp;C146&amp;LEN(D146)&amp;":"&amp;D146)</x:f>
      </x:c>
      <x:c r="M146" t="str">
        <x:f>IF(COUNTA(A146:F146)=0,"",IF(ISNUMBER(E146),1,0))</x:f>
      </x:c>
    </x:row>
    <x:row r="147">
      <x:c r="A147" s="11"/>
      <x:c r="B147" s="11"/>
      <x:c r="C147" s="11"/>
      <x:c r="D147" s="11"/>
      <x:c r="E147" s="12"/>
      <x:c r="F147" s="10"/>
      <x:c r="G147" s="2" t="str">
        <x:f>IF(COUNTA(A147:F147)=0,"",COUNTIFS('App Data'!$L$2:$L$1001,SUBSTITUTE(SUBSTITUTE(SUBSTITUTE(L147,"~","~~"),"*","~*"),"?","~?")))</x:f>
      </x:c>
      <x:c r="H147" s="2" t="str">
        <x:f>IF(COUNTA(A147:F147)=0,"",COUNTIFS('External Data'!$L$2:$L$1001,SUBSTITUTE(SUBSTITUTE(SUBSTITUTE(L147,"~","~~"),"*","~*"),"?","~?")))</x:f>
      </x:c>
      <x:c r="I147" s="13" t="str">
        <x:f>IF(OR(H147&lt;&gt;1,G147&lt;&gt;1),"",SUMIFS('External Data'!$E$2:$E$1001,'External Data'!$L$2:$L$1001,SUBSTITUTE(SUBSTITUTE(SUBSTITUTE(L147,"~","~~"),"*","~*"),"?","~?")))</x:f>
      </x:c>
      <x:c r="J147" s="13" t="str">
        <x:f>IF(OR(NOT(ISNUMBER(E147)),NOT(ISNUMBER(I147))),"",ROUND(E147-I147,2))</x:f>
      </x:c>
      <x:c r="K147" s="2" t="str">
        <x:f>IF(COUNTA(A147:F147)=0,"",IF(OR(A147="",B147="",C147="",D147="",NOT(ISNUMBER(E147))),"Missing / invalid input",IF(G147&gt;1,"Duplicate key in this source",IF(H147=0,"Missing in other source",IF(H147&gt;1,"Duplicate in other source",IF(SUMIFS('External Data'!$M$2:$M$1001,'External Data'!$L$2:$L$1001,SUBSTITUTE(SUBSTITUTE(SUBSTITUTE(L147,"~","~~"),"*","~*"),"?","~?"))&lt;&gt;1,"Other amount is invalid",IF(J147&lt;&gt;0,"Amount differs","Matched")))))))</x:f>
      </x:c>
      <x:c r="L147" t="str">
        <x:f>IF(COUNTA(A147:F147)=0,"",LEN(A147)&amp;":"&amp;A147&amp;LEN(B147)&amp;":"&amp;B147&amp;LEN(C147)&amp;":"&amp;C147&amp;LEN(D147)&amp;":"&amp;D147)</x:f>
      </x:c>
      <x:c r="M147" t="str">
        <x:f>IF(COUNTA(A147:F147)=0,"",IF(ISNUMBER(E147),1,0))</x:f>
      </x:c>
    </x:row>
    <x:row r="148">
      <x:c r="A148" s="11"/>
      <x:c r="B148" s="11"/>
      <x:c r="C148" s="11"/>
      <x:c r="D148" s="11"/>
      <x:c r="E148" s="12"/>
      <x:c r="F148" s="10"/>
      <x:c r="G148" s="2" t="str">
        <x:f>IF(COUNTA(A148:F148)=0,"",COUNTIFS('App Data'!$L$2:$L$1001,SUBSTITUTE(SUBSTITUTE(SUBSTITUTE(L148,"~","~~"),"*","~*"),"?","~?")))</x:f>
      </x:c>
      <x:c r="H148" s="2" t="str">
        <x:f>IF(COUNTA(A148:F148)=0,"",COUNTIFS('External Data'!$L$2:$L$1001,SUBSTITUTE(SUBSTITUTE(SUBSTITUTE(L148,"~","~~"),"*","~*"),"?","~?")))</x:f>
      </x:c>
      <x:c r="I148" s="13" t="str">
        <x:f>IF(OR(H148&lt;&gt;1,G148&lt;&gt;1),"",SUMIFS('External Data'!$E$2:$E$1001,'External Data'!$L$2:$L$1001,SUBSTITUTE(SUBSTITUTE(SUBSTITUTE(L148,"~","~~"),"*","~*"),"?","~?")))</x:f>
      </x:c>
      <x:c r="J148" s="13" t="str">
        <x:f>IF(OR(NOT(ISNUMBER(E148)),NOT(ISNUMBER(I148))),"",ROUND(E148-I148,2))</x:f>
      </x:c>
      <x:c r="K148" s="2" t="str">
        <x:f>IF(COUNTA(A148:F148)=0,"",IF(OR(A148="",B148="",C148="",D148="",NOT(ISNUMBER(E148))),"Missing / invalid input",IF(G148&gt;1,"Duplicate key in this source",IF(H148=0,"Missing in other source",IF(H148&gt;1,"Duplicate in other source",IF(SUMIFS('External Data'!$M$2:$M$1001,'External Data'!$L$2:$L$1001,SUBSTITUTE(SUBSTITUTE(SUBSTITUTE(L148,"~","~~"),"*","~*"),"?","~?"))&lt;&gt;1,"Other amount is invalid",IF(J148&lt;&gt;0,"Amount differs","Matched")))))))</x:f>
      </x:c>
      <x:c r="L148" t="str">
        <x:f>IF(COUNTA(A148:F148)=0,"",LEN(A148)&amp;":"&amp;A148&amp;LEN(B148)&amp;":"&amp;B148&amp;LEN(C148)&amp;":"&amp;C148&amp;LEN(D148)&amp;":"&amp;D148)</x:f>
      </x:c>
      <x:c r="M148" t="str">
        <x:f>IF(COUNTA(A148:F148)=0,"",IF(ISNUMBER(E148),1,0))</x:f>
      </x:c>
    </x:row>
    <x:row r="149">
      <x:c r="A149" s="11"/>
      <x:c r="B149" s="11"/>
      <x:c r="C149" s="11"/>
      <x:c r="D149" s="11"/>
      <x:c r="E149" s="12"/>
      <x:c r="F149" s="10"/>
      <x:c r="G149" s="2" t="str">
        <x:f>IF(COUNTA(A149:F149)=0,"",COUNTIFS('App Data'!$L$2:$L$1001,SUBSTITUTE(SUBSTITUTE(SUBSTITUTE(L149,"~","~~"),"*","~*"),"?","~?")))</x:f>
      </x:c>
      <x:c r="H149" s="2" t="str">
        <x:f>IF(COUNTA(A149:F149)=0,"",COUNTIFS('External Data'!$L$2:$L$1001,SUBSTITUTE(SUBSTITUTE(SUBSTITUTE(L149,"~","~~"),"*","~*"),"?","~?")))</x:f>
      </x:c>
      <x:c r="I149" s="13" t="str">
        <x:f>IF(OR(H149&lt;&gt;1,G149&lt;&gt;1),"",SUMIFS('External Data'!$E$2:$E$1001,'External Data'!$L$2:$L$1001,SUBSTITUTE(SUBSTITUTE(SUBSTITUTE(L149,"~","~~"),"*","~*"),"?","~?")))</x:f>
      </x:c>
      <x:c r="J149" s="13" t="str">
        <x:f>IF(OR(NOT(ISNUMBER(E149)),NOT(ISNUMBER(I149))),"",ROUND(E149-I149,2))</x:f>
      </x:c>
      <x:c r="K149" s="2" t="str">
        <x:f>IF(COUNTA(A149:F149)=0,"",IF(OR(A149="",B149="",C149="",D149="",NOT(ISNUMBER(E149))),"Missing / invalid input",IF(G149&gt;1,"Duplicate key in this source",IF(H149=0,"Missing in other source",IF(H149&gt;1,"Duplicate in other source",IF(SUMIFS('External Data'!$M$2:$M$1001,'External Data'!$L$2:$L$1001,SUBSTITUTE(SUBSTITUTE(SUBSTITUTE(L149,"~","~~"),"*","~*"),"?","~?"))&lt;&gt;1,"Other amount is invalid",IF(J149&lt;&gt;0,"Amount differs","Matched")))))))</x:f>
      </x:c>
      <x:c r="L149" t="str">
        <x:f>IF(COUNTA(A149:F149)=0,"",LEN(A149)&amp;":"&amp;A149&amp;LEN(B149)&amp;":"&amp;B149&amp;LEN(C149)&amp;":"&amp;C149&amp;LEN(D149)&amp;":"&amp;D149)</x:f>
      </x:c>
      <x:c r="M149" t="str">
        <x:f>IF(COUNTA(A149:F149)=0,"",IF(ISNUMBER(E149),1,0))</x:f>
      </x:c>
    </x:row>
    <x:row r="150">
      <x:c r="A150" s="11"/>
      <x:c r="B150" s="11"/>
      <x:c r="C150" s="11"/>
      <x:c r="D150" s="11"/>
      <x:c r="E150" s="12"/>
      <x:c r="F150" s="10"/>
      <x:c r="G150" s="2" t="str">
        <x:f>IF(COUNTA(A150:F150)=0,"",COUNTIFS('App Data'!$L$2:$L$1001,SUBSTITUTE(SUBSTITUTE(SUBSTITUTE(L150,"~","~~"),"*","~*"),"?","~?")))</x:f>
      </x:c>
      <x:c r="H150" s="2" t="str">
        <x:f>IF(COUNTA(A150:F150)=0,"",COUNTIFS('External Data'!$L$2:$L$1001,SUBSTITUTE(SUBSTITUTE(SUBSTITUTE(L150,"~","~~"),"*","~*"),"?","~?")))</x:f>
      </x:c>
      <x:c r="I150" s="13" t="str">
        <x:f>IF(OR(H150&lt;&gt;1,G150&lt;&gt;1),"",SUMIFS('External Data'!$E$2:$E$1001,'External Data'!$L$2:$L$1001,SUBSTITUTE(SUBSTITUTE(SUBSTITUTE(L150,"~","~~"),"*","~*"),"?","~?")))</x:f>
      </x:c>
      <x:c r="J150" s="13" t="str">
        <x:f>IF(OR(NOT(ISNUMBER(E150)),NOT(ISNUMBER(I150))),"",ROUND(E150-I150,2))</x:f>
      </x:c>
      <x:c r="K150" s="2" t="str">
        <x:f>IF(COUNTA(A150:F150)=0,"",IF(OR(A150="",B150="",C150="",D150="",NOT(ISNUMBER(E150))),"Missing / invalid input",IF(G150&gt;1,"Duplicate key in this source",IF(H150=0,"Missing in other source",IF(H150&gt;1,"Duplicate in other source",IF(SUMIFS('External Data'!$M$2:$M$1001,'External Data'!$L$2:$L$1001,SUBSTITUTE(SUBSTITUTE(SUBSTITUTE(L150,"~","~~"),"*","~*"),"?","~?"))&lt;&gt;1,"Other amount is invalid",IF(J150&lt;&gt;0,"Amount differs","Matched")))))))</x:f>
      </x:c>
      <x:c r="L150" t="str">
        <x:f>IF(COUNTA(A150:F150)=0,"",LEN(A150)&amp;":"&amp;A150&amp;LEN(B150)&amp;":"&amp;B150&amp;LEN(C150)&amp;":"&amp;C150&amp;LEN(D150)&amp;":"&amp;D150)</x:f>
      </x:c>
      <x:c r="M150" t="str">
        <x:f>IF(COUNTA(A150:F150)=0,"",IF(ISNUMBER(E150),1,0))</x:f>
      </x:c>
    </x:row>
    <x:row r="151">
      <x:c r="A151" s="11"/>
      <x:c r="B151" s="11"/>
      <x:c r="C151" s="11"/>
      <x:c r="D151" s="11"/>
      <x:c r="E151" s="12"/>
      <x:c r="F151" s="10"/>
      <x:c r="G151" s="2" t="str">
        <x:f>IF(COUNTA(A151:F151)=0,"",COUNTIFS('App Data'!$L$2:$L$1001,SUBSTITUTE(SUBSTITUTE(SUBSTITUTE(L151,"~","~~"),"*","~*"),"?","~?")))</x:f>
      </x:c>
      <x:c r="H151" s="2" t="str">
        <x:f>IF(COUNTA(A151:F151)=0,"",COUNTIFS('External Data'!$L$2:$L$1001,SUBSTITUTE(SUBSTITUTE(SUBSTITUTE(L151,"~","~~"),"*","~*"),"?","~?")))</x:f>
      </x:c>
      <x:c r="I151" s="13" t="str">
        <x:f>IF(OR(H151&lt;&gt;1,G151&lt;&gt;1),"",SUMIFS('External Data'!$E$2:$E$1001,'External Data'!$L$2:$L$1001,SUBSTITUTE(SUBSTITUTE(SUBSTITUTE(L151,"~","~~"),"*","~*"),"?","~?")))</x:f>
      </x:c>
      <x:c r="J151" s="13" t="str">
        <x:f>IF(OR(NOT(ISNUMBER(E151)),NOT(ISNUMBER(I151))),"",ROUND(E151-I151,2))</x:f>
      </x:c>
      <x:c r="K151" s="2" t="str">
        <x:f>IF(COUNTA(A151:F151)=0,"",IF(OR(A151="",B151="",C151="",D151="",NOT(ISNUMBER(E151))),"Missing / invalid input",IF(G151&gt;1,"Duplicate key in this source",IF(H151=0,"Missing in other source",IF(H151&gt;1,"Duplicate in other source",IF(SUMIFS('External Data'!$M$2:$M$1001,'External Data'!$L$2:$L$1001,SUBSTITUTE(SUBSTITUTE(SUBSTITUTE(L151,"~","~~"),"*","~*"),"?","~?"))&lt;&gt;1,"Other amount is invalid",IF(J151&lt;&gt;0,"Amount differs","Matched")))))))</x:f>
      </x:c>
      <x:c r="L151" t="str">
        <x:f>IF(COUNTA(A151:F151)=0,"",LEN(A151)&amp;":"&amp;A151&amp;LEN(B151)&amp;":"&amp;B151&amp;LEN(C151)&amp;":"&amp;C151&amp;LEN(D151)&amp;":"&amp;D151)</x:f>
      </x:c>
      <x:c r="M151" t="str">
        <x:f>IF(COUNTA(A151:F151)=0,"",IF(ISNUMBER(E151),1,0))</x:f>
      </x:c>
    </x:row>
    <x:row r="152">
      <x:c r="A152" s="11"/>
      <x:c r="B152" s="11"/>
      <x:c r="C152" s="11"/>
      <x:c r="D152" s="11"/>
      <x:c r="E152" s="12"/>
      <x:c r="F152" s="10"/>
      <x:c r="G152" s="2" t="str">
        <x:f>IF(COUNTA(A152:F152)=0,"",COUNTIFS('App Data'!$L$2:$L$1001,SUBSTITUTE(SUBSTITUTE(SUBSTITUTE(L152,"~","~~"),"*","~*"),"?","~?")))</x:f>
      </x:c>
      <x:c r="H152" s="2" t="str">
        <x:f>IF(COUNTA(A152:F152)=0,"",COUNTIFS('External Data'!$L$2:$L$1001,SUBSTITUTE(SUBSTITUTE(SUBSTITUTE(L152,"~","~~"),"*","~*"),"?","~?")))</x:f>
      </x:c>
      <x:c r="I152" s="13" t="str">
        <x:f>IF(OR(H152&lt;&gt;1,G152&lt;&gt;1),"",SUMIFS('External Data'!$E$2:$E$1001,'External Data'!$L$2:$L$1001,SUBSTITUTE(SUBSTITUTE(SUBSTITUTE(L152,"~","~~"),"*","~*"),"?","~?")))</x:f>
      </x:c>
      <x:c r="J152" s="13" t="str">
        <x:f>IF(OR(NOT(ISNUMBER(E152)),NOT(ISNUMBER(I152))),"",ROUND(E152-I152,2))</x:f>
      </x:c>
      <x:c r="K152" s="2" t="str">
        <x:f>IF(COUNTA(A152:F152)=0,"",IF(OR(A152="",B152="",C152="",D152="",NOT(ISNUMBER(E152))),"Missing / invalid input",IF(G152&gt;1,"Duplicate key in this source",IF(H152=0,"Missing in other source",IF(H152&gt;1,"Duplicate in other source",IF(SUMIFS('External Data'!$M$2:$M$1001,'External Data'!$L$2:$L$1001,SUBSTITUTE(SUBSTITUTE(SUBSTITUTE(L152,"~","~~"),"*","~*"),"?","~?"))&lt;&gt;1,"Other amount is invalid",IF(J152&lt;&gt;0,"Amount differs","Matched")))))))</x:f>
      </x:c>
      <x:c r="L152" t="str">
        <x:f>IF(COUNTA(A152:F152)=0,"",LEN(A152)&amp;":"&amp;A152&amp;LEN(B152)&amp;":"&amp;B152&amp;LEN(C152)&amp;":"&amp;C152&amp;LEN(D152)&amp;":"&amp;D152)</x:f>
      </x:c>
      <x:c r="M152" t="str">
        <x:f>IF(COUNTA(A152:F152)=0,"",IF(ISNUMBER(E152),1,0))</x:f>
      </x:c>
    </x:row>
    <x:row r="153">
      <x:c r="A153" s="11"/>
      <x:c r="B153" s="11"/>
      <x:c r="C153" s="11"/>
      <x:c r="D153" s="11"/>
      <x:c r="E153" s="12"/>
      <x:c r="F153" s="10"/>
      <x:c r="G153" s="2" t="str">
        <x:f>IF(COUNTA(A153:F153)=0,"",COUNTIFS('App Data'!$L$2:$L$1001,SUBSTITUTE(SUBSTITUTE(SUBSTITUTE(L153,"~","~~"),"*","~*"),"?","~?")))</x:f>
      </x:c>
      <x:c r="H153" s="2" t="str">
        <x:f>IF(COUNTA(A153:F153)=0,"",COUNTIFS('External Data'!$L$2:$L$1001,SUBSTITUTE(SUBSTITUTE(SUBSTITUTE(L153,"~","~~"),"*","~*"),"?","~?")))</x:f>
      </x:c>
      <x:c r="I153" s="13" t="str">
        <x:f>IF(OR(H153&lt;&gt;1,G153&lt;&gt;1),"",SUMIFS('External Data'!$E$2:$E$1001,'External Data'!$L$2:$L$1001,SUBSTITUTE(SUBSTITUTE(SUBSTITUTE(L153,"~","~~"),"*","~*"),"?","~?")))</x:f>
      </x:c>
      <x:c r="J153" s="13" t="str">
        <x:f>IF(OR(NOT(ISNUMBER(E153)),NOT(ISNUMBER(I153))),"",ROUND(E153-I153,2))</x:f>
      </x:c>
      <x:c r="K153" s="2" t="str">
        <x:f>IF(COUNTA(A153:F153)=0,"",IF(OR(A153="",B153="",C153="",D153="",NOT(ISNUMBER(E153))),"Missing / invalid input",IF(G153&gt;1,"Duplicate key in this source",IF(H153=0,"Missing in other source",IF(H153&gt;1,"Duplicate in other source",IF(SUMIFS('External Data'!$M$2:$M$1001,'External Data'!$L$2:$L$1001,SUBSTITUTE(SUBSTITUTE(SUBSTITUTE(L153,"~","~~"),"*","~*"),"?","~?"))&lt;&gt;1,"Other amount is invalid",IF(J153&lt;&gt;0,"Amount differs","Matched")))))))</x:f>
      </x:c>
      <x:c r="L153" t="str">
        <x:f>IF(COUNTA(A153:F153)=0,"",LEN(A153)&amp;":"&amp;A153&amp;LEN(B153)&amp;":"&amp;B153&amp;LEN(C153)&amp;":"&amp;C153&amp;LEN(D153)&amp;":"&amp;D153)</x:f>
      </x:c>
      <x:c r="M153" t="str">
        <x:f>IF(COUNTA(A153:F153)=0,"",IF(ISNUMBER(E153),1,0))</x:f>
      </x:c>
    </x:row>
    <x:row r="154">
      <x:c r="A154" s="11"/>
      <x:c r="B154" s="11"/>
      <x:c r="C154" s="11"/>
      <x:c r="D154" s="11"/>
      <x:c r="E154" s="12"/>
      <x:c r="F154" s="10"/>
      <x:c r="G154" s="2" t="str">
        <x:f>IF(COUNTA(A154:F154)=0,"",COUNTIFS('App Data'!$L$2:$L$1001,SUBSTITUTE(SUBSTITUTE(SUBSTITUTE(L154,"~","~~"),"*","~*"),"?","~?")))</x:f>
      </x:c>
      <x:c r="H154" s="2" t="str">
        <x:f>IF(COUNTA(A154:F154)=0,"",COUNTIFS('External Data'!$L$2:$L$1001,SUBSTITUTE(SUBSTITUTE(SUBSTITUTE(L154,"~","~~"),"*","~*"),"?","~?")))</x:f>
      </x:c>
      <x:c r="I154" s="13" t="str">
        <x:f>IF(OR(H154&lt;&gt;1,G154&lt;&gt;1),"",SUMIFS('External Data'!$E$2:$E$1001,'External Data'!$L$2:$L$1001,SUBSTITUTE(SUBSTITUTE(SUBSTITUTE(L154,"~","~~"),"*","~*"),"?","~?")))</x:f>
      </x:c>
      <x:c r="J154" s="13" t="str">
        <x:f>IF(OR(NOT(ISNUMBER(E154)),NOT(ISNUMBER(I154))),"",ROUND(E154-I154,2))</x:f>
      </x:c>
      <x:c r="K154" s="2" t="str">
        <x:f>IF(COUNTA(A154:F154)=0,"",IF(OR(A154="",B154="",C154="",D154="",NOT(ISNUMBER(E154))),"Missing / invalid input",IF(G154&gt;1,"Duplicate key in this source",IF(H154=0,"Missing in other source",IF(H154&gt;1,"Duplicate in other source",IF(SUMIFS('External Data'!$M$2:$M$1001,'External Data'!$L$2:$L$1001,SUBSTITUTE(SUBSTITUTE(SUBSTITUTE(L154,"~","~~"),"*","~*"),"?","~?"))&lt;&gt;1,"Other amount is invalid",IF(J154&lt;&gt;0,"Amount differs","Matched")))))))</x:f>
      </x:c>
      <x:c r="L154" t="str">
        <x:f>IF(COUNTA(A154:F154)=0,"",LEN(A154)&amp;":"&amp;A154&amp;LEN(B154)&amp;":"&amp;B154&amp;LEN(C154)&amp;":"&amp;C154&amp;LEN(D154)&amp;":"&amp;D154)</x:f>
      </x:c>
      <x:c r="M154" t="str">
        <x:f>IF(COUNTA(A154:F154)=0,"",IF(ISNUMBER(E154),1,0))</x:f>
      </x:c>
    </x:row>
    <x:row r="155">
      <x:c r="A155" s="11"/>
      <x:c r="B155" s="11"/>
      <x:c r="C155" s="11"/>
      <x:c r="D155" s="11"/>
      <x:c r="E155" s="12"/>
      <x:c r="F155" s="10"/>
      <x:c r="G155" s="2" t="str">
        <x:f>IF(COUNTA(A155:F155)=0,"",COUNTIFS('App Data'!$L$2:$L$1001,SUBSTITUTE(SUBSTITUTE(SUBSTITUTE(L155,"~","~~"),"*","~*"),"?","~?")))</x:f>
      </x:c>
      <x:c r="H155" s="2" t="str">
        <x:f>IF(COUNTA(A155:F155)=0,"",COUNTIFS('External Data'!$L$2:$L$1001,SUBSTITUTE(SUBSTITUTE(SUBSTITUTE(L155,"~","~~"),"*","~*"),"?","~?")))</x:f>
      </x:c>
      <x:c r="I155" s="13" t="str">
        <x:f>IF(OR(H155&lt;&gt;1,G155&lt;&gt;1),"",SUMIFS('External Data'!$E$2:$E$1001,'External Data'!$L$2:$L$1001,SUBSTITUTE(SUBSTITUTE(SUBSTITUTE(L155,"~","~~"),"*","~*"),"?","~?")))</x:f>
      </x:c>
      <x:c r="J155" s="13" t="str">
        <x:f>IF(OR(NOT(ISNUMBER(E155)),NOT(ISNUMBER(I155))),"",ROUND(E155-I155,2))</x:f>
      </x:c>
      <x:c r="K155" s="2" t="str">
        <x:f>IF(COUNTA(A155:F155)=0,"",IF(OR(A155="",B155="",C155="",D155="",NOT(ISNUMBER(E155))),"Missing / invalid input",IF(G155&gt;1,"Duplicate key in this source",IF(H155=0,"Missing in other source",IF(H155&gt;1,"Duplicate in other source",IF(SUMIFS('External Data'!$M$2:$M$1001,'External Data'!$L$2:$L$1001,SUBSTITUTE(SUBSTITUTE(SUBSTITUTE(L155,"~","~~"),"*","~*"),"?","~?"))&lt;&gt;1,"Other amount is invalid",IF(J155&lt;&gt;0,"Amount differs","Matched")))))))</x:f>
      </x:c>
      <x:c r="L155" t="str">
        <x:f>IF(COUNTA(A155:F155)=0,"",LEN(A155)&amp;":"&amp;A155&amp;LEN(B155)&amp;":"&amp;B155&amp;LEN(C155)&amp;":"&amp;C155&amp;LEN(D155)&amp;":"&amp;D155)</x:f>
      </x:c>
      <x:c r="M155" t="str">
        <x:f>IF(COUNTA(A155:F155)=0,"",IF(ISNUMBER(E155),1,0))</x:f>
      </x:c>
    </x:row>
    <x:row r="156">
      <x:c r="A156" s="11"/>
      <x:c r="B156" s="11"/>
      <x:c r="C156" s="11"/>
      <x:c r="D156" s="11"/>
      <x:c r="E156" s="12"/>
      <x:c r="F156" s="10"/>
      <x:c r="G156" s="2" t="str">
        <x:f>IF(COUNTA(A156:F156)=0,"",COUNTIFS('App Data'!$L$2:$L$1001,SUBSTITUTE(SUBSTITUTE(SUBSTITUTE(L156,"~","~~"),"*","~*"),"?","~?")))</x:f>
      </x:c>
      <x:c r="H156" s="2" t="str">
        <x:f>IF(COUNTA(A156:F156)=0,"",COUNTIFS('External Data'!$L$2:$L$1001,SUBSTITUTE(SUBSTITUTE(SUBSTITUTE(L156,"~","~~"),"*","~*"),"?","~?")))</x:f>
      </x:c>
      <x:c r="I156" s="13" t="str">
        <x:f>IF(OR(H156&lt;&gt;1,G156&lt;&gt;1),"",SUMIFS('External Data'!$E$2:$E$1001,'External Data'!$L$2:$L$1001,SUBSTITUTE(SUBSTITUTE(SUBSTITUTE(L156,"~","~~"),"*","~*"),"?","~?")))</x:f>
      </x:c>
      <x:c r="J156" s="13" t="str">
        <x:f>IF(OR(NOT(ISNUMBER(E156)),NOT(ISNUMBER(I156))),"",ROUND(E156-I156,2))</x:f>
      </x:c>
      <x:c r="K156" s="2" t="str">
        <x:f>IF(COUNTA(A156:F156)=0,"",IF(OR(A156="",B156="",C156="",D156="",NOT(ISNUMBER(E156))),"Missing / invalid input",IF(G156&gt;1,"Duplicate key in this source",IF(H156=0,"Missing in other source",IF(H156&gt;1,"Duplicate in other source",IF(SUMIFS('External Data'!$M$2:$M$1001,'External Data'!$L$2:$L$1001,SUBSTITUTE(SUBSTITUTE(SUBSTITUTE(L156,"~","~~"),"*","~*"),"?","~?"))&lt;&gt;1,"Other amount is invalid",IF(J156&lt;&gt;0,"Amount differs","Matched")))))))</x:f>
      </x:c>
      <x:c r="L156" t="str">
        <x:f>IF(COUNTA(A156:F156)=0,"",LEN(A156)&amp;":"&amp;A156&amp;LEN(B156)&amp;":"&amp;B156&amp;LEN(C156)&amp;":"&amp;C156&amp;LEN(D156)&amp;":"&amp;D156)</x:f>
      </x:c>
      <x:c r="M156" t="str">
        <x:f>IF(COUNTA(A156:F156)=0,"",IF(ISNUMBER(E156),1,0))</x:f>
      </x:c>
    </x:row>
    <x:row r="157">
      <x:c r="A157" s="11"/>
      <x:c r="B157" s="11"/>
      <x:c r="C157" s="11"/>
      <x:c r="D157" s="11"/>
      <x:c r="E157" s="12"/>
      <x:c r="F157" s="10"/>
      <x:c r="G157" s="2" t="str">
        <x:f>IF(COUNTA(A157:F157)=0,"",COUNTIFS('App Data'!$L$2:$L$1001,SUBSTITUTE(SUBSTITUTE(SUBSTITUTE(L157,"~","~~"),"*","~*"),"?","~?")))</x:f>
      </x:c>
      <x:c r="H157" s="2" t="str">
        <x:f>IF(COUNTA(A157:F157)=0,"",COUNTIFS('External Data'!$L$2:$L$1001,SUBSTITUTE(SUBSTITUTE(SUBSTITUTE(L157,"~","~~"),"*","~*"),"?","~?")))</x:f>
      </x:c>
      <x:c r="I157" s="13" t="str">
        <x:f>IF(OR(H157&lt;&gt;1,G157&lt;&gt;1),"",SUMIFS('External Data'!$E$2:$E$1001,'External Data'!$L$2:$L$1001,SUBSTITUTE(SUBSTITUTE(SUBSTITUTE(L157,"~","~~"),"*","~*"),"?","~?")))</x:f>
      </x:c>
      <x:c r="J157" s="13" t="str">
        <x:f>IF(OR(NOT(ISNUMBER(E157)),NOT(ISNUMBER(I157))),"",ROUND(E157-I157,2))</x:f>
      </x:c>
      <x:c r="K157" s="2" t="str">
        <x:f>IF(COUNTA(A157:F157)=0,"",IF(OR(A157="",B157="",C157="",D157="",NOT(ISNUMBER(E157))),"Missing / invalid input",IF(G157&gt;1,"Duplicate key in this source",IF(H157=0,"Missing in other source",IF(H157&gt;1,"Duplicate in other source",IF(SUMIFS('External Data'!$M$2:$M$1001,'External Data'!$L$2:$L$1001,SUBSTITUTE(SUBSTITUTE(SUBSTITUTE(L157,"~","~~"),"*","~*"),"?","~?"))&lt;&gt;1,"Other amount is invalid",IF(J157&lt;&gt;0,"Amount differs","Matched")))))))</x:f>
      </x:c>
      <x:c r="L157" t="str">
        <x:f>IF(COUNTA(A157:F157)=0,"",LEN(A157)&amp;":"&amp;A157&amp;LEN(B157)&amp;":"&amp;B157&amp;LEN(C157)&amp;":"&amp;C157&amp;LEN(D157)&amp;":"&amp;D157)</x:f>
      </x:c>
      <x:c r="M157" t="str">
        <x:f>IF(COUNTA(A157:F157)=0,"",IF(ISNUMBER(E157),1,0))</x:f>
      </x:c>
    </x:row>
    <x:row r="158">
      <x:c r="A158" s="11"/>
      <x:c r="B158" s="11"/>
      <x:c r="C158" s="11"/>
      <x:c r="D158" s="11"/>
      <x:c r="E158" s="12"/>
      <x:c r="F158" s="10"/>
      <x:c r="G158" s="2" t="str">
        <x:f>IF(COUNTA(A158:F158)=0,"",COUNTIFS('App Data'!$L$2:$L$1001,SUBSTITUTE(SUBSTITUTE(SUBSTITUTE(L158,"~","~~"),"*","~*"),"?","~?")))</x:f>
      </x:c>
      <x:c r="H158" s="2" t="str">
        <x:f>IF(COUNTA(A158:F158)=0,"",COUNTIFS('External Data'!$L$2:$L$1001,SUBSTITUTE(SUBSTITUTE(SUBSTITUTE(L158,"~","~~"),"*","~*"),"?","~?")))</x:f>
      </x:c>
      <x:c r="I158" s="13" t="str">
        <x:f>IF(OR(H158&lt;&gt;1,G158&lt;&gt;1),"",SUMIFS('External Data'!$E$2:$E$1001,'External Data'!$L$2:$L$1001,SUBSTITUTE(SUBSTITUTE(SUBSTITUTE(L158,"~","~~"),"*","~*"),"?","~?")))</x:f>
      </x:c>
      <x:c r="J158" s="13" t="str">
        <x:f>IF(OR(NOT(ISNUMBER(E158)),NOT(ISNUMBER(I158))),"",ROUND(E158-I158,2))</x:f>
      </x:c>
      <x:c r="K158" s="2" t="str">
        <x:f>IF(COUNTA(A158:F158)=0,"",IF(OR(A158="",B158="",C158="",D158="",NOT(ISNUMBER(E158))),"Missing / invalid input",IF(G158&gt;1,"Duplicate key in this source",IF(H158=0,"Missing in other source",IF(H158&gt;1,"Duplicate in other source",IF(SUMIFS('External Data'!$M$2:$M$1001,'External Data'!$L$2:$L$1001,SUBSTITUTE(SUBSTITUTE(SUBSTITUTE(L158,"~","~~"),"*","~*"),"?","~?"))&lt;&gt;1,"Other amount is invalid",IF(J158&lt;&gt;0,"Amount differs","Matched")))))))</x:f>
      </x:c>
      <x:c r="L158" t="str">
        <x:f>IF(COUNTA(A158:F158)=0,"",LEN(A158)&amp;":"&amp;A158&amp;LEN(B158)&amp;":"&amp;B158&amp;LEN(C158)&amp;":"&amp;C158&amp;LEN(D158)&amp;":"&amp;D158)</x:f>
      </x:c>
      <x:c r="M158" t="str">
        <x:f>IF(COUNTA(A158:F158)=0,"",IF(ISNUMBER(E158),1,0))</x:f>
      </x:c>
    </x:row>
    <x:row r="159">
      <x:c r="A159" s="11"/>
      <x:c r="B159" s="11"/>
      <x:c r="C159" s="11"/>
      <x:c r="D159" s="11"/>
      <x:c r="E159" s="12"/>
      <x:c r="F159" s="10"/>
      <x:c r="G159" s="2" t="str">
        <x:f>IF(COUNTA(A159:F159)=0,"",COUNTIFS('App Data'!$L$2:$L$1001,SUBSTITUTE(SUBSTITUTE(SUBSTITUTE(L159,"~","~~"),"*","~*"),"?","~?")))</x:f>
      </x:c>
      <x:c r="H159" s="2" t="str">
        <x:f>IF(COUNTA(A159:F159)=0,"",COUNTIFS('External Data'!$L$2:$L$1001,SUBSTITUTE(SUBSTITUTE(SUBSTITUTE(L159,"~","~~"),"*","~*"),"?","~?")))</x:f>
      </x:c>
      <x:c r="I159" s="13" t="str">
        <x:f>IF(OR(H159&lt;&gt;1,G159&lt;&gt;1),"",SUMIFS('External Data'!$E$2:$E$1001,'External Data'!$L$2:$L$1001,SUBSTITUTE(SUBSTITUTE(SUBSTITUTE(L159,"~","~~"),"*","~*"),"?","~?")))</x:f>
      </x:c>
      <x:c r="J159" s="13" t="str">
        <x:f>IF(OR(NOT(ISNUMBER(E159)),NOT(ISNUMBER(I159))),"",ROUND(E159-I159,2))</x:f>
      </x:c>
      <x:c r="K159" s="2" t="str">
        <x:f>IF(COUNTA(A159:F159)=0,"",IF(OR(A159="",B159="",C159="",D159="",NOT(ISNUMBER(E159))),"Missing / invalid input",IF(G159&gt;1,"Duplicate key in this source",IF(H159=0,"Missing in other source",IF(H159&gt;1,"Duplicate in other source",IF(SUMIFS('External Data'!$M$2:$M$1001,'External Data'!$L$2:$L$1001,SUBSTITUTE(SUBSTITUTE(SUBSTITUTE(L159,"~","~~"),"*","~*"),"?","~?"))&lt;&gt;1,"Other amount is invalid",IF(J159&lt;&gt;0,"Amount differs","Matched")))))))</x:f>
      </x:c>
      <x:c r="L159" t="str">
        <x:f>IF(COUNTA(A159:F159)=0,"",LEN(A159)&amp;":"&amp;A159&amp;LEN(B159)&amp;":"&amp;B159&amp;LEN(C159)&amp;":"&amp;C159&amp;LEN(D159)&amp;":"&amp;D159)</x:f>
      </x:c>
      <x:c r="M159" t="str">
        <x:f>IF(COUNTA(A159:F159)=0,"",IF(ISNUMBER(E159),1,0))</x:f>
      </x:c>
    </x:row>
    <x:row r="160">
      <x:c r="A160" s="11"/>
      <x:c r="B160" s="11"/>
      <x:c r="C160" s="11"/>
      <x:c r="D160" s="11"/>
      <x:c r="E160" s="12"/>
      <x:c r="F160" s="10"/>
      <x:c r="G160" s="2" t="str">
        <x:f>IF(COUNTA(A160:F160)=0,"",COUNTIFS('App Data'!$L$2:$L$1001,SUBSTITUTE(SUBSTITUTE(SUBSTITUTE(L160,"~","~~"),"*","~*"),"?","~?")))</x:f>
      </x:c>
      <x:c r="H160" s="2" t="str">
        <x:f>IF(COUNTA(A160:F160)=0,"",COUNTIFS('External Data'!$L$2:$L$1001,SUBSTITUTE(SUBSTITUTE(SUBSTITUTE(L160,"~","~~"),"*","~*"),"?","~?")))</x:f>
      </x:c>
      <x:c r="I160" s="13" t="str">
        <x:f>IF(OR(H160&lt;&gt;1,G160&lt;&gt;1),"",SUMIFS('External Data'!$E$2:$E$1001,'External Data'!$L$2:$L$1001,SUBSTITUTE(SUBSTITUTE(SUBSTITUTE(L160,"~","~~"),"*","~*"),"?","~?")))</x:f>
      </x:c>
      <x:c r="J160" s="13" t="str">
        <x:f>IF(OR(NOT(ISNUMBER(E160)),NOT(ISNUMBER(I160))),"",ROUND(E160-I160,2))</x:f>
      </x:c>
      <x:c r="K160" s="2" t="str">
        <x:f>IF(COUNTA(A160:F160)=0,"",IF(OR(A160="",B160="",C160="",D160="",NOT(ISNUMBER(E160))),"Missing / invalid input",IF(G160&gt;1,"Duplicate key in this source",IF(H160=0,"Missing in other source",IF(H160&gt;1,"Duplicate in other source",IF(SUMIFS('External Data'!$M$2:$M$1001,'External Data'!$L$2:$L$1001,SUBSTITUTE(SUBSTITUTE(SUBSTITUTE(L160,"~","~~"),"*","~*"),"?","~?"))&lt;&gt;1,"Other amount is invalid",IF(J160&lt;&gt;0,"Amount differs","Matched")))))))</x:f>
      </x:c>
      <x:c r="L160" t="str">
        <x:f>IF(COUNTA(A160:F160)=0,"",LEN(A160)&amp;":"&amp;A160&amp;LEN(B160)&amp;":"&amp;B160&amp;LEN(C160)&amp;":"&amp;C160&amp;LEN(D160)&amp;":"&amp;D160)</x:f>
      </x:c>
      <x:c r="M160" t="str">
        <x:f>IF(COUNTA(A160:F160)=0,"",IF(ISNUMBER(E160),1,0))</x:f>
      </x:c>
    </x:row>
    <x:row r="161">
      <x:c r="A161" s="11"/>
      <x:c r="B161" s="11"/>
      <x:c r="C161" s="11"/>
      <x:c r="D161" s="11"/>
      <x:c r="E161" s="12"/>
      <x:c r="F161" s="10"/>
      <x:c r="G161" s="2" t="str">
        <x:f>IF(COUNTA(A161:F161)=0,"",COUNTIFS('App Data'!$L$2:$L$1001,SUBSTITUTE(SUBSTITUTE(SUBSTITUTE(L161,"~","~~"),"*","~*"),"?","~?")))</x:f>
      </x:c>
      <x:c r="H161" s="2" t="str">
        <x:f>IF(COUNTA(A161:F161)=0,"",COUNTIFS('External Data'!$L$2:$L$1001,SUBSTITUTE(SUBSTITUTE(SUBSTITUTE(L161,"~","~~"),"*","~*"),"?","~?")))</x:f>
      </x:c>
      <x:c r="I161" s="13" t="str">
        <x:f>IF(OR(H161&lt;&gt;1,G161&lt;&gt;1),"",SUMIFS('External Data'!$E$2:$E$1001,'External Data'!$L$2:$L$1001,SUBSTITUTE(SUBSTITUTE(SUBSTITUTE(L161,"~","~~"),"*","~*"),"?","~?")))</x:f>
      </x:c>
      <x:c r="J161" s="13" t="str">
        <x:f>IF(OR(NOT(ISNUMBER(E161)),NOT(ISNUMBER(I161))),"",ROUND(E161-I161,2))</x:f>
      </x:c>
      <x:c r="K161" s="2" t="str">
        <x:f>IF(COUNTA(A161:F161)=0,"",IF(OR(A161="",B161="",C161="",D161="",NOT(ISNUMBER(E161))),"Missing / invalid input",IF(G161&gt;1,"Duplicate key in this source",IF(H161=0,"Missing in other source",IF(H161&gt;1,"Duplicate in other source",IF(SUMIFS('External Data'!$M$2:$M$1001,'External Data'!$L$2:$L$1001,SUBSTITUTE(SUBSTITUTE(SUBSTITUTE(L161,"~","~~"),"*","~*"),"?","~?"))&lt;&gt;1,"Other amount is invalid",IF(J161&lt;&gt;0,"Amount differs","Matched")))))))</x:f>
      </x:c>
      <x:c r="L161" t="str">
        <x:f>IF(COUNTA(A161:F161)=0,"",LEN(A161)&amp;":"&amp;A161&amp;LEN(B161)&amp;":"&amp;B161&amp;LEN(C161)&amp;":"&amp;C161&amp;LEN(D161)&amp;":"&amp;D161)</x:f>
      </x:c>
      <x:c r="M161" t="str">
        <x:f>IF(COUNTA(A161:F161)=0,"",IF(ISNUMBER(E161),1,0))</x:f>
      </x:c>
    </x:row>
    <x:row r="162">
      <x:c r="A162" s="11"/>
      <x:c r="B162" s="11"/>
      <x:c r="C162" s="11"/>
      <x:c r="D162" s="11"/>
      <x:c r="E162" s="12"/>
      <x:c r="F162" s="10"/>
      <x:c r="G162" s="2" t="str">
        <x:f>IF(COUNTA(A162:F162)=0,"",COUNTIFS('App Data'!$L$2:$L$1001,SUBSTITUTE(SUBSTITUTE(SUBSTITUTE(L162,"~","~~"),"*","~*"),"?","~?")))</x:f>
      </x:c>
      <x:c r="H162" s="2" t="str">
        <x:f>IF(COUNTA(A162:F162)=0,"",COUNTIFS('External Data'!$L$2:$L$1001,SUBSTITUTE(SUBSTITUTE(SUBSTITUTE(L162,"~","~~"),"*","~*"),"?","~?")))</x:f>
      </x:c>
      <x:c r="I162" s="13" t="str">
        <x:f>IF(OR(H162&lt;&gt;1,G162&lt;&gt;1),"",SUMIFS('External Data'!$E$2:$E$1001,'External Data'!$L$2:$L$1001,SUBSTITUTE(SUBSTITUTE(SUBSTITUTE(L162,"~","~~"),"*","~*"),"?","~?")))</x:f>
      </x:c>
      <x:c r="J162" s="13" t="str">
        <x:f>IF(OR(NOT(ISNUMBER(E162)),NOT(ISNUMBER(I162))),"",ROUND(E162-I162,2))</x:f>
      </x:c>
      <x:c r="K162" s="2" t="str">
        <x:f>IF(COUNTA(A162:F162)=0,"",IF(OR(A162="",B162="",C162="",D162="",NOT(ISNUMBER(E162))),"Missing / invalid input",IF(G162&gt;1,"Duplicate key in this source",IF(H162=0,"Missing in other source",IF(H162&gt;1,"Duplicate in other source",IF(SUMIFS('External Data'!$M$2:$M$1001,'External Data'!$L$2:$L$1001,SUBSTITUTE(SUBSTITUTE(SUBSTITUTE(L162,"~","~~"),"*","~*"),"?","~?"))&lt;&gt;1,"Other amount is invalid",IF(J162&lt;&gt;0,"Amount differs","Matched")))))))</x:f>
      </x:c>
      <x:c r="L162" t="str">
        <x:f>IF(COUNTA(A162:F162)=0,"",LEN(A162)&amp;":"&amp;A162&amp;LEN(B162)&amp;":"&amp;B162&amp;LEN(C162)&amp;":"&amp;C162&amp;LEN(D162)&amp;":"&amp;D162)</x:f>
      </x:c>
      <x:c r="M162" t="str">
        <x:f>IF(COUNTA(A162:F162)=0,"",IF(ISNUMBER(E162),1,0))</x:f>
      </x:c>
    </x:row>
    <x:row r="163">
      <x:c r="A163" s="11"/>
      <x:c r="B163" s="11"/>
      <x:c r="C163" s="11"/>
      <x:c r="D163" s="11"/>
      <x:c r="E163" s="12"/>
      <x:c r="F163" s="10"/>
      <x:c r="G163" s="2" t="str">
        <x:f>IF(COUNTA(A163:F163)=0,"",COUNTIFS('App Data'!$L$2:$L$1001,SUBSTITUTE(SUBSTITUTE(SUBSTITUTE(L163,"~","~~"),"*","~*"),"?","~?")))</x:f>
      </x:c>
      <x:c r="H163" s="2" t="str">
        <x:f>IF(COUNTA(A163:F163)=0,"",COUNTIFS('External Data'!$L$2:$L$1001,SUBSTITUTE(SUBSTITUTE(SUBSTITUTE(L163,"~","~~"),"*","~*"),"?","~?")))</x:f>
      </x:c>
      <x:c r="I163" s="13" t="str">
        <x:f>IF(OR(H163&lt;&gt;1,G163&lt;&gt;1),"",SUMIFS('External Data'!$E$2:$E$1001,'External Data'!$L$2:$L$1001,SUBSTITUTE(SUBSTITUTE(SUBSTITUTE(L163,"~","~~"),"*","~*"),"?","~?")))</x:f>
      </x:c>
      <x:c r="J163" s="13" t="str">
        <x:f>IF(OR(NOT(ISNUMBER(E163)),NOT(ISNUMBER(I163))),"",ROUND(E163-I163,2))</x:f>
      </x:c>
      <x:c r="K163" s="2" t="str">
        <x:f>IF(COUNTA(A163:F163)=0,"",IF(OR(A163="",B163="",C163="",D163="",NOT(ISNUMBER(E163))),"Missing / invalid input",IF(G163&gt;1,"Duplicate key in this source",IF(H163=0,"Missing in other source",IF(H163&gt;1,"Duplicate in other source",IF(SUMIFS('External Data'!$M$2:$M$1001,'External Data'!$L$2:$L$1001,SUBSTITUTE(SUBSTITUTE(SUBSTITUTE(L163,"~","~~"),"*","~*"),"?","~?"))&lt;&gt;1,"Other amount is invalid",IF(J163&lt;&gt;0,"Amount differs","Matched")))))))</x:f>
      </x:c>
      <x:c r="L163" t="str">
        <x:f>IF(COUNTA(A163:F163)=0,"",LEN(A163)&amp;":"&amp;A163&amp;LEN(B163)&amp;":"&amp;B163&amp;LEN(C163)&amp;":"&amp;C163&amp;LEN(D163)&amp;":"&amp;D163)</x:f>
      </x:c>
      <x:c r="M163" t="str">
        <x:f>IF(COUNTA(A163:F163)=0,"",IF(ISNUMBER(E163),1,0))</x:f>
      </x:c>
    </x:row>
    <x:row r="164">
      <x:c r="A164" s="11"/>
      <x:c r="B164" s="11"/>
      <x:c r="C164" s="11"/>
      <x:c r="D164" s="11"/>
      <x:c r="E164" s="12"/>
      <x:c r="F164" s="10"/>
      <x:c r="G164" s="2" t="str">
        <x:f>IF(COUNTA(A164:F164)=0,"",COUNTIFS('App Data'!$L$2:$L$1001,SUBSTITUTE(SUBSTITUTE(SUBSTITUTE(L164,"~","~~"),"*","~*"),"?","~?")))</x:f>
      </x:c>
      <x:c r="H164" s="2" t="str">
        <x:f>IF(COUNTA(A164:F164)=0,"",COUNTIFS('External Data'!$L$2:$L$1001,SUBSTITUTE(SUBSTITUTE(SUBSTITUTE(L164,"~","~~"),"*","~*"),"?","~?")))</x:f>
      </x:c>
      <x:c r="I164" s="13" t="str">
        <x:f>IF(OR(H164&lt;&gt;1,G164&lt;&gt;1),"",SUMIFS('External Data'!$E$2:$E$1001,'External Data'!$L$2:$L$1001,SUBSTITUTE(SUBSTITUTE(SUBSTITUTE(L164,"~","~~"),"*","~*"),"?","~?")))</x:f>
      </x:c>
      <x:c r="J164" s="13" t="str">
        <x:f>IF(OR(NOT(ISNUMBER(E164)),NOT(ISNUMBER(I164))),"",ROUND(E164-I164,2))</x:f>
      </x:c>
      <x:c r="K164" s="2" t="str">
        <x:f>IF(COUNTA(A164:F164)=0,"",IF(OR(A164="",B164="",C164="",D164="",NOT(ISNUMBER(E164))),"Missing / invalid input",IF(G164&gt;1,"Duplicate key in this source",IF(H164=0,"Missing in other source",IF(H164&gt;1,"Duplicate in other source",IF(SUMIFS('External Data'!$M$2:$M$1001,'External Data'!$L$2:$L$1001,SUBSTITUTE(SUBSTITUTE(SUBSTITUTE(L164,"~","~~"),"*","~*"),"?","~?"))&lt;&gt;1,"Other amount is invalid",IF(J164&lt;&gt;0,"Amount differs","Matched")))))))</x:f>
      </x:c>
      <x:c r="L164" t="str">
        <x:f>IF(COUNTA(A164:F164)=0,"",LEN(A164)&amp;":"&amp;A164&amp;LEN(B164)&amp;":"&amp;B164&amp;LEN(C164)&amp;":"&amp;C164&amp;LEN(D164)&amp;":"&amp;D164)</x:f>
      </x:c>
      <x:c r="M164" t="str">
        <x:f>IF(COUNTA(A164:F164)=0,"",IF(ISNUMBER(E164),1,0))</x:f>
      </x:c>
    </x:row>
    <x:row r="165">
      <x:c r="A165" s="11"/>
      <x:c r="B165" s="11"/>
      <x:c r="C165" s="11"/>
      <x:c r="D165" s="11"/>
      <x:c r="E165" s="12"/>
      <x:c r="F165" s="10"/>
      <x:c r="G165" s="2" t="str">
        <x:f>IF(COUNTA(A165:F165)=0,"",COUNTIFS('App Data'!$L$2:$L$1001,SUBSTITUTE(SUBSTITUTE(SUBSTITUTE(L165,"~","~~"),"*","~*"),"?","~?")))</x:f>
      </x:c>
      <x:c r="H165" s="2" t="str">
        <x:f>IF(COUNTA(A165:F165)=0,"",COUNTIFS('External Data'!$L$2:$L$1001,SUBSTITUTE(SUBSTITUTE(SUBSTITUTE(L165,"~","~~"),"*","~*"),"?","~?")))</x:f>
      </x:c>
      <x:c r="I165" s="13" t="str">
        <x:f>IF(OR(H165&lt;&gt;1,G165&lt;&gt;1),"",SUMIFS('External Data'!$E$2:$E$1001,'External Data'!$L$2:$L$1001,SUBSTITUTE(SUBSTITUTE(SUBSTITUTE(L165,"~","~~"),"*","~*"),"?","~?")))</x:f>
      </x:c>
      <x:c r="J165" s="13" t="str">
        <x:f>IF(OR(NOT(ISNUMBER(E165)),NOT(ISNUMBER(I165))),"",ROUND(E165-I165,2))</x:f>
      </x:c>
      <x:c r="K165" s="2" t="str">
        <x:f>IF(COUNTA(A165:F165)=0,"",IF(OR(A165="",B165="",C165="",D165="",NOT(ISNUMBER(E165))),"Missing / invalid input",IF(G165&gt;1,"Duplicate key in this source",IF(H165=0,"Missing in other source",IF(H165&gt;1,"Duplicate in other source",IF(SUMIFS('External Data'!$M$2:$M$1001,'External Data'!$L$2:$L$1001,SUBSTITUTE(SUBSTITUTE(SUBSTITUTE(L165,"~","~~"),"*","~*"),"?","~?"))&lt;&gt;1,"Other amount is invalid",IF(J165&lt;&gt;0,"Amount differs","Matched")))))))</x:f>
      </x:c>
      <x:c r="L165" t="str">
        <x:f>IF(COUNTA(A165:F165)=0,"",LEN(A165)&amp;":"&amp;A165&amp;LEN(B165)&amp;":"&amp;B165&amp;LEN(C165)&amp;":"&amp;C165&amp;LEN(D165)&amp;":"&amp;D165)</x:f>
      </x:c>
      <x:c r="M165" t="str">
        <x:f>IF(COUNTA(A165:F165)=0,"",IF(ISNUMBER(E165),1,0))</x:f>
      </x:c>
    </x:row>
    <x:row r="166">
      <x:c r="A166" s="11"/>
      <x:c r="B166" s="11"/>
      <x:c r="C166" s="11"/>
      <x:c r="D166" s="11"/>
      <x:c r="E166" s="12"/>
      <x:c r="F166" s="10"/>
      <x:c r="G166" s="2" t="str">
        <x:f>IF(COUNTA(A166:F166)=0,"",COUNTIFS('App Data'!$L$2:$L$1001,SUBSTITUTE(SUBSTITUTE(SUBSTITUTE(L166,"~","~~"),"*","~*"),"?","~?")))</x:f>
      </x:c>
      <x:c r="H166" s="2" t="str">
        <x:f>IF(COUNTA(A166:F166)=0,"",COUNTIFS('External Data'!$L$2:$L$1001,SUBSTITUTE(SUBSTITUTE(SUBSTITUTE(L166,"~","~~"),"*","~*"),"?","~?")))</x:f>
      </x:c>
      <x:c r="I166" s="13" t="str">
        <x:f>IF(OR(H166&lt;&gt;1,G166&lt;&gt;1),"",SUMIFS('External Data'!$E$2:$E$1001,'External Data'!$L$2:$L$1001,SUBSTITUTE(SUBSTITUTE(SUBSTITUTE(L166,"~","~~"),"*","~*"),"?","~?")))</x:f>
      </x:c>
      <x:c r="J166" s="13" t="str">
        <x:f>IF(OR(NOT(ISNUMBER(E166)),NOT(ISNUMBER(I166))),"",ROUND(E166-I166,2))</x:f>
      </x:c>
      <x:c r="K166" s="2" t="str">
        <x:f>IF(COUNTA(A166:F166)=0,"",IF(OR(A166="",B166="",C166="",D166="",NOT(ISNUMBER(E166))),"Missing / invalid input",IF(G166&gt;1,"Duplicate key in this source",IF(H166=0,"Missing in other source",IF(H166&gt;1,"Duplicate in other source",IF(SUMIFS('External Data'!$M$2:$M$1001,'External Data'!$L$2:$L$1001,SUBSTITUTE(SUBSTITUTE(SUBSTITUTE(L166,"~","~~"),"*","~*"),"?","~?"))&lt;&gt;1,"Other amount is invalid",IF(J166&lt;&gt;0,"Amount differs","Matched")))))))</x:f>
      </x:c>
      <x:c r="L166" t="str">
        <x:f>IF(COUNTA(A166:F166)=0,"",LEN(A166)&amp;":"&amp;A166&amp;LEN(B166)&amp;":"&amp;B166&amp;LEN(C166)&amp;":"&amp;C166&amp;LEN(D166)&amp;":"&amp;D166)</x:f>
      </x:c>
      <x:c r="M166" t="str">
        <x:f>IF(COUNTA(A166:F166)=0,"",IF(ISNUMBER(E166),1,0))</x:f>
      </x:c>
    </x:row>
    <x:row r="167">
      <x:c r="A167" s="11"/>
      <x:c r="B167" s="11"/>
      <x:c r="C167" s="11"/>
      <x:c r="D167" s="11"/>
      <x:c r="E167" s="12"/>
      <x:c r="F167" s="10"/>
      <x:c r="G167" s="2" t="str">
        <x:f>IF(COUNTA(A167:F167)=0,"",COUNTIFS('App Data'!$L$2:$L$1001,SUBSTITUTE(SUBSTITUTE(SUBSTITUTE(L167,"~","~~"),"*","~*"),"?","~?")))</x:f>
      </x:c>
      <x:c r="H167" s="2" t="str">
        <x:f>IF(COUNTA(A167:F167)=0,"",COUNTIFS('External Data'!$L$2:$L$1001,SUBSTITUTE(SUBSTITUTE(SUBSTITUTE(L167,"~","~~"),"*","~*"),"?","~?")))</x:f>
      </x:c>
      <x:c r="I167" s="13" t="str">
        <x:f>IF(OR(H167&lt;&gt;1,G167&lt;&gt;1),"",SUMIFS('External Data'!$E$2:$E$1001,'External Data'!$L$2:$L$1001,SUBSTITUTE(SUBSTITUTE(SUBSTITUTE(L167,"~","~~"),"*","~*"),"?","~?")))</x:f>
      </x:c>
      <x:c r="J167" s="13" t="str">
        <x:f>IF(OR(NOT(ISNUMBER(E167)),NOT(ISNUMBER(I167))),"",ROUND(E167-I167,2))</x:f>
      </x:c>
      <x:c r="K167" s="2" t="str">
        <x:f>IF(COUNTA(A167:F167)=0,"",IF(OR(A167="",B167="",C167="",D167="",NOT(ISNUMBER(E167))),"Missing / invalid input",IF(G167&gt;1,"Duplicate key in this source",IF(H167=0,"Missing in other source",IF(H167&gt;1,"Duplicate in other source",IF(SUMIFS('External Data'!$M$2:$M$1001,'External Data'!$L$2:$L$1001,SUBSTITUTE(SUBSTITUTE(SUBSTITUTE(L167,"~","~~"),"*","~*"),"?","~?"))&lt;&gt;1,"Other amount is invalid",IF(J167&lt;&gt;0,"Amount differs","Matched")))))))</x:f>
      </x:c>
      <x:c r="L167" t="str">
        <x:f>IF(COUNTA(A167:F167)=0,"",LEN(A167)&amp;":"&amp;A167&amp;LEN(B167)&amp;":"&amp;B167&amp;LEN(C167)&amp;":"&amp;C167&amp;LEN(D167)&amp;":"&amp;D167)</x:f>
      </x:c>
      <x:c r="M167" t="str">
        <x:f>IF(COUNTA(A167:F167)=0,"",IF(ISNUMBER(E167),1,0))</x:f>
      </x:c>
    </x:row>
    <x:row r="168">
      <x:c r="A168" s="11"/>
      <x:c r="B168" s="11"/>
      <x:c r="C168" s="11"/>
      <x:c r="D168" s="11"/>
      <x:c r="E168" s="12"/>
      <x:c r="F168" s="10"/>
      <x:c r="G168" s="2" t="str">
        <x:f>IF(COUNTA(A168:F168)=0,"",COUNTIFS('App Data'!$L$2:$L$1001,SUBSTITUTE(SUBSTITUTE(SUBSTITUTE(L168,"~","~~"),"*","~*"),"?","~?")))</x:f>
      </x:c>
      <x:c r="H168" s="2" t="str">
        <x:f>IF(COUNTA(A168:F168)=0,"",COUNTIFS('External Data'!$L$2:$L$1001,SUBSTITUTE(SUBSTITUTE(SUBSTITUTE(L168,"~","~~"),"*","~*"),"?","~?")))</x:f>
      </x:c>
      <x:c r="I168" s="13" t="str">
        <x:f>IF(OR(H168&lt;&gt;1,G168&lt;&gt;1),"",SUMIFS('External Data'!$E$2:$E$1001,'External Data'!$L$2:$L$1001,SUBSTITUTE(SUBSTITUTE(SUBSTITUTE(L168,"~","~~"),"*","~*"),"?","~?")))</x:f>
      </x:c>
      <x:c r="J168" s="13" t="str">
        <x:f>IF(OR(NOT(ISNUMBER(E168)),NOT(ISNUMBER(I168))),"",ROUND(E168-I168,2))</x:f>
      </x:c>
      <x:c r="K168" s="2" t="str">
        <x:f>IF(COUNTA(A168:F168)=0,"",IF(OR(A168="",B168="",C168="",D168="",NOT(ISNUMBER(E168))),"Missing / invalid input",IF(G168&gt;1,"Duplicate key in this source",IF(H168=0,"Missing in other source",IF(H168&gt;1,"Duplicate in other source",IF(SUMIFS('External Data'!$M$2:$M$1001,'External Data'!$L$2:$L$1001,SUBSTITUTE(SUBSTITUTE(SUBSTITUTE(L168,"~","~~"),"*","~*"),"?","~?"))&lt;&gt;1,"Other amount is invalid",IF(J168&lt;&gt;0,"Amount differs","Matched")))))))</x:f>
      </x:c>
      <x:c r="L168" t="str">
        <x:f>IF(COUNTA(A168:F168)=0,"",LEN(A168)&amp;":"&amp;A168&amp;LEN(B168)&amp;":"&amp;B168&amp;LEN(C168)&amp;":"&amp;C168&amp;LEN(D168)&amp;":"&amp;D168)</x:f>
      </x:c>
      <x:c r="M168" t="str">
        <x:f>IF(COUNTA(A168:F168)=0,"",IF(ISNUMBER(E168),1,0))</x:f>
      </x:c>
    </x:row>
    <x:row r="169">
      <x:c r="A169" s="11"/>
      <x:c r="B169" s="11"/>
      <x:c r="C169" s="11"/>
      <x:c r="D169" s="11"/>
      <x:c r="E169" s="12"/>
      <x:c r="F169" s="10"/>
      <x:c r="G169" s="2" t="str">
        <x:f>IF(COUNTA(A169:F169)=0,"",COUNTIFS('App Data'!$L$2:$L$1001,SUBSTITUTE(SUBSTITUTE(SUBSTITUTE(L169,"~","~~"),"*","~*"),"?","~?")))</x:f>
      </x:c>
      <x:c r="H169" s="2" t="str">
        <x:f>IF(COUNTA(A169:F169)=0,"",COUNTIFS('External Data'!$L$2:$L$1001,SUBSTITUTE(SUBSTITUTE(SUBSTITUTE(L169,"~","~~"),"*","~*"),"?","~?")))</x:f>
      </x:c>
      <x:c r="I169" s="13" t="str">
        <x:f>IF(OR(H169&lt;&gt;1,G169&lt;&gt;1),"",SUMIFS('External Data'!$E$2:$E$1001,'External Data'!$L$2:$L$1001,SUBSTITUTE(SUBSTITUTE(SUBSTITUTE(L169,"~","~~"),"*","~*"),"?","~?")))</x:f>
      </x:c>
      <x:c r="J169" s="13" t="str">
        <x:f>IF(OR(NOT(ISNUMBER(E169)),NOT(ISNUMBER(I169))),"",ROUND(E169-I169,2))</x:f>
      </x:c>
      <x:c r="K169" s="2" t="str">
        <x:f>IF(COUNTA(A169:F169)=0,"",IF(OR(A169="",B169="",C169="",D169="",NOT(ISNUMBER(E169))),"Missing / invalid input",IF(G169&gt;1,"Duplicate key in this source",IF(H169=0,"Missing in other source",IF(H169&gt;1,"Duplicate in other source",IF(SUMIFS('External Data'!$M$2:$M$1001,'External Data'!$L$2:$L$1001,SUBSTITUTE(SUBSTITUTE(SUBSTITUTE(L169,"~","~~"),"*","~*"),"?","~?"))&lt;&gt;1,"Other amount is invalid",IF(J169&lt;&gt;0,"Amount differs","Matched")))))))</x:f>
      </x:c>
      <x:c r="L169" t="str">
        <x:f>IF(COUNTA(A169:F169)=0,"",LEN(A169)&amp;":"&amp;A169&amp;LEN(B169)&amp;":"&amp;B169&amp;LEN(C169)&amp;":"&amp;C169&amp;LEN(D169)&amp;":"&amp;D169)</x:f>
      </x:c>
      <x:c r="M169" t="str">
        <x:f>IF(COUNTA(A169:F169)=0,"",IF(ISNUMBER(E169),1,0))</x:f>
      </x:c>
    </x:row>
    <x:row r="170">
      <x:c r="A170" s="11"/>
      <x:c r="B170" s="11"/>
      <x:c r="C170" s="11"/>
      <x:c r="D170" s="11"/>
      <x:c r="E170" s="12"/>
      <x:c r="F170" s="10"/>
      <x:c r="G170" s="2" t="str">
        <x:f>IF(COUNTA(A170:F170)=0,"",COUNTIFS('App Data'!$L$2:$L$1001,SUBSTITUTE(SUBSTITUTE(SUBSTITUTE(L170,"~","~~"),"*","~*"),"?","~?")))</x:f>
      </x:c>
      <x:c r="H170" s="2" t="str">
        <x:f>IF(COUNTA(A170:F170)=0,"",COUNTIFS('External Data'!$L$2:$L$1001,SUBSTITUTE(SUBSTITUTE(SUBSTITUTE(L170,"~","~~"),"*","~*"),"?","~?")))</x:f>
      </x:c>
      <x:c r="I170" s="13" t="str">
        <x:f>IF(OR(H170&lt;&gt;1,G170&lt;&gt;1),"",SUMIFS('External Data'!$E$2:$E$1001,'External Data'!$L$2:$L$1001,SUBSTITUTE(SUBSTITUTE(SUBSTITUTE(L170,"~","~~"),"*","~*"),"?","~?")))</x:f>
      </x:c>
      <x:c r="J170" s="13" t="str">
        <x:f>IF(OR(NOT(ISNUMBER(E170)),NOT(ISNUMBER(I170))),"",ROUND(E170-I170,2))</x:f>
      </x:c>
      <x:c r="K170" s="2" t="str">
        <x:f>IF(COUNTA(A170:F170)=0,"",IF(OR(A170="",B170="",C170="",D170="",NOT(ISNUMBER(E170))),"Missing / invalid input",IF(G170&gt;1,"Duplicate key in this source",IF(H170=0,"Missing in other source",IF(H170&gt;1,"Duplicate in other source",IF(SUMIFS('External Data'!$M$2:$M$1001,'External Data'!$L$2:$L$1001,SUBSTITUTE(SUBSTITUTE(SUBSTITUTE(L170,"~","~~"),"*","~*"),"?","~?"))&lt;&gt;1,"Other amount is invalid",IF(J170&lt;&gt;0,"Amount differs","Matched")))))))</x:f>
      </x:c>
      <x:c r="L170" t="str">
        <x:f>IF(COUNTA(A170:F170)=0,"",LEN(A170)&amp;":"&amp;A170&amp;LEN(B170)&amp;":"&amp;B170&amp;LEN(C170)&amp;":"&amp;C170&amp;LEN(D170)&amp;":"&amp;D170)</x:f>
      </x:c>
      <x:c r="M170" t="str">
        <x:f>IF(COUNTA(A170:F170)=0,"",IF(ISNUMBER(E170),1,0))</x:f>
      </x:c>
    </x:row>
    <x:row r="171">
      <x:c r="A171" s="11"/>
      <x:c r="B171" s="11"/>
      <x:c r="C171" s="11"/>
      <x:c r="D171" s="11"/>
      <x:c r="E171" s="12"/>
      <x:c r="F171" s="10"/>
      <x:c r="G171" s="2" t="str">
        <x:f>IF(COUNTA(A171:F171)=0,"",COUNTIFS('App Data'!$L$2:$L$1001,SUBSTITUTE(SUBSTITUTE(SUBSTITUTE(L171,"~","~~"),"*","~*"),"?","~?")))</x:f>
      </x:c>
      <x:c r="H171" s="2" t="str">
        <x:f>IF(COUNTA(A171:F171)=0,"",COUNTIFS('External Data'!$L$2:$L$1001,SUBSTITUTE(SUBSTITUTE(SUBSTITUTE(L171,"~","~~"),"*","~*"),"?","~?")))</x:f>
      </x:c>
      <x:c r="I171" s="13" t="str">
        <x:f>IF(OR(H171&lt;&gt;1,G171&lt;&gt;1),"",SUMIFS('External Data'!$E$2:$E$1001,'External Data'!$L$2:$L$1001,SUBSTITUTE(SUBSTITUTE(SUBSTITUTE(L171,"~","~~"),"*","~*"),"?","~?")))</x:f>
      </x:c>
      <x:c r="J171" s="13" t="str">
        <x:f>IF(OR(NOT(ISNUMBER(E171)),NOT(ISNUMBER(I171))),"",ROUND(E171-I171,2))</x:f>
      </x:c>
      <x:c r="K171" s="2" t="str">
        <x:f>IF(COUNTA(A171:F171)=0,"",IF(OR(A171="",B171="",C171="",D171="",NOT(ISNUMBER(E171))),"Missing / invalid input",IF(G171&gt;1,"Duplicate key in this source",IF(H171=0,"Missing in other source",IF(H171&gt;1,"Duplicate in other source",IF(SUMIFS('External Data'!$M$2:$M$1001,'External Data'!$L$2:$L$1001,SUBSTITUTE(SUBSTITUTE(SUBSTITUTE(L171,"~","~~"),"*","~*"),"?","~?"))&lt;&gt;1,"Other amount is invalid",IF(J171&lt;&gt;0,"Amount differs","Matched")))))))</x:f>
      </x:c>
      <x:c r="L171" t="str">
        <x:f>IF(COUNTA(A171:F171)=0,"",LEN(A171)&amp;":"&amp;A171&amp;LEN(B171)&amp;":"&amp;B171&amp;LEN(C171)&amp;":"&amp;C171&amp;LEN(D171)&amp;":"&amp;D171)</x:f>
      </x:c>
      <x:c r="M171" t="str">
        <x:f>IF(COUNTA(A171:F171)=0,"",IF(ISNUMBER(E171),1,0))</x:f>
      </x:c>
    </x:row>
    <x:row r="172">
      <x:c r="A172" s="11"/>
      <x:c r="B172" s="11"/>
      <x:c r="C172" s="11"/>
      <x:c r="D172" s="11"/>
      <x:c r="E172" s="12"/>
      <x:c r="F172" s="10"/>
      <x:c r="G172" s="2" t="str">
        <x:f>IF(COUNTA(A172:F172)=0,"",COUNTIFS('App Data'!$L$2:$L$1001,SUBSTITUTE(SUBSTITUTE(SUBSTITUTE(L172,"~","~~"),"*","~*"),"?","~?")))</x:f>
      </x:c>
      <x:c r="H172" s="2" t="str">
        <x:f>IF(COUNTA(A172:F172)=0,"",COUNTIFS('External Data'!$L$2:$L$1001,SUBSTITUTE(SUBSTITUTE(SUBSTITUTE(L172,"~","~~"),"*","~*"),"?","~?")))</x:f>
      </x:c>
      <x:c r="I172" s="13" t="str">
        <x:f>IF(OR(H172&lt;&gt;1,G172&lt;&gt;1),"",SUMIFS('External Data'!$E$2:$E$1001,'External Data'!$L$2:$L$1001,SUBSTITUTE(SUBSTITUTE(SUBSTITUTE(L172,"~","~~"),"*","~*"),"?","~?")))</x:f>
      </x:c>
      <x:c r="J172" s="13" t="str">
        <x:f>IF(OR(NOT(ISNUMBER(E172)),NOT(ISNUMBER(I172))),"",ROUND(E172-I172,2))</x:f>
      </x:c>
      <x:c r="K172" s="2" t="str">
        <x:f>IF(COUNTA(A172:F172)=0,"",IF(OR(A172="",B172="",C172="",D172="",NOT(ISNUMBER(E172))),"Missing / invalid input",IF(G172&gt;1,"Duplicate key in this source",IF(H172=0,"Missing in other source",IF(H172&gt;1,"Duplicate in other source",IF(SUMIFS('External Data'!$M$2:$M$1001,'External Data'!$L$2:$L$1001,SUBSTITUTE(SUBSTITUTE(SUBSTITUTE(L172,"~","~~"),"*","~*"),"?","~?"))&lt;&gt;1,"Other amount is invalid",IF(J172&lt;&gt;0,"Amount differs","Matched")))))))</x:f>
      </x:c>
      <x:c r="L172" t="str">
        <x:f>IF(COUNTA(A172:F172)=0,"",LEN(A172)&amp;":"&amp;A172&amp;LEN(B172)&amp;":"&amp;B172&amp;LEN(C172)&amp;":"&amp;C172&amp;LEN(D172)&amp;":"&amp;D172)</x:f>
      </x:c>
      <x:c r="M172" t="str">
        <x:f>IF(COUNTA(A172:F172)=0,"",IF(ISNUMBER(E172),1,0))</x:f>
      </x:c>
    </x:row>
    <x:row r="173">
      <x:c r="A173" s="11"/>
      <x:c r="B173" s="11"/>
      <x:c r="C173" s="11"/>
      <x:c r="D173" s="11"/>
      <x:c r="E173" s="12"/>
      <x:c r="F173" s="10"/>
      <x:c r="G173" s="2" t="str">
        <x:f>IF(COUNTA(A173:F173)=0,"",COUNTIFS('App Data'!$L$2:$L$1001,SUBSTITUTE(SUBSTITUTE(SUBSTITUTE(L173,"~","~~"),"*","~*"),"?","~?")))</x:f>
      </x:c>
      <x:c r="H173" s="2" t="str">
        <x:f>IF(COUNTA(A173:F173)=0,"",COUNTIFS('External Data'!$L$2:$L$1001,SUBSTITUTE(SUBSTITUTE(SUBSTITUTE(L173,"~","~~"),"*","~*"),"?","~?")))</x:f>
      </x:c>
      <x:c r="I173" s="13" t="str">
        <x:f>IF(OR(H173&lt;&gt;1,G173&lt;&gt;1),"",SUMIFS('External Data'!$E$2:$E$1001,'External Data'!$L$2:$L$1001,SUBSTITUTE(SUBSTITUTE(SUBSTITUTE(L173,"~","~~"),"*","~*"),"?","~?")))</x:f>
      </x:c>
      <x:c r="J173" s="13" t="str">
        <x:f>IF(OR(NOT(ISNUMBER(E173)),NOT(ISNUMBER(I173))),"",ROUND(E173-I173,2))</x:f>
      </x:c>
      <x:c r="K173" s="2" t="str">
        <x:f>IF(COUNTA(A173:F173)=0,"",IF(OR(A173="",B173="",C173="",D173="",NOT(ISNUMBER(E173))),"Missing / invalid input",IF(G173&gt;1,"Duplicate key in this source",IF(H173=0,"Missing in other source",IF(H173&gt;1,"Duplicate in other source",IF(SUMIFS('External Data'!$M$2:$M$1001,'External Data'!$L$2:$L$1001,SUBSTITUTE(SUBSTITUTE(SUBSTITUTE(L173,"~","~~"),"*","~*"),"?","~?"))&lt;&gt;1,"Other amount is invalid",IF(J173&lt;&gt;0,"Amount differs","Matched")))))))</x:f>
      </x:c>
      <x:c r="L173" t="str">
        <x:f>IF(COUNTA(A173:F173)=0,"",LEN(A173)&amp;":"&amp;A173&amp;LEN(B173)&amp;":"&amp;B173&amp;LEN(C173)&amp;":"&amp;C173&amp;LEN(D173)&amp;":"&amp;D173)</x:f>
      </x:c>
      <x:c r="M173" t="str">
        <x:f>IF(COUNTA(A173:F173)=0,"",IF(ISNUMBER(E173),1,0))</x:f>
      </x:c>
    </x:row>
    <x:row r="174">
      <x:c r="A174" s="11"/>
      <x:c r="B174" s="11"/>
      <x:c r="C174" s="11"/>
      <x:c r="D174" s="11"/>
      <x:c r="E174" s="12"/>
      <x:c r="F174" s="10"/>
      <x:c r="G174" s="2" t="str">
        <x:f>IF(COUNTA(A174:F174)=0,"",COUNTIFS('App Data'!$L$2:$L$1001,SUBSTITUTE(SUBSTITUTE(SUBSTITUTE(L174,"~","~~"),"*","~*"),"?","~?")))</x:f>
      </x:c>
      <x:c r="H174" s="2" t="str">
        <x:f>IF(COUNTA(A174:F174)=0,"",COUNTIFS('External Data'!$L$2:$L$1001,SUBSTITUTE(SUBSTITUTE(SUBSTITUTE(L174,"~","~~"),"*","~*"),"?","~?")))</x:f>
      </x:c>
      <x:c r="I174" s="13" t="str">
        <x:f>IF(OR(H174&lt;&gt;1,G174&lt;&gt;1),"",SUMIFS('External Data'!$E$2:$E$1001,'External Data'!$L$2:$L$1001,SUBSTITUTE(SUBSTITUTE(SUBSTITUTE(L174,"~","~~"),"*","~*"),"?","~?")))</x:f>
      </x:c>
      <x:c r="J174" s="13" t="str">
        <x:f>IF(OR(NOT(ISNUMBER(E174)),NOT(ISNUMBER(I174))),"",ROUND(E174-I174,2))</x:f>
      </x:c>
      <x:c r="K174" s="2" t="str">
        <x:f>IF(COUNTA(A174:F174)=0,"",IF(OR(A174="",B174="",C174="",D174="",NOT(ISNUMBER(E174))),"Missing / invalid input",IF(G174&gt;1,"Duplicate key in this source",IF(H174=0,"Missing in other source",IF(H174&gt;1,"Duplicate in other source",IF(SUMIFS('External Data'!$M$2:$M$1001,'External Data'!$L$2:$L$1001,SUBSTITUTE(SUBSTITUTE(SUBSTITUTE(L174,"~","~~"),"*","~*"),"?","~?"))&lt;&gt;1,"Other amount is invalid",IF(J174&lt;&gt;0,"Amount differs","Matched")))))))</x:f>
      </x:c>
      <x:c r="L174" t="str">
        <x:f>IF(COUNTA(A174:F174)=0,"",LEN(A174)&amp;":"&amp;A174&amp;LEN(B174)&amp;":"&amp;B174&amp;LEN(C174)&amp;":"&amp;C174&amp;LEN(D174)&amp;":"&amp;D174)</x:f>
      </x:c>
      <x:c r="M174" t="str">
        <x:f>IF(COUNTA(A174:F174)=0,"",IF(ISNUMBER(E174),1,0))</x:f>
      </x:c>
    </x:row>
    <x:row r="175">
      <x:c r="A175" s="11"/>
      <x:c r="B175" s="11"/>
      <x:c r="C175" s="11"/>
      <x:c r="D175" s="11"/>
      <x:c r="E175" s="12"/>
      <x:c r="F175" s="10"/>
      <x:c r="G175" s="2" t="str">
        <x:f>IF(COUNTA(A175:F175)=0,"",COUNTIFS('App Data'!$L$2:$L$1001,SUBSTITUTE(SUBSTITUTE(SUBSTITUTE(L175,"~","~~"),"*","~*"),"?","~?")))</x:f>
      </x:c>
      <x:c r="H175" s="2" t="str">
        <x:f>IF(COUNTA(A175:F175)=0,"",COUNTIFS('External Data'!$L$2:$L$1001,SUBSTITUTE(SUBSTITUTE(SUBSTITUTE(L175,"~","~~"),"*","~*"),"?","~?")))</x:f>
      </x:c>
      <x:c r="I175" s="13" t="str">
        <x:f>IF(OR(H175&lt;&gt;1,G175&lt;&gt;1),"",SUMIFS('External Data'!$E$2:$E$1001,'External Data'!$L$2:$L$1001,SUBSTITUTE(SUBSTITUTE(SUBSTITUTE(L175,"~","~~"),"*","~*"),"?","~?")))</x:f>
      </x:c>
      <x:c r="J175" s="13" t="str">
        <x:f>IF(OR(NOT(ISNUMBER(E175)),NOT(ISNUMBER(I175))),"",ROUND(E175-I175,2))</x:f>
      </x:c>
      <x:c r="K175" s="2" t="str">
        <x:f>IF(COUNTA(A175:F175)=0,"",IF(OR(A175="",B175="",C175="",D175="",NOT(ISNUMBER(E175))),"Missing / invalid input",IF(G175&gt;1,"Duplicate key in this source",IF(H175=0,"Missing in other source",IF(H175&gt;1,"Duplicate in other source",IF(SUMIFS('External Data'!$M$2:$M$1001,'External Data'!$L$2:$L$1001,SUBSTITUTE(SUBSTITUTE(SUBSTITUTE(L175,"~","~~"),"*","~*"),"?","~?"))&lt;&gt;1,"Other amount is invalid",IF(J175&lt;&gt;0,"Amount differs","Matched")))))))</x:f>
      </x:c>
      <x:c r="L175" t="str">
        <x:f>IF(COUNTA(A175:F175)=0,"",LEN(A175)&amp;":"&amp;A175&amp;LEN(B175)&amp;":"&amp;B175&amp;LEN(C175)&amp;":"&amp;C175&amp;LEN(D175)&amp;":"&amp;D175)</x:f>
      </x:c>
      <x:c r="M175" t="str">
        <x:f>IF(COUNTA(A175:F175)=0,"",IF(ISNUMBER(E175),1,0))</x:f>
      </x:c>
    </x:row>
    <x:row r="176">
      <x:c r="A176" s="11"/>
      <x:c r="B176" s="11"/>
      <x:c r="C176" s="11"/>
      <x:c r="D176" s="11"/>
      <x:c r="E176" s="12"/>
      <x:c r="F176" s="10"/>
      <x:c r="G176" s="2" t="str">
        <x:f>IF(COUNTA(A176:F176)=0,"",COUNTIFS('App Data'!$L$2:$L$1001,SUBSTITUTE(SUBSTITUTE(SUBSTITUTE(L176,"~","~~"),"*","~*"),"?","~?")))</x:f>
      </x:c>
      <x:c r="H176" s="2" t="str">
        <x:f>IF(COUNTA(A176:F176)=0,"",COUNTIFS('External Data'!$L$2:$L$1001,SUBSTITUTE(SUBSTITUTE(SUBSTITUTE(L176,"~","~~"),"*","~*"),"?","~?")))</x:f>
      </x:c>
      <x:c r="I176" s="13" t="str">
        <x:f>IF(OR(H176&lt;&gt;1,G176&lt;&gt;1),"",SUMIFS('External Data'!$E$2:$E$1001,'External Data'!$L$2:$L$1001,SUBSTITUTE(SUBSTITUTE(SUBSTITUTE(L176,"~","~~"),"*","~*"),"?","~?")))</x:f>
      </x:c>
      <x:c r="J176" s="13" t="str">
        <x:f>IF(OR(NOT(ISNUMBER(E176)),NOT(ISNUMBER(I176))),"",ROUND(E176-I176,2))</x:f>
      </x:c>
      <x:c r="K176" s="2" t="str">
        <x:f>IF(COUNTA(A176:F176)=0,"",IF(OR(A176="",B176="",C176="",D176="",NOT(ISNUMBER(E176))),"Missing / invalid input",IF(G176&gt;1,"Duplicate key in this source",IF(H176=0,"Missing in other source",IF(H176&gt;1,"Duplicate in other source",IF(SUMIFS('External Data'!$M$2:$M$1001,'External Data'!$L$2:$L$1001,SUBSTITUTE(SUBSTITUTE(SUBSTITUTE(L176,"~","~~"),"*","~*"),"?","~?"))&lt;&gt;1,"Other amount is invalid",IF(J176&lt;&gt;0,"Amount differs","Matched")))))))</x:f>
      </x:c>
      <x:c r="L176" t="str">
        <x:f>IF(COUNTA(A176:F176)=0,"",LEN(A176)&amp;":"&amp;A176&amp;LEN(B176)&amp;":"&amp;B176&amp;LEN(C176)&amp;":"&amp;C176&amp;LEN(D176)&amp;":"&amp;D176)</x:f>
      </x:c>
      <x:c r="M176" t="str">
        <x:f>IF(COUNTA(A176:F176)=0,"",IF(ISNUMBER(E176),1,0))</x:f>
      </x:c>
    </x:row>
    <x:row r="177">
      <x:c r="A177" s="11"/>
      <x:c r="B177" s="11"/>
      <x:c r="C177" s="11"/>
      <x:c r="D177" s="11"/>
      <x:c r="E177" s="12"/>
      <x:c r="F177" s="10"/>
      <x:c r="G177" s="2" t="str">
        <x:f>IF(COUNTA(A177:F177)=0,"",COUNTIFS('App Data'!$L$2:$L$1001,SUBSTITUTE(SUBSTITUTE(SUBSTITUTE(L177,"~","~~"),"*","~*"),"?","~?")))</x:f>
      </x:c>
      <x:c r="H177" s="2" t="str">
        <x:f>IF(COUNTA(A177:F177)=0,"",COUNTIFS('External Data'!$L$2:$L$1001,SUBSTITUTE(SUBSTITUTE(SUBSTITUTE(L177,"~","~~"),"*","~*"),"?","~?")))</x:f>
      </x:c>
      <x:c r="I177" s="13" t="str">
        <x:f>IF(OR(H177&lt;&gt;1,G177&lt;&gt;1),"",SUMIFS('External Data'!$E$2:$E$1001,'External Data'!$L$2:$L$1001,SUBSTITUTE(SUBSTITUTE(SUBSTITUTE(L177,"~","~~"),"*","~*"),"?","~?")))</x:f>
      </x:c>
      <x:c r="J177" s="13" t="str">
        <x:f>IF(OR(NOT(ISNUMBER(E177)),NOT(ISNUMBER(I177))),"",ROUND(E177-I177,2))</x:f>
      </x:c>
      <x:c r="K177" s="2" t="str">
        <x:f>IF(COUNTA(A177:F177)=0,"",IF(OR(A177="",B177="",C177="",D177="",NOT(ISNUMBER(E177))),"Missing / invalid input",IF(G177&gt;1,"Duplicate key in this source",IF(H177=0,"Missing in other source",IF(H177&gt;1,"Duplicate in other source",IF(SUMIFS('External Data'!$M$2:$M$1001,'External Data'!$L$2:$L$1001,SUBSTITUTE(SUBSTITUTE(SUBSTITUTE(L177,"~","~~"),"*","~*"),"?","~?"))&lt;&gt;1,"Other amount is invalid",IF(J177&lt;&gt;0,"Amount differs","Matched")))))))</x:f>
      </x:c>
      <x:c r="L177" t="str">
        <x:f>IF(COUNTA(A177:F177)=0,"",LEN(A177)&amp;":"&amp;A177&amp;LEN(B177)&amp;":"&amp;B177&amp;LEN(C177)&amp;":"&amp;C177&amp;LEN(D177)&amp;":"&amp;D177)</x:f>
      </x:c>
      <x:c r="M177" t="str">
        <x:f>IF(COUNTA(A177:F177)=0,"",IF(ISNUMBER(E177),1,0))</x:f>
      </x:c>
    </x:row>
    <x:row r="178">
      <x:c r="A178" s="11"/>
      <x:c r="B178" s="11"/>
      <x:c r="C178" s="11"/>
      <x:c r="D178" s="11"/>
      <x:c r="E178" s="12"/>
      <x:c r="F178" s="10"/>
      <x:c r="G178" s="2" t="str">
        <x:f>IF(COUNTA(A178:F178)=0,"",COUNTIFS('App Data'!$L$2:$L$1001,SUBSTITUTE(SUBSTITUTE(SUBSTITUTE(L178,"~","~~"),"*","~*"),"?","~?")))</x:f>
      </x:c>
      <x:c r="H178" s="2" t="str">
        <x:f>IF(COUNTA(A178:F178)=0,"",COUNTIFS('External Data'!$L$2:$L$1001,SUBSTITUTE(SUBSTITUTE(SUBSTITUTE(L178,"~","~~"),"*","~*"),"?","~?")))</x:f>
      </x:c>
      <x:c r="I178" s="13" t="str">
        <x:f>IF(OR(H178&lt;&gt;1,G178&lt;&gt;1),"",SUMIFS('External Data'!$E$2:$E$1001,'External Data'!$L$2:$L$1001,SUBSTITUTE(SUBSTITUTE(SUBSTITUTE(L178,"~","~~"),"*","~*"),"?","~?")))</x:f>
      </x:c>
      <x:c r="J178" s="13" t="str">
        <x:f>IF(OR(NOT(ISNUMBER(E178)),NOT(ISNUMBER(I178))),"",ROUND(E178-I178,2))</x:f>
      </x:c>
      <x:c r="K178" s="2" t="str">
        <x:f>IF(COUNTA(A178:F178)=0,"",IF(OR(A178="",B178="",C178="",D178="",NOT(ISNUMBER(E178))),"Missing / invalid input",IF(G178&gt;1,"Duplicate key in this source",IF(H178=0,"Missing in other source",IF(H178&gt;1,"Duplicate in other source",IF(SUMIFS('External Data'!$M$2:$M$1001,'External Data'!$L$2:$L$1001,SUBSTITUTE(SUBSTITUTE(SUBSTITUTE(L178,"~","~~"),"*","~*"),"?","~?"))&lt;&gt;1,"Other amount is invalid",IF(J178&lt;&gt;0,"Amount differs","Matched")))))))</x:f>
      </x:c>
      <x:c r="L178" t="str">
        <x:f>IF(COUNTA(A178:F178)=0,"",LEN(A178)&amp;":"&amp;A178&amp;LEN(B178)&amp;":"&amp;B178&amp;LEN(C178)&amp;":"&amp;C178&amp;LEN(D178)&amp;":"&amp;D178)</x:f>
      </x:c>
      <x:c r="M178" t="str">
        <x:f>IF(COUNTA(A178:F178)=0,"",IF(ISNUMBER(E178),1,0))</x:f>
      </x:c>
    </x:row>
    <x:row r="179">
      <x:c r="A179" s="11"/>
      <x:c r="B179" s="11"/>
      <x:c r="C179" s="11"/>
      <x:c r="D179" s="11"/>
      <x:c r="E179" s="12"/>
      <x:c r="F179" s="10"/>
      <x:c r="G179" s="2" t="str">
        <x:f>IF(COUNTA(A179:F179)=0,"",COUNTIFS('App Data'!$L$2:$L$1001,SUBSTITUTE(SUBSTITUTE(SUBSTITUTE(L179,"~","~~"),"*","~*"),"?","~?")))</x:f>
      </x:c>
      <x:c r="H179" s="2" t="str">
        <x:f>IF(COUNTA(A179:F179)=0,"",COUNTIFS('External Data'!$L$2:$L$1001,SUBSTITUTE(SUBSTITUTE(SUBSTITUTE(L179,"~","~~"),"*","~*"),"?","~?")))</x:f>
      </x:c>
      <x:c r="I179" s="13" t="str">
        <x:f>IF(OR(H179&lt;&gt;1,G179&lt;&gt;1),"",SUMIFS('External Data'!$E$2:$E$1001,'External Data'!$L$2:$L$1001,SUBSTITUTE(SUBSTITUTE(SUBSTITUTE(L179,"~","~~"),"*","~*"),"?","~?")))</x:f>
      </x:c>
      <x:c r="J179" s="13" t="str">
        <x:f>IF(OR(NOT(ISNUMBER(E179)),NOT(ISNUMBER(I179))),"",ROUND(E179-I179,2))</x:f>
      </x:c>
      <x:c r="K179" s="2" t="str">
        <x:f>IF(COUNTA(A179:F179)=0,"",IF(OR(A179="",B179="",C179="",D179="",NOT(ISNUMBER(E179))),"Missing / invalid input",IF(G179&gt;1,"Duplicate key in this source",IF(H179=0,"Missing in other source",IF(H179&gt;1,"Duplicate in other source",IF(SUMIFS('External Data'!$M$2:$M$1001,'External Data'!$L$2:$L$1001,SUBSTITUTE(SUBSTITUTE(SUBSTITUTE(L179,"~","~~"),"*","~*"),"?","~?"))&lt;&gt;1,"Other amount is invalid",IF(J179&lt;&gt;0,"Amount differs","Matched")))))))</x:f>
      </x:c>
      <x:c r="L179" t="str">
        <x:f>IF(COUNTA(A179:F179)=0,"",LEN(A179)&amp;":"&amp;A179&amp;LEN(B179)&amp;":"&amp;B179&amp;LEN(C179)&amp;":"&amp;C179&amp;LEN(D179)&amp;":"&amp;D179)</x:f>
      </x:c>
      <x:c r="M179" t="str">
        <x:f>IF(COUNTA(A179:F179)=0,"",IF(ISNUMBER(E179),1,0))</x:f>
      </x:c>
    </x:row>
    <x:row r="180">
      <x:c r="A180" s="11"/>
      <x:c r="B180" s="11"/>
      <x:c r="C180" s="11"/>
      <x:c r="D180" s="11"/>
      <x:c r="E180" s="12"/>
      <x:c r="F180" s="10"/>
      <x:c r="G180" s="2" t="str">
        <x:f>IF(COUNTA(A180:F180)=0,"",COUNTIFS('App Data'!$L$2:$L$1001,SUBSTITUTE(SUBSTITUTE(SUBSTITUTE(L180,"~","~~"),"*","~*"),"?","~?")))</x:f>
      </x:c>
      <x:c r="H180" s="2" t="str">
        <x:f>IF(COUNTA(A180:F180)=0,"",COUNTIFS('External Data'!$L$2:$L$1001,SUBSTITUTE(SUBSTITUTE(SUBSTITUTE(L180,"~","~~"),"*","~*"),"?","~?")))</x:f>
      </x:c>
      <x:c r="I180" s="13" t="str">
        <x:f>IF(OR(H180&lt;&gt;1,G180&lt;&gt;1),"",SUMIFS('External Data'!$E$2:$E$1001,'External Data'!$L$2:$L$1001,SUBSTITUTE(SUBSTITUTE(SUBSTITUTE(L180,"~","~~"),"*","~*"),"?","~?")))</x:f>
      </x:c>
      <x:c r="J180" s="13" t="str">
        <x:f>IF(OR(NOT(ISNUMBER(E180)),NOT(ISNUMBER(I180))),"",ROUND(E180-I180,2))</x:f>
      </x:c>
      <x:c r="K180" s="2" t="str">
        <x:f>IF(COUNTA(A180:F180)=0,"",IF(OR(A180="",B180="",C180="",D180="",NOT(ISNUMBER(E180))),"Missing / invalid input",IF(G180&gt;1,"Duplicate key in this source",IF(H180=0,"Missing in other source",IF(H180&gt;1,"Duplicate in other source",IF(SUMIFS('External Data'!$M$2:$M$1001,'External Data'!$L$2:$L$1001,SUBSTITUTE(SUBSTITUTE(SUBSTITUTE(L180,"~","~~"),"*","~*"),"?","~?"))&lt;&gt;1,"Other amount is invalid",IF(J180&lt;&gt;0,"Amount differs","Matched")))))))</x:f>
      </x:c>
      <x:c r="L180" t="str">
        <x:f>IF(COUNTA(A180:F180)=0,"",LEN(A180)&amp;":"&amp;A180&amp;LEN(B180)&amp;":"&amp;B180&amp;LEN(C180)&amp;":"&amp;C180&amp;LEN(D180)&amp;":"&amp;D180)</x:f>
      </x:c>
      <x:c r="M180" t="str">
        <x:f>IF(COUNTA(A180:F180)=0,"",IF(ISNUMBER(E180),1,0))</x:f>
      </x:c>
    </x:row>
    <x:row r="181">
      <x:c r="A181" s="11"/>
      <x:c r="B181" s="11"/>
      <x:c r="C181" s="11"/>
      <x:c r="D181" s="11"/>
      <x:c r="E181" s="12"/>
      <x:c r="F181" s="10"/>
      <x:c r="G181" s="2" t="str">
        <x:f>IF(COUNTA(A181:F181)=0,"",COUNTIFS('App Data'!$L$2:$L$1001,SUBSTITUTE(SUBSTITUTE(SUBSTITUTE(L181,"~","~~"),"*","~*"),"?","~?")))</x:f>
      </x:c>
      <x:c r="H181" s="2" t="str">
        <x:f>IF(COUNTA(A181:F181)=0,"",COUNTIFS('External Data'!$L$2:$L$1001,SUBSTITUTE(SUBSTITUTE(SUBSTITUTE(L181,"~","~~"),"*","~*"),"?","~?")))</x:f>
      </x:c>
      <x:c r="I181" s="13" t="str">
        <x:f>IF(OR(H181&lt;&gt;1,G181&lt;&gt;1),"",SUMIFS('External Data'!$E$2:$E$1001,'External Data'!$L$2:$L$1001,SUBSTITUTE(SUBSTITUTE(SUBSTITUTE(L181,"~","~~"),"*","~*"),"?","~?")))</x:f>
      </x:c>
      <x:c r="J181" s="13" t="str">
        <x:f>IF(OR(NOT(ISNUMBER(E181)),NOT(ISNUMBER(I181))),"",ROUND(E181-I181,2))</x:f>
      </x:c>
      <x:c r="K181" s="2" t="str">
        <x:f>IF(COUNTA(A181:F181)=0,"",IF(OR(A181="",B181="",C181="",D181="",NOT(ISNUMBER(E181))),"Missing / invalid input",IF(G181&gt;1,"Duplicate key in this source",IF(H181=0,"Missing in other source",IF(H181&gt;1,"Duplicate in other source",IF(SUMIFS('External Data'!$M$2:$M$1001,'External Data'!$L$2:$L$1001,SUBSTITUTE(SUBSTITUTE(SUBSTITUTE(L181,"~","~~"),"*","~*"),"?","~?"))&lt;&gt;1,"Other amount is invalid",IF(J181&lt;&gt;0,"Amount differs","Matched")))))))</x:f>
      </x:c>
      <x:c r="L181" t="str">
        <x:f>IF(COUNTA(A181:F181)=0,"",LEN(A181)&amp;":"&amp;A181&amp;LEN(B181)&amp;":"&amp;B181&amp;LEN(C181)&amp;":"&amp;C181&amp;LEN(D181)&amp;":"&amp;D181)</x:f>
      </x:c>
      <x:c r="M181" t="str">
        <x:f>IF(COUNTA(A181:F181)=0,"",IF(ISNUMBER(E181),1,0))</x:f>
      </x:c>
    </x:row>
    <x:row r="182">
      <x:c r="A182" s="11"/>
      <x:c r="B182" s="11"/>
      <x:c r="C182" s="11"/>
      <x:c r="D182" s="11"/>
      <x:c r="E182" s="12"/>
      <x:c r="F182" s="10"/>
      <x:c r="G182" s="2" t="str">
        <x:f>IF(COUNTA(A182:F182)=0,"",COUNTIFS('App Data'!$L$2:$L$1001,SUBSTITUTE(SUBSTITUTE(SUBSTITUTE(L182,"~","~~"),"*","~*"),"?","~?")))</x:f>
      </x:c>
      <x:c r="H182" s="2" t="str">
        <x:f>IF(COUNTA(A182:F182)=0,"",COUNTIFS('External Data'!$L$2:$L$1001,SUBSTITUTE(SUBSTITUTE(SUBSTITUTE(L182,"~","~~"),"*","~*"),"?","~?")))</x:f>
      </x:c>
      <x:c r="I182" s="13" t="str">
        <x:f>IF(OR(H182&lt;&gt;1,G182&lt;&gt;1),"",SUMIFS('External Data'!$E$2:$E$1001,'External Data'!$L$2:$L$1001,SUBSTITUTE(SUBSTITUTE(SUBSTITUTE(L182,"~","~~"),"*","~*"),"?","~?")))</x:f>
      </x:c>
      <x:c r="J182" s="13" t="str">
        <x:f>IF(OR(NOT(ISNUMBER(E182)),NOT(ISNUMBER(I182))),"",ROUND(E182-I182,2))</x:f>
      </x:c>
      <x:c r="K182" s="2" t="str">
        <x:f>IF(COUNTA(A182:F182)=0,"",IF(OR(A182="",B182="",C182="",D182="",NOT(ISNUMBER(E182))),"Missing / invalid input",IF(G182&gt;1,"Duplicate key in this source",IF(H182=0,"Missing in other source",IF(H182&gt;1,"Duplicate in other source",IF(SUMIFS('External Data'!$M$2:$M$1001,'External Data'!$L$2:$L$1001,SUBSTITUTE(SUBSTITUTE(SUBSTITUTE(L182,"~","~~"),"*","~*"),"?","~?"))&lt;&gt;1,"Other amount is invalid",IF(J182&lt;&gt;0,"Amount differs","Matched")))))))</x:f>
      </x:c>
      <x:c r="L182" t="str">
        <x:f>IF(COUNTA(A182:F182)=0,"",LEN(A182)&amp;":"&amp;A182&amp;LEN(B182)&amp;":"&amp;B182&amp;LEN(C182)&amp;":"&amp;C182&amp;LEN(D182)&amp;":"&amp;D182)</x:f>
      </x:c>
      <x:c r="M182" t="str">
        <x:f>IF(COUNTA(A182:F182)=0,"",IF(ISNUMBER(E182),1,0))</x:f>
      </x:c>
    </x:row>
    <x:row r="183">
      <x:c r="A183" s="11"/>
      <x:c r="B183" s="11"/>
      <x:c r="C183" s="11"/>
      <x:c r="D183" s="11"/>
      <x:c r="E183" s="12"/>
      <x:c r="F183" s="10"/>
      <x:c r="G183" s="2" t="str">
        <x:f>IF(COUNTA(A183:F183)=0,"",COUNTIFS('App Data'!$L$2:$L$1001,SUBSTITUTE(SUBSTITUTE(SUBSTITUTE(L183,"~","~~"),"*","~*"),"?","~?")))</x:f>
      </x:c>
      <x:c r="H183" s="2" t="str">
        <x:f>IF(COUNTA(A183:F183)=0,"",COUNTIFS('External Data'!$L$2:$L$1001,SUBSTITUTE(SUBSTITUTE(SUBSTITUTE(L183,"~","~~"),"*","~*"),"?","~?")))</x:f>
      </x:c>
      <x:c r="I183" s="13" t="str">
        <x:f>IF(OR(H183&lt;&gt;1,G183&lt;&gt;1),"",SUMIFS('External Data'!$E$2:$E$1001,'External Data'!$L$2:$L$1001,SUBSTITUTE(SUBSTITUTE(SUBSTITUTE(L183,"~","~~"),"*","~*"),"?","~?")))</x:f>
      </x:c>
      <x:c r="J183" s="13" t="str">
        <x:f>IF(OR(NOT(ISNUMBER(E183)),NOT(ISNUMBER(I183))),"",ROUND(E183-I183,2))</x:f>
      </x:c>
      <x:c r="K183" s="2" t="str">
        <x:f>IF(COUNTA(A183:F183)=0,"",IF(OR(A183="",B183="",C183="",D183="",NOT(ISNUMBER(E183))),"Missing / invalid input",IF(G183&gt;1,"Duplicate key in this source",IF(H183=0,"Missing in other source",IF(H183&gt;1,"Duplicate in other source",IF(SUMIFS('External Data'!$M$2:$M$1001,'External Data'!$L$2:$L$1001,SUBSTITUTE(SUBSTITUTE(SUBSTITUTE(L183,"~","~~"),"*","~*"),"?","~?"))&lt;&gt;1,"Other amount is invalid",IF(J183&lt;&gt;0,"Amount differs","Matched")))))))</x:f>
      </x:c>
      <x:c r="L183" t="str">
        <x:f>IF(COUNTA(A183:F183)=0,"",LEN(A183)&amp;":"&amp;A183&amp;LEN(B183)&amp;":"&amp;B183&amp;LEN(C183)&amp;":"&amp;C183&amp;LEN(D183)&amp;":"&amp;D183)</x:f>
      </x:c>
      <x:c r="M183" t="str">
        <x:f>IF(COUNTA(A183:F183)=0,"",IF(ISNUMBER(E183),1,0))</x:f>
      </x:c>
    </x:row>
    <x:row r="184">
      <x:c r="A184" s="11"/>
      <x:c r="B184" s="11"/>
      <x:c r="C184" s="11"/>
      <x:c r="D184" s="11"/>
      <x:c r="E184" s="12"/>
      <x:c r="F184" s="10"/>
      <x:c r="G184" s="2" t="str">
        <x:f>IF(COUNTA(A184:F184)=0,"",COUNTIFS('App Data'!$L$2:$L$1001,SUBSTITUTE(SUBSTITUTE(SUBSTITUTE(L184,"~","~~"),"*","~*"),"?","~?")))</x:f>
      </x:c>
      <x:c r="H184" s="2" t="str">
        <x:f>IF(COUNTA(A184:F184)=0,"",COUNTIFS('External Data'!$L$2:$L$1001,SUBSTITUTE(SUBSTITUTE(SUBSTITUTE(L184,"~","~~"),"*","~*"),"?","~?")))</x:f>
      </x:c>
      <x:c r="I184" s="13" t="str">
        <x:f>IF(OR(H184&lt;&gt;1,G184&lt;&gt;1),"",SUMIFS('External Data'!$E$2:$E$1001,'External Data'!$L$2:$L$1001,SUBSTITUTE(SUBSTITUTE(SUBSTITUTE(L184,"~","~~"),"*","~*"),"?","~?")))</x:f>
      </x:c>
      <x:c r="J184" s="13" t="str">
        <x:f>IF(OR(NOT(ISNUMBER(E184)),NOT(ISNUMBER(I184))),"",ROUND(E184-I184,2))</x:f>
      </x:c>
      <x:c r="K184" s="2" t="str">
        <x:f>IF(COUNTA(A184:F184)=0,"",IF(OR(A184="",B184="",C184="",D184="",NOT(ISNUMBER(E184))),"Missing / invalid input",IF(G184&gt;1,"Duplicate key in this source",IF(H184=0,"Missing in other source",IF(H184&gt;1,"Duplicate in other source",IF(SUMIFS('External Data'!$M$2:$M$1001,'External Data'!$L$2:$L$1001,SUBSTITUTE(SUBSTITUTE(SUBSTITUTE(L184,"~","~~"),"*","~*"),"?","~?"))&lt;&gt;1,"Other amount is invalid",IF(J184&lt;&gt;0,"Amount differs","Matched")))))))</x:f>
      </x:c>
      <x:c r="L184" t="str">
        <x:f>IF(COUNTA(A184:F184)=0,"",LEN(A184)&amp;":"&amp;A184&amp;LEN(B184)&amp;":"&amp;B184&amp;LEN(C184)&amp;":"&amp;C184&amp;LEN(D184)&amp;":"&amp;D184)</x:f>
      </x:c>
      <x:c r="M184" t="str">
        <x:f>IF(COUNTA(A184:F184)=0,"",IF(ISNUMBER(E184),1,0))</x:f>
      </x:c>
    </x:row>
    <x:row r="185">
      <x:c r="A185" s="11"/>
      <x:c r="B185" s="11"/>
      <x:c r="C185" s="11"/>
      <x:c r="D185" s="11"/>
      <x:c r="E185" s="12"/>
      <x:c r="F185" s="10"/>
      <x:c r="G185" s="2" t="str">
        <x:f>IF(COUNTA(A185:F185)=0,"",COUNTIFS('App Data'!$L$2:$L$1001,SUBSTITUTE(SUBSTITUTE(SUBSTITUTE(L185,"~","~~"),"*","~*"),"?","~?")))</x:f>
      </x:c>
      <x:c r="H185" s="2" t="str">
        <x:f>IF(COUNTA(A185:F185)=0,"",COUNTIFS('External Data'!$L$2:$L$1001,SUBSTITUTE(SUBSTITUTE(SUBSTITUTE(L185,"~","~~"),"*","~*"),"?","~?")))</x:f>
      </x:c>
      <x:c r="I185" s="13" t="str">
        <x:f>IF(OR(H185&lt;&gt;1,G185&lt;&gt;1),"",SUMIFS('External Data'!$E$2:$E$1001,'External Data'!$L$2:$L$1001,SUBSTITUTE(SUBSTITUTE(SUBSTITUTE(L185,"~","~~"),"*","~*"),"?","~?")))</x:f>
      </x:c>
      <x:c r="J185" s="13" t="str">
        <x:f>IF(OR(NOT(ISNUMBER(E185)),NOT(ISNUMBER(I185))),"",ROUND(E185-I185,2))</x:f>
      </x:c>
      <x:c r="K185" s="2" t="str">
        <x:f>IF(COUNTA(A185:F185)=0,"",IF(OR(A185="",B185="",C185="",D185="",NOT(ISNUMBER(E185))),"Missing / invalid input",IF(G185&gt;1,"Duplicate key in this source",IF(H185=0,"Missing in other source",IF(H185&gt;1,"Duplicate in other source",IF(SUMIFS('External Data'!$M$2:$M$1001,'External Data'!$L$2:$L$1001,SUBSTITUTE(SUBSTITUTE(SUBSTITUTE(L185,"~","~~"),"*","~*"),"?","~?"))&lt;&gt;1,"Other amount is invalid",IF(J185&lt;&gt;0,"Amount differs","Matched")))))))</x:f>
      </x:c>
      <x:c r="L185" t="str">
        <x:f>IF(COUNTA(A185:F185)=0,"",LEN(A185)&amp;":"&amp;A185&amp;LEN(B185)&amp;":"&amp;B185&amp;LEN(C185)&amp;":"&amp;C185&amp;LEN(D185)&amp;":"&amp;D185)</x:f>
      </x:c>
      <x:c r="M185" t="str">
        <x:f>IF(COUNTA(A185:F185)=0,"",IF(ISNUMBER(E185),1,0))</x:f>
      </x:c>
    </x:row>
    <x:row r="186">
      <x:c r="A186" s="11"/>
      <x:c r="B186" s="11"/>
      <x:c r="C186" s="11"/>
      <x:c r="D186" s="11"/>
      <x:c r="E186" s="12"/>
      <x:c r="F186" s="10"/>
      <x:c r="G186" s="2" t="str">
        <x:f>IF(COUNTA(A186:F186)=0,"",COUNTIFS('App Data'!$L$2:$L$1001,SUBSTITUTE(SUBSTITUTE(SUBSTITUTE(L186,"~","~~"),"*","~*"),"?","~?")))</x:f>
      </x:c>
      <x:c r="H186" s="2" t="str">
        <x:f>IF(COUNTA(A186:F186)=0,"",COUNTIFS('External Data'!$L$2:$L$1001,SUBSTITUTE(SUBSTITUTE(SUBSTITUTE(L186,"~","~~"),"*","~*"),"?","~?")))</x:f>
      </x:c>
      <x:c r="I186" s="13" t="str">
        <x:f>IF(OR(H186&lt;&gt;1,G186&lt;&gt;1),"",SUMIFS('External Data'!$E$2:$E$1001,'External Data'!$L$2:$L$1001,SUBSTITUTE(SUBSTITUTE(SUBSTITUTE(L186,"~","~~"),"*","~*"),"?","~?")))</x:f>
      </x:c>
      <x:c r="J186" s="13" t="str">
        <x:f>IF(OR(NOT(ISNUMBER(E186)),NOT(ISNUMBER(I186))),"",ROUND(E186-I186,2))</x:f>
      </x:c>
      <x:c r="K186" s="2" t="str">
        <x:f>IF(COUNTA(A186:F186)=0,"",IF(OR(A186="",B186="",C186="",D186="",NOT(ISNUMBER(E186))),"Missing / invalid input",IF(G186&gt;1,"Duplicate key in this source",IF(H186=0,"Missing in other source",IF(H186&gt;1,"Duplicate in other source",IF(SUMIFS('External Data'!$M$2:$M$1001,'External Data'!$L$2:$L$1001,SUBSTITUTE(SUBSTITUTE(SUBSTITUTE(L186,"~","~~"),"*","~*"),"?","~?"))&lt;&gt;1,"Other amount is invalid",IF(J186&lt;&gt;0,"Amount differs","Matched")))))))</x:f>
      </x:c>
      <x:c r="L186" t="str">
        <x:f>IF(COUNTA(A186:F186)=0,"",LEN(A186)&amp;":"&amp;A186&amp;LEN(B186)&amp;":"&amp;B186&amp;LEN(C186)&amp;":"&amp;C186&amp;LEN(D186)&amp;":"&amp;D186)</x:f>
      </x:c>
      <x:c r="M186" t="str">
        <x:f>IF(COUNTA(A186:F186)=0,"",IF(ISNUMBER(E186),1,0))</x:f>
      </x:c>
    </x:row>
    <x:row r="187">
      <x:c r="A187" s="11"/>
      <x:c r="B187" s="11"/>
      <x:c r="C187" s="11"/>
      <x:c r="D187" s="11"/>
      <x:c r="E187" s="12"/>
      <x:c r="F187" s="10"/>
      <x:c r="G187" s="2" t="str">
        <x:f>IF(COUNTA(A187:F187)=0,"",COUNTIFS('App Data'!$L$2:$L$1001,SUBSTITUTE(SUBSTITUTE(SUBSTITUTE(L187,"~","~~"),"*","~*"),"?","~?")))</x:f>
      </x:c>
      <x:c r="H187" s="2" t="str">
        <x:f>IF(COUNTA(A187:F187)=0,"",COUNTIFS('External Data'!$L$2:$L$1001,SUBSTITUTE(SUBSTITUTE(SUBSTITUTE(L187,"~","~~"),"*","~*"),"?","~?")))</x:f>
      </x:c>
      <x:c r="I187" s="13" t="str">
        <x:f>IF(OR(H187&lt;&gt;1,G187&lt;&gt;1),"",SUMIFS('External Data'!$E$2:$E$1001,'External Data'!$L$2:$L$1001,SUBSTITUTE(SUBSTITUTE(SUBSTITUTE(L187,"~","~~"),"*","~*"),"?","~?")))</x:f>
      </x:c>
      <x:c r="J187" s="13" t="str">
        <x:f>IF(OR(NOT(ISNUMBER(E187)),NOT(ISNUMBER(I187))),"",ROUND(E187-I187,2))</x:f>
      </x:c>
      <x:c r="K187" s="2" t="str">
        <x:f>IF(COUNTA(A187:F187)=0,"",IF(OR(A187="",B187="",C187="",D187="",NOT(ISNUMBER(E187))),"Missing / invalid input",IF(G187&gt;1,"Duplicate key in this source",IF(H187=0,"Missing in other source",IF(H187&gt;1,"Duplicate in other source",IF(SUMIFS('External Data'!$M$2:$M$1001,'External Data'!$L$2:$L$1001,SUBSTITUTE(SUBSTITUTE(SUBSTITUTE(L187,"~","~~"),"*","~*"),"?","~?"))&lt;&gt;1,"Other amount is invalid",IF(J187&lt;&gt;0,"Amount differs","Matched")))))))</x:f>
      </x:c>
      <x:c r="L187" t="str">
        <x:f>IF(COUNTA(A187:F187)=0,"",LEN(A187)&amp;":"&amp;A187&amp;LEN(B187)&amp;":"&amp;B187&amp;LEN(C187)&amp;":"&amp;C187&amp;LEN(D187)&amp;":"&amp;D187)</x:f>
      </x:c>
      <x:c r="M187" t="str">
        <x:f>IF(COUNTA(A187:F187)=0,"",IF(ISNUMBER(E187),1,0))</x:f>
      </x:c>
    </x:row>
    <x:row r="188">
      <x:c r="A188" s="11"/>
      <x:c r="B188" s="11"/>
      <x:c r="C188" s="11"/>
      <x:c r="D188" s="11"/>
      <x:c r="E188" s="12"/>
      <x:c r="F188" s="10"/>
      <x:c r="G188" s="2" t="str">
        <x:f>IF(COUNTA(A188:F188)=0,"",COUNTIFS('App Data'!$L$2:$L$1001,SUBSTITUTE(SUBSTITUTE(SUBSTITUTE(L188,"~","~~"),"*","~*"),"?","~?")))</x:f>
      </x:c>
      <x:c r="H188" s="2" t="str">
        <x:f>IF(COUNTA(A188:F188)=0,"",COUNTIFS('External Data'!$L$2:$L$1001,SUBSTITUTE(SUBSTITUTE(SUBSTITUTE(L188,"~","~~"),"*","~*"),"?","~?")))</x:f>
      </x:c>
      <x:c r="I188" s="13" t="str">
        <x:f>IF(OR(H188&lt;&gt;1,G188&lt;&gt;1),"",SUMIFS('External Data'!$E$2:$E$1001,'External Data'!$L$2:$L$1001,SUBSTITUTE(SUBSTITUTE(SUBSTITUTE(L188,"~","~~"),"*","~*"),"?","~?")))</x:f>
      </x:c>
      <x:c r="J188" s="13" t="str">
        <x:f>IF(OR(NOT(ISNUMBER(E188)),NOT(ISNUMBER(I188))),"",ROUND(E188-I188,2))</x:f>
      </x:c>
      <x:c r="K188" s="2" t="str">
        <x:f>IF(COUNTA(A188:F188)=0,"",IF(OR(A188="",B188="",C188="",D188="",NOT(ISNUMBER(E188))),"Missing / invalid input",IF(G188&gt;1,"Duplicate key in this source",IF(H188=0,"Missing in other source",IF(H188&gt;1,"Duplicate in other source",IF(SUMIFS('External Data'!$M$2:$M$1001,'External Data'!$L$2:$L$1001,SUBSTITUTE(SUBSTITUTE(SUBSTITUTE(L188,"~","~~"),"*","~*"),"?","~?"))&lt;&gt;1,"Other amount is invalid",IF(J188&lt;&gt;0,"Amount differs","Matched")))))))</x:f>
      </x:c>
      <x:c r="L188" t="str">
        <x:f>IF(COUNTA(A188:F188)=0,"",LEN(A188)&amp;":"&amp;A188&amp;LEN(B188)&amp;":"&amp;B188&amp;LEN(C188)&amp;":"&amp;C188&amp;LEN(D188)&amp;":"&amp;D188)</x:f>
      </x:c>
      <x:c r="M188" t="str">
        <x:f>IF(COUNTA(A188:F188)=0,"",IF(ISNUMBER(E188),1,0))</x:f>
      </x:c>
    </x:row>
    <x:row r="189">
      <x:c r="A189" s="11"/>
      <x:c r="B189" s="11"/>
      <x:c r="C189" s="11"/>
      <x:c r="D189" s="11"/>
      <x:c r="E189" s="12"/>
      <x:c r="F189" s="10"/>
      <x:c r="G189" s="2" t="str">
        <x:f>IF(COUNTA(A189:F189)=0,"",COUNTIFS('App Data'!$L$2:$L$1001,SUBSTITUTE(SUBSTITUTE(SUBSTITUTE(L189,"~","~~"),"*","~*"),"?","~?")))</x:f>
      </x:c>
      <x:c r="H189" s="2" t="str">
        <x:f>IF(COUNTA(A189:F189)=0,"",COUNTIFS('External Data'!$L$2:$L$1001,SUBSTITUTE(SUBSTITUTE(SUBSTITUTE(L189,"~","~~"),"*","~*"),"?","~?")))</x:f>
      </x:c>
      <x:c r="I189" s="13" t="str">
        <x:f>IF(OR(H189&lt;&gt;1,G189&lt;&gt;1),"",SUMIFS('External Data'!$E$2:$E$1001,'External Data'!$L$2:$L$1001,SUBSTITUTE(SUBSTITUTE(SUBSTITUTE(L189,"~","~~"),"*","~*"),"?","~?")))</x:f>
      </x:c>
      <x:c r="J189" s="13" t="str">
        <x:f>IF(OR(NOT(ISNUMBER(E189)),NOT(ISNUMBER(I189))),"",ROUND(E189-I189,2))</x:f>
      </x:c>
      <x:c r="K189" s="2" t="str">
        <x:f>IF(COUNTA(A189:F189)=0,"",IF(OR(A189="",B189="",C189="",D189="",NOT(ISNUMBER(E189))),"Missing / invalid input",IF(G189&gt;1,"Duplicate key in this source",IF(H189=0,"Missing in other source",IF(H189&gt;1,"Duplicate in other source",IF(SUMIFS('External Data'!$M$2:$M$1001,'External Data'!$L$2:$L$1001,SUBSTITUTE(SUBSTITUTE(SUBSTITUTE(L189,"~","~~"),"*","~*"),"?","~?"))&lt;&gt;1,"Other amount is invalid",IF(J189&lt;&gt;0,"Amount differs","Matched")))))))</x:f>
      </x:c>
      <x:c r="L189" t="str">
        <x:f>IF(COUNTA(A189:F189)=0,"",LEN(A189)&amp;":"&amp;A189&amp;LEN(B189)&amp;":"&amp;B189&amp;LEN(C189)&amp;":"&amp;C189&amp;LEN(D189)&amp;":"&amp;D189)</x:f>
      </x:c>
      <x:c r="M189" t="str">
        <x:f>IF(COUNTA(A189:F189)=0,"",IF(ISNUMBER(E189),1,0))</x:f>
      </x:c>
    </x:row>
    <x:row r="190">
      <x:c r="A190" s="11"/>
      <x:c r="B190" s="11"/>
      <x:c r="C190" s="11"/>
      <x:c r="D190" s="11"/>
      <x:c r="E190" s="12"/>
      <x:c r="F190" s="10"/>
      <x:c r="G190" s="2" t="str">
        <x:f>IF(COUNTA(A190:F190)=0,"",COUNTIFS('App Data'!$L$2:$L$1001,SUBSTITUTE(SUBSTITUTE(SUBSTITUTE(L190,"~","~~"),"*","~*"),"?","~?")))</x:f>
      </x:c>
      <x:c r="H190" s="2" t="str">
        <x:f>IF(COUNTA(A190:F190)=0,"",COUNTIFS('External Data'!$L$2:$L$1001,SUBSTITUTE(SUBSTITUTE(SUBSTITUTE(L190,"~","~~"),"*","~*"),"?","~?")))</x:f>
      </x:c>
      <x:c r="I190" s="13" t="str">
        <x:f>IF(OR(H190&lt;&gt;1,G190&lt;&gt;1),"",SUMIFS('External Data'!$E$2:$E$1001,'External Data'!$L$2:$L$1001,SUBSTITUTE(SUBSTITUTE(SUBSTITUTE(L190,"~","~~"),"*","~*"),"?","~?")))</x:f>
      </x:c>
      <x:c r="J190" s="13" t="str">
        <x:f>IF(OR(NOT(ISNUMBER(E190)),NOT(ISNUMBER(I190))),"",ROUND(E190-I190,2))</x:f>
      </x:c>
      <x:c r="K190" s="2" t="str">
        <x:f>IF(COUNTA(A190:F190)=0,"",IF(OR(A190="",B190="",C190="",D190="",NOT(ISNUMBER(E190))),"Missing / invalid input",IF(G190&gt;1,"Duplicate key in this source",IF(H190=0,"Missing in other source",IF(H190&gt;1,"Duplicate in other source",IF(SUMIFS('External Data'!$M$2:$M$1001,'External Data'!$L$2:$L$1001,SUBSTITUTE(SUBSTITUTE(SUBSTITUTE(L190,"~","~~"),"*","~*"),"?","~?"))&lt;&gt;1,"Other amount is invalid",IF(J190&lt;&gt;0,"Amount differs","Matched")))))))</x:f>
      </x:c>
      <x:c r="L190" t="str">
        <x:f>IF(COUNTA(A190:F190)=0,"",LEN(A190)&amp;":"&amp;A190&amp;LEN(B190)&amp;":"&amp;B190&amp;LEN(C190)&amp;":"&amp;C190&amp;LEN(D190)&amp;":"&amp;D190)</x:f>
      </x:c>
      <x:c r="M190" t="str">
        <x:f>IF(COUNTA(A190:F190)=0,"",IF(ISNUMBER(E190),1,0))</x:f>
      </x:c>
    </x:row>
    <x:row r="191">
      <x:c r="A191" s="11"/>
      <x:c r="B191" s="11"/>
      <x:c r="C191" s="11"/>
      <x:c r="D191" s="11"/>
      <x:c r="E191" s="12"/>
      <x:c r="F191" s="10"/>
      <x:c r="G191" s="2" t="str">
        <x:f>IF(COUNTA(A191:F191)=0,"",COUNTIFS('App Data'!$L$2:$L$1001,SUBSTITUTE(SUBSTITUTE(SUBSTITUTE(L191,"~","~~"),"*","~*"),"?","~?")))</x:f>
      </x:c>
      <x:c r="H191" s="2" t="str">
        <x:f>IF(COUNTA(A191:F191)=0,"",COUNTIFS('External Data'!$L$2:$L$1001,SUBSTITUTE(SUBSTITUTE(SUBSTITUTE(L191,"~","~~"),"*","~*"),"?","~?")))</x:f>
      </x:c>
      <x:c r="I191" s="13" t="str">
        <x:f>IF(OR(H191&lt;&gt;1,G191&lt;&gt;1),"",SUMIFS('External Data'!$E$2:$E$1001,'External Data'!$L$2:$L$1001,SUBSTITUTE(SUBSTITUTE(SUBSTITUTE(L191,"~","~~"),"*","~*"),"?","~?")))</x:f>
      </x:c>
      <x:c r="J191" s="13" t="str">
        <x:f>IF(OR(NOT(ISNUMBER(E191)),NOT(ISNUMBER(I191))),"",ROUND(E191-I191,2))</x:f>
      </x:c>
      <x:c r="K191" s="2" t="str">
        <x:f>IF(COUNTA(A191:F191)=0,"",IF(OR(A191="",B191="",C191="",D191="",NOT(ISNUMBER(E191))),"Missing / invalid input",IF(G191&gt;1,"Duplicate key in this source",IF(H191=0,"Missing in other source",IF(H191&gt;1,"Duplicate in other source",IF(SUMIFS('External Data'!$M$2:$M$1001,'External Data'!$L$2:$L$1001,SUBSTITUTE(SUBSTITUTE(SUBSTITUTE(L191,"~","~~"),"*","~*"),"?","~?"))&lt;&gt;1,"Other amount is invalid",IF(J191&lt;&gt;0,"Amount differs","Matched")))))))</x:f>
      </x:c>
      <x:c r="L191" t="str">
        <x:f>IF(COUNTA(A191:F191)=0,"",LEN(A191)&amp;":"&amp;A191&amp;LEN(B191)&amp;":"&amp;B191&amp;LEN(C191)&amp;":"&amp;C191&amp;LEN(D191)&amp;":"&amp;D191)</x:f>
      </x:c>
      <x:c r="M191" t="str">
        <x:f>IF(COUNTA(A191:F191)=0,"",IF(ISNUMBER(E191),1,0))</x:f>
      </x:c>
    </x:row>
    <x:row r="192">
      <x:c r="A192" s="11"/>
      <x:c r="B192" s="11"/>
      <x:c r="C192" s="11"/>
      <x:c r="D192" s="11"/>
      <x:c r="E192" s="12"/>
      <x:c r="F192" s="10"/>
      <x:c r="G192" s="2" t="str">
        <x:f>IF(COUNTA(A192:F192)=0,"",COUNTIFS('App Data'!$L$2:$L$1001,SUBSTITUTE(SUBSTITUTE(SUBSTITUTE(L192,"~","~~"),"*","~*"),"?","~?")))</x:f>
      </x:c>
      <x:c r="H192" s="2" t="str">
        <x:f>IF(COUNTA(A192:F192)=0,"",COUNTIFS('External Data'!$L$2:$L$1001,SUBSTITUTE(SUBSTITUTE(SUBSTITUTE(L192,"~","~~"),"*","~*"),"?","~?")))</x:f>
      </x:c>
      <x:c r="I192" s="13" t="str">
        <x:f>IF(OR(H192&lt;&gt;1,G192&lt;&gt;1),"",SUMIFS('External Data'!$E$2:$E$1001,'External Data'!$L$2:$L$1001,SUBSTITUTE(SUBSTITUTE(SUBSTITUTE(L192,"~","~~"),"*","~*"),"?","~?")))</x:f>
      </x:c>
      <x:c r="J192" s="13" t="str">
        <x:f>IF(OR(NOT(ISNUMBER(E192)),NOT(ISNUMBER(I192))),"",ROUND(E192-I192,2))</x:f>
      </x:c>
      <x:c r="K192" s="2" t="str">
        <x:f>IF(COUNTA(A192:F192)=0,"",IF(OR(A192="",B192="",C192="",D192="",NOT(ISNUMBER(E192))),"Missing / invalid input",IF(G192&gt;1,"Duplicate key in this source",IF(H192=0,"Missing in other source",IF(H192&gt;1,"Duplicate in other source",IF(SUMIFS('External Data'!$M$2:$M$1001,'External Data'!$L$2:$L$1001,SUBSTITUTE(SUBSTITUTE(SUBSTITUTE(L192,"~","~~"),"*","~*"),"?","~?"))&lt;&gt;1,"Other amount is invalid",IF(J192&lt;&gt;0,"Amount differs","Matched")))))))</x:f>
      </x:c>
      <x:c r="L192" t="str">
        <x:f>IF(COUNTA(A192:F192)=0,"",LEN(A192)&amp;":"&amp;A192&amp;LEN(B192)&amp;":"&amp;B192&amp;LEN(C192)&amp;":"&amp;C192&amp;LEN(D192)&amp;":"&amp;D192)</x:f>
      </x:c>
      <x:c r="M192" t="str">
        <x:f>IF(COUNTA(A192:F192)=0,"",IF(ISNUMBER(E192),1,0))</x:f>
      </x:c>
    </x:row>
    <x:row r="193">
      <x:c r="A193" s="11"/>
      <x:c r="B193" s="11"/>
      <x:c r="C193" s="11"/>
      <x:c r="D193" s="11"/>
      <x:c r="E193" s="12"/>
      <x:c r="F193" s="10"/>
      <x:c r="G193" s="2" t="str">
        <x:f>IF(COUNTA(A193:F193)=0,"",COUNTIFS('App Data'!$L$2:$L$1001,SUBSTITUTE(SUBSTITUTE(SUBSTITUTE(L193,"~","~~"),"*","~*"),"?","~?")))</x:f>
      </x:c>
      <x:c r="H193" s="2" t="str">
        <x:f>IF(COUNTA(A193:F193)=0,"",COUNTIFS('External Data'!$L$2:$L$1001,SUBSTITUTE(SUBSTITUTE(SUBSTITUTE(L193,"~","~~"),"*","~*"),"?","~?")))</x:f>
      </x:c>
      <x:c r="I193" s="13" t="str">
        <x:f>IF(OR(H193&lt;&gt;1,G193&lt;&gt;1),"",SUMIFS('External Data'!$E$2:$E$1001,'External Data'!$L$2:$L$1001,SUBSTITUTE(SUBSTITUTE(SUBSTITUTE(L193,"~","~~"),"*","~*"),"?","~?")))</x:f>
      </x:c>
      <x:c r="J193" s="13" t="str">
        <x:f>IF(OR(NOT(ISNUMBER(E193)),NOT(ISNUMBER(I193))),"",ROUND(E193-I193,2))</x:f>
      </x:c>
      <x:c r="K193" s="2" t="str">
        <x:f>IF(COUNTA(A193:F193)=0,"",IF(OR(A193="",B193="",C193="",D193="",NOT(ISNUMBER(E193))),"Missing / invalid input",IF(G193&gt;1,"Duplicate key in this source",IF(H193=0,"Missing in other source",IF(H193&gt;1,"Duplicate in other source",IF(SUMIFS('External Data'!$M$2:$M$1001,'External Data'!$L$2:$L$1001,SUBSTITUTE(SUBSTITUTE(SUBSTITUTE(L193,"~","~~"),"*","~*"),"?","~?"))&lt;&gt;1,"Other amount is invalid",IF(J193&lt;&gt;0,"Amount differs","Matched")))))))</x:f>
      </x:c>
      <x:c r="L193" t="str">
        <x:f>IF(COUNTA(A193:F193)=0,"",LEN(A193)&amp;":"&amp;A193&amp;LEN(B193)&amp;":"&amp;B193&amp;LEN(C193)&amp;":"&amp;C193&amp;LEN(D193)&amp;":"&amp;D193)</x:f>
      </x:c>
      <x:c r="M193" t="str">
        <x:f>IF(COUNTA(A193:F193)=0,"",IF(ISNUMBER(E193),1,0))</x:f>
      </x:c>
    </x:row>
    <x:row r="194">
      <x:c r="A194" s="11"/>
      <x:c r="B194" s="11"/>
      <x:c r="C194" s="11"/>
      <x:c r="D194" s="11"/>
      <x:c r="E194" s="12"/>
      <x:c r="F194" s="10"/>
      <x:c r="G194" s="2" t="str">
        <x:f>IF(COUNTA(A194:F194)=0,"",COUNTIFS('App Data'!$L$2:$L$1001,SUBSTITUTE(SUBSTITUTE(SUBSTITUTE(L194,"~","~~"),"*","~*"),"?","~?")))</x:f>
      </x:c>
      <x:c r="H194" s="2" t="str">
        <x:f>IF(COUNTA(A194:F194)=0,"",COUNTIFS('External Data'!$L$2:$L$1001,SUBSTITUTE(SUBSTITUTE(SUBSTITUTE(L194,"~","~~"),"*","~*"),"?","~?")))</x:f>
      </x:c>
      <x:c r="I194" s="13" t="str">
        <x:f>IF(OR(H194&lt;&gt;1,G194&lt;&gt;1),"",SUMIFS('External Data'!$E$2:$E$1001,'External Data'!$L$2:$L$1001,SUBSTITUTE(SUBSTITUTE(SUBSTITUTE(L194,"~","~~"),"*","~*"),"?","~?")))</x:f>
      </x:c>
      <x:c r="J194" s="13" t="str">
        <x:f>IF(OR(NOT(ISNUMBER(E194)),NOT(ISNUMBER(I194))),"",ROUND(E194-I194,2))</x:f>
      </x:c>
      <x:c r="K194" s="2" t="str">
        <x:f>IF(COUNTA(A194:F194)=0,"",IF(OR(A194="",B194="",C194="",D194="",NOT(ISNUMBER(E194))),"Missing / invalid input",IF(G194&gt;1,"Duplicate key in this source",IF(H194=0,"Missing in other source",IF(H194&gt;1,"Duplicate in other source",IF(SUMIFS('External Data'!$M$2:$M$1001,'External Data'!$L$2:$L$1001,SUBSTITUTE(SUBSTITUTE(SUBSTITUTE(L194,"~","~~"),"*","~*"),"?","~?"))&lt;&gt;1,"Other amount is invalid",IF(J194&lt;&gt;0,"Amount differs","Matched")))))))</x:f>
      </x:c>
      <x:c r="L194" t="str">
        <x:f>IF(COUNTA(A194:F194)=0,"",LEN(A194)&amp;":"&amp;A194&amp;LEN(B194)&amp;":"&amp;B194&amp;LEN(C194)&amp;":"&amp;C194&amp;LEN(D194)&amp;":"&amp;D194)</x:f>
      </x:c>
      <x:c r="M194" t="str">
        <x:f>IF(COUNTA(A194:F194)=0,"",IF(ISNUMBER(E194),1,0))</x:f>
      </x:c>
    </x:row>
    <x:row r="195">
      <x:c r="A195" s="11"/>
      <x:c r="B195" s="11"/>
      <x:c r="C195" s="11"/>
      <x:c r="D195" s="11"/>
      <x:c r="E195" s="12"/>
      <x:c r="F195" s="10"/>
      <x:c r="G195" s="2" t="str">
        <x:f>IF(COUNTA(A195:F195)=0,"",COUNTIFS('App Data'!$L$2:$L$1001,SUBSTITUTE(SUBSTITUTE(SUBSTITUTE(L195,"~","~~"),"*","~*"),"?","~?")))</x:f>
      </x:c>
      <x:c r="H195" s="2" t="str">
        <x:f>IF(COUNTA(A195:F195)=0,"",COUNTIFS('External Data'!$L$2:$L$1001,SUBSTITUTE(SUBSTITUTE(SUBSTITUTE(L195,"~","~~"),"*","~*"),"?","~?")))</x:f>
      </x:c>
      <x:c r="I195" s="13" t="str">
        <x:f>IF(OR(H195&lt;&gt;1,G195&lt;&gt;1),"",SUMIFS('External Data'!$E$2:$E$1001,'External Data'!$L$2:$L$1001,SUBSTITUTE(SUBSTITUTE(SUBSTITUTE(L195,"~","~~"),"*","~*"),"?","~?")))</x:f>
      </x:c>
      <x:c r="J195" s="13" t="str">
        <x:f>IF(OR(NOT(ISNUMBER(E195)),NOT(ISNUMBER(I195))),"",ROUND(E195-I195,2))</x:f>
      </x:c>
      <x:c r="K195" s="2" t="str">
        <x:f>IF(COUNTA(A195:F195)=0,"",IF(OR(A195="",B195="",C195="",D195="",NOT(ISNUMBER(E195))),"Missing / invalid input",IF(G195&gt;1,"Duplicate key in this source",IF(H195=0,"Missing in other source",IF(H195&gt;1,"Duplicate in other source",IF(SUMIFS('External Data'!$M$2:$M$1001,'External Data'!$L$2:$L$1001,SUBSTITUTE(SUBSTITUTE(SUBSTITUTE(L195,"~","~~"),"*","~*"),"?","~?"))&lt;&gt;1,"Other amount is invalid",IF(J195&lt;&gt;0,"Amount differs","Matched")))))))</x:f>
      </x:c>
      <x:c r="L195" t="str">
        <x:f>IF(COUNTA(A195:F195)=0,"",LEN(A195)&amp;":"&amp;A195&amp;LEN(B195)&amp;":"&amp;B195&amp;LEN(C195)&amp;":"&amp;C195&amp;LEN(D195)&amp;":"&amp;D195)</x:f>
      </x:c>
      <x:c r="M195" t="str">
        <x:f>IF(COUNTA(A195:F195)=0,"",IF(ISNUMBER(E195),1,0))</x:f>
      </x:c>
    </x:row>
    <x:row r="196">
      <x:c r="A196" s="11"/>
      <x:c r="B196" s="11"/>
      <x:c r="C196" s="11"/>
      <x:c r="D196" s="11"/>
      <x:c r="E196" s="12"/>
      <x:c r="F196" s="10"/>
      <x:c r="G196" s="2" t="str">
        <x:f>IF(COUNTA(A196:F196)=0,"",COUNTIFS('App Data'!$L$2:$L$1001,SUBSTITUTE(SUBSTITUTE(SUBSTITUTE(L196,"~","~~"),"*","~*"),"?","~?")))</x:f>
      </x:c>
      <x:c r="H196" s="2" t="str">
        <x:f>IF(COUNTA(A196:F196)=0,"",COUNTIFS('External Data'!$L$2:$L$1001,SUBSTITUTE(SUBSTITUTE(SUBSTITUTE(L196,"~","~~"),"*","~*"),"?","~?")))</x:f>
      </x:c>
      <x:c r="I196" s="13" t="str">
        <x:f>IF(OR(H196&lt;&gt;1,G196&lt;&gt;1),"",SUMIFS('External Data'!$E$2:$E$1001,'External Data'!$L$2:$L$1001,SUBSTITUTE(SUBSTITUTE(SUBSTITUTE(L196,"~","~~"),"*","~*"),"?","~?")))</x:f>
      </x:c>
      <x:c r="J196" s="13" t="str">
        <x:f>IF(OR(NOT(ISNUMBER(E196)),NOT(ISNUMBER(I196))),"",ROUND(E196-I196,2))</x:f>
      </x:c>
      <x:c r="K196" s="2" t="str">
        <x:f>IF(COUNTA(A196:F196)=0,"",IF(OR(A196="",B196="",C196="",D196="",NOT(ISNUMBER(E196))),"Missing / invalid input",IF(G196&gt;1,"Duplicate key in this source",IF(H196=0,"Missing in other source",IF(H196&gt;1,"Duplicate in other source",IF(SUMIFS('External Data'!$M$2:$M$1001,'External Data'!$L$2:$L$1001,SUBSTITUTE(SUBSTITUTE(SUBSTITUTE(L196,"~","~~"),"*","~*"),"?","~?"))&lt;&gt;1,"Other amount is invalid",IF(J196&lt;&gt;0,"Amount differs","Matched")))))))</x:f>
      </x:c>
      <x:c r="L196" t="str">
        <x:f>IF(COUNTA(A196:F196)=0,"",LEN(A196)&amp;":"&amp;A196&amp;LEN(B196)&amp;":"&amp;B196&amp;LEN(C196)&amp;":"&amp;C196&amp;LEN(D196)&amp;":"&amp;D196)</x:f>
      </x:c>
      <x:c r="M196" t="str">
        <x:f>IF(COUNTA(A196:F196)=0,"",IF(ISNUMBER(E196),1,0))</x:f>
      </x:c>
    </x:row>
    <x:row r="197">
      <x:c r="A197" s="11"/>
      <x:c r="B197" s="11"/>
      <x:c r="C197" s="11"/>
      <x:c r="D197" s="11"/>
      <x:c r="E197" s="12"/>
      <x:c r="F197" s="10"/>
      <x:c r="G197" s="2" t="str">
        <x:f>IF(COUNTA(A197:F197)=0,"",COUNTIFS('App Data'!$L$2:$L$1001,SUBSTITUTE(SUBSTITUTE(SUBSTITUTE(L197,"~","~~"),"*","~*"),"?","~?")))</x:f>
      </x:c>
      <x:c r="H197" s="2" t="str">
        <x:f>IF(COUNTA(A197:F197)=0,"",COUNTIFS('External Data'!$L$2:$L$1001,SUBSTITUTE(SUBSTITUTE(SUBSTITUTE(L197,"~","~~"),"*","~*"),"?","~?")))</x:f>
      </x:c>
      <x:c r="I197" s="13" t="str">
        <x:f>IF(OR(H197&lt;&gt;1,G197&lt;&gt;1),"",SUMIFS('External Data'!$E$2:$E$1001,'External Data'!$L$2:$L$1001,SUBSTITUTE(SUBSTITUTE(SUBSTITUTE(L197,"~","~~"),"*","~*"),"?","~?")))</x:f>
      </x:c>
      <x:c r="J197" s="13" t="str">
        <x:f>IF(OR(NOT(ISNUMBER(E197)),NOT(ISNUMBER(I197))),"",ROUND(E197-I197,2))</x:f>
      </x:c>
      <x:c r="K197" s="2" t="str">
        <x:f>IF(COUNTA(A197:F197)=0,"",IF(OR(A197="",B197="",C197="",D197="",NOT(ISNUMBER(E197))),"Missing / invalid input",IF(G197&gt;1,"Duplicate key in this source",IF(H197=0,"Missing in other source",IF(H197&gt;1,"Duplicate in other source",IF(SUMIFS('External Data'!$M$2:$M$1001,'External Data'!$L$2:$L$1001,SUBSTITUTE(SUBSTITUTE(SUBSTITUTE(L197,"~","~~"),"*","~*"),"?","~?"))&lt;&gt;1,"Other amount is invalid",IF(J197&lt;&gt;0,"Amount differs","Matched")))))))</x:f>
      </x:c>
      <x:c r="L197" t="str">
        <x:f>IF(COUNTA(A197:F197)=0,"",LEN(A197)&amp;":"&amp;A197&amp;LEN(B197)&amp;":"&amp;B197&amp;LEN(C197)&amp;":"&amp;C197&amp;LEN(D197)&amp;":"&amp;D197)</x:f>
      </x:c>
      <x:c r="M197" t="str">
        <x:f>IF(COUNTA(A197:F197)=0,"",IF(ISNUMBER(E197),1,0))</x:f>
      </x:c>
    </x:row>
    <x:row r="198">
      <x:c r="A198" s="11"/>
      <x:c r="B198" s="11"/>
      <x:c r="C198" s="11"/>
      <x:c r="D198" s="11"/>
      <x:c r="E198" s="12"/>
      <x:c r="F198" s="10"/>
      <x:c r="G198" s="2" t="str">
        <x:f>IF(COUNTA(A198:F198)=0,"",COUNTIFS('App Data'!$L$2:$L$1001,SUBSTITUTE(SUBSTITUTE(SUBSTITUTE(L198,"~","~~"),"*","~*"),"?","~?")))</x:f>
      </x:c>
      <x:c r="H198" s="2" t="str">
        <x:f>IF(COUNTA(A198:F198)=0,"",COUNTIFS('External Data'!$L$2:$L$1001,SUBSTITUTE(SUBSTITUTE(SUBSTITUTE(L198,"~","~~"),"*","~*"),"?","~?")))</x:f>
      </x:c>
      <x:c r="I198" s="13" t="str">
        <x:f>IF(OR(H198&lt;&gt;1,G198&lt;&gt;1),"",SUMIFS('External Data'!$E$2:$E$1001,'External Data'!$L$2:$L$1001,SUBSTITUTE(SUBSTITUTE(SUBSTITUTE(L198,"~","~~"),"*","~*"),"?","~?")))</x:f>
      </x:c>
      <x:c r="J198" s="13" t="str">
        <x:f>IF(OR(NOT(ISNUMBER(E198)),NOT(ISNUMBER(I198))),"",ROUND(E198-I198,2))</x:f>
      </x:c>
      <x:c r="K198" s="2" t="str">
        <x:f>IF(COUNTA(A198:F198)=0,"",IF(OR(A198="",B198="",C198="",D198="",NOT(ISNUMBER(E198))),"Missing / invalid input",IF(G198&gt;1,"Duplicate key in this source",IF(H198=0,"Missing in other source",IF(H198&gt;1,"Duplicate in other source",IF(SUMIFS('External Data'!$M$2:$M$1001,'External Data'!$L$2:$L$1001,SUBSTITUTE(SUBSTITUTE(SUBSTITUTE(L198,"~","~~"),"*","~*"),"?","~?"))&lt;&gt;1,"Other amount is invalid",IF(J198&lt;&gt;0,"Amount differs","Matched")))))))</x:f>
      </x:c>
      <x:c r="L198" t="str">
        <x:f>IF(COUNTA(A198:F198)=0,"",LEN(A198)&amp;":"&amp;A198&amp;LEN(B198)&amp;":"&amp;B198&amp;LEN(C198)&amp;":"&amp;C198&amp;LEN(D198)&amp;":"&amp;D198)</x:f>
      </x:c>
      <x:c r="M198" t="str">
        <x:f>IF(COUNTA(A198:F198)=0,"",IF(ISNUMBER(E198),1,0))</x:f>
      </x:c>
    </x:row>
    <x:row r="199">
      <x:c r="A199" s="11"/>
      <x:c r="B199" s="11"/>
      <x:c r="C199" s="11"/>
      <x:c r="D199" s="11"/>
      <x:c r="E199" s="12"/>
      <x:c r="F199" s="10"/>
      <x:c r="G199" s="2" t="str">
        <x:f>IF(COUNTA(A199:F199)=0,"",COUNTIFS('App Data'!$L$2:$L$1001,SUBSTITUTE(SUBSTITUTE(SUBSTITUTE(L199,"~","~~"),"*","~*"),"?","~?")))</x:f>
      </x:c>
      <x:c r="H199" s="2" t="str">
        <x:f>IF(COUNTA(A199:F199)=0,"",COUNTIFS('External Data'!$L$2:$L$1001,SUBSTITUTE(SUBSTITUTE(SUBSTITUTE(L199,"~","~~"),"*","~*"),"?","~?")))</x:f>
      </x:c>
      <x:c r="I199" s="13" t="str">
        <x:f>IF(OR(H199&lt;&gt;1,G199&lt;&gt;1),"",SUMIFS('External Data'!$E$2:$E$1001,'External Data'!$L$2:$L$1001,SUBSTITUTE(SUBSTITUTE(SUBSTITUTE(L199,"~","~~"),"*","~*"),"?","~?")))</x:f>
      </x:c>
      <x:c r="J199" s="13" t="str">
        <x:f>IF(OR(NOT(ISNUMBER(E199)),NOT(ISNUMBER(I199))),"",ROUND(E199-I199,2))</x:f>
      </x:c>
      <x:c r="K199" s="2" t="str">
        <x:f>IF(COUNTA(A199:F199)=0,"",IF(OR(A199="",B199="",C199="",D199="",NOT(ISNUMBER(E199))),"Missing / invalid input",IF(G199&gt;1,"Duplicate key in this source",IF(H199=0,"Missing in other source",IF(H199&gt;1,"Duplicate in other source",IF(SUMIFS('External Data'!$M$2:$M$1001,'External Data'!$L$2:$L$1001,SUBSTITUTE(SUBSTITUTE(SUBSTITUTE(L199,"~","~~"),"*","~*"),"?","~?"))&lt;&gt;1,"Other amount is invalid",IF(J199&lt;&gt;0,"Amount differs","Matched")))))))</x:f>
      </x:c>
      <x:c r="L199" t="str">
        <x:f>IF(COUNTA(A199:F199)=0,"",LEN(A199)&amp;":"&amp;A199&amp;LEN(B199)&amp;":"&amp;B199&amp;LEN(C199)&amp;":"&amp;C199&amp;LEN(D199)&amp;":"&amp;D199)</x:f>
      </x:c>
      <x:c r="M199" t="str">
        <x:f>IF(COUNTA(A199:F199)=0,"",IF(ISNUMBER(E199),1,0))</x:f>
      </x:c>
    </x:row>
    <x:row r="200">
      <x:c r="A200" s="11"/>
      <x:c r="B200" s="11"/>
      <x:c r="C200" s="11"/>
      <x:c r="D200" s="11"/>
      <x:c r="E200" s="12"/>
      <x:c r="F200" s="10"/>
      <x:c r="G200" s="2" t="str">
        <x:f>IF(COUNTA(A200:F200)=0,"",COUNTIFS('App Data'!$L$2:$L$1001,SUBSTITUTE(SUBSTITUTE(SUBSTITUTE(L200,"~","~~"),"*","~*"),"?","~?")))</x:f>
      </x:c>
      <x:c r="H200" s="2" t="str">
        <x:f>IF(COUNTA(A200:F200)=0,"",COUNTIFS('External Data'!$L$2:$L$1001,SUBSTITUTE(SUBSTITUTE(SUBSTITUTE(L200,"~","~~"),"*","~*"),"?","~?")))</x:f>
      </x:c>
      <x:c r="I200" s="13" t="str">
        <x:f>IF(OR(H200&lt;&gt;1,G200&lt;&gt;1),"",SUMIFS('External Data'!$E$2:$E$1001,'External Data'!$L$2:$L$1001,SUBSTITUTE(SUBSTITUTE(SUBSTITUTE(L200,"~","~~"),"*","~*"),"?","~?")))</x:f>
      </x:c>
      <x:c r="J200" s="13" t="str">
        <x:f>IF(OR(NOT(ISNUMBER(E200)),NOT(ISNUMBER(I200))),"",ROUND(E200-I200,2))</x:f>
      </x:c>
      <x:c r="K200" s="2" t="str">
        <x:f>IF(COUNTA(A200:F200)=0,"",IF(OR(A200="",B200="",C200="",D200="",NOT(ISNUMBER(E200))),"Missing / invalid input",IF(G200&gt;1,"Duplicate key in this source",IF(H200=0,"Missing in other source",IF(H200&gt;1,"Duplicate in other source",IF(SUMIFS('External Data'!$M$2:$M$1001,'External Data'!$L$2:$L$1001,SUBSTITUTE(SUBSTITUTE(SUBSTITUTE(L200,"~","~~"),"*","~*"),"?","~?"))&lt;&gt;1,"Other amount is invalid",IF(J200&lt;&gt;0,"Amount differs","Matched")))))))</x:f>
      </x:c>
      <x:c r="L200" t="str">
        <x:f>IF(COUNTA(A200:F200)=0,"",LEN(A200)&amp;":"&amp;A200&amp;LEN(B200)&amp;":"&amp;B200&amp;LEN(C200)&amp;":"&amp;C200&amp;LEN(D200)&amp;":"&amp;D200)</x:f>
      </x:c>
      <x:c r="M200" t="str">
        <x:f>IF(COUNTA(A200:F200)=0,"",IF(ISNUMBER(E200),1,0))</x:f>
      </x:c>
    </x:row>
    <x:row r="201">
      <x:c r="A201" s="11"/>
      <x:c r="B201" s="11"/>
      <x:c r="C201" s="11"/>
      <x:c r="D201" s="11"/>
      <x:c r="E201" s="12"/>
      <x:c r="F201" s="10"/>
      <x:c r="G201" s="2" t="str">
        <x:f>IF(COUNTA(A201:F201)=0,"",COUNTIFS('App Data'!$L$2:$L$1001,SUBSTITUTE(SUBSTITUTE(SUBSTITUTE(L201,"~","~~"),"*","~*"),"?","~?")))</x:f>
      </x:c>
      <x:c r="H201" s="2" t="str">
        <x:f>IF(COUNTA(A201:F201)=0,"",COUNTIFS('External Data'!$L$2:$L$1001,SUBSTITUTE(SUBSTITUTE(SUBSTITUTE(L201,"~","~~"),"*","~*"),"?","~?")))</x:f>
      </x:c>
      <x:c r="I201" s="13" t="str">
        <x:f>IF(OR(H201&lt;&gt;1,G201&lt;&gt;1),"",SUMIFS('External Data'!$E$2:$E$1001,'External Data'!$L$2:$L$1001,SUBSTITUTE(SUBSTITUTE(SUBSTITUTE(L201,"~","~~"),"*","~*"),"?","~?")))</x:f>
      </x:c>
      <x:c r="J201" s="13" t="str">
        <x:f>IF(OR(NOT(ISNUMBER(E201)),NOT(ISNUMBER(I201))),"",ROUND(E201-I201,2))</x:f>
      </x:c>
      <x:c r="K201" s="2" t="str">
        <x:f>IF(COUNTA(A201:F201)=0,"",IF(OR(A201="",B201="",C201="",D201="",NOT(ISNUMBER(E201))),"Missing / invalid input",IF(G201&gt;1,"Duplicate key in this source",IF(H201=0,"Missing in other source",IF(H201&gt;1,"Duplicate in other source",IF(SUMIFS('External Data'!$M$2:$M$1001,'External Data'!$L$2:$L$1001,SUBSTITUTE(SUBSTITUTE(SUBSTITUTE(L201,"~","~~"),"*","~*"),"?","~?"))&lt;&gt;1,"Other amount is invalid",IF(J201&lt;&gt;0,"Amount differs","Matched")))))))</x:f>
      </x:c>
      <x:c r="L201" t="str">
        <x:f>IF(COUNTA(A201:F201)=0,"",LEN(A201)&amp;":"&amp;A201&amp;LEN(B201)&amp;":"&amp;B201&amp;LEN(C201)&amp;":"&amp;C201&amp;LEN(D201)&amp;":"&amp;D201)</x:f>
      </x:c>
      <x:c r="M201" t="str">
        <x:f>IF(COUNTA(A201:F201)=0,"",IF(ISNUMBER(E201),1,0))</x:f>
      </x:c>
    </x:row>
    <x:row r="202">
      <x:c r="A202" s="11"/>
      <x:c r="B202" s="11"/>
      <x:c r="C202" s="11"/>
      <x:c r="D202" s="11"/>
      <x:c r="E202" s="12"/>
      <x:c r="F202" s="10"/>
      <x:c r="G202" s="2" t="str">
        <x:f>IF(COUNTA(A202:F202)=0,"",COUNTIFS('App Data'!$L$2:$L$1001,SUBSTITUTE(SUBSTITUTE(SUBSTITUTE(L202,"~","~~"),"*","~*"),"?","~?")))</x:f>
      </x:c>
      <x:c r="H202" s="2" t="str">
        <x:f>IF(COUNTA(A202:F202)=0,"",COUNTIFS('External Data'!$L$2:$L$1001,SUBSTITUTE(SUBSTITUTE(SUBSTITUTE(L202,"~","~~"),"*","~*"),"?","~?")))</x:f>
      </x:c>
      <x:c r="I202" s="13" t="str">
        <x:f>IF(OR(H202&lt;&gt;1,G202&lt;&gt;1),"",SUMIFS('External Data'!$E$2:$E$1001,'External Data'!$L$2:$L$1001,SUBSTITUTE(SUBSTITUTE(SUBSTITUTE(L202,"~","~~"),"*","~*"),"?","~?")))</x:f>
      </x:c>
      <x:c r="J202" s="13" t="str">
        <x:f>IF(OR(NOT(ISNUMBER(E202)),NOT(ISNUMBER(I202))),"",ROUND(E202-I202,2))</x:f>
      </x:c>
      <x:c r="K202" s="2" t="str">
        <x:f>IF(COUNTA(A202:F202)=0,"",IF(OR(A202="",B202="",C202="",D202="",NOT(ISNUMBER(E202))),"Missing / invalid input",IF(G202&gt;1,"Duplicate key in this source",IF(H202=0,"Missing in other source",IF(H202&gt;1,"Duplicate in other source",IF(SUMIFS('External Data'!$M$2:$M$1001,'External Data'!$L$2:$L$1001,SUBSTITUTE(SUBSTITUTE(SUBSTITUTE(L202,"~","~~"),"*","~*"),"?","~?"))&lt;&gt;1,"Other amount is invalid",IF(J202&lt;&gt;0,"Amount differs","Matched")))))))</x:f>
      </x:c>
      <x:c r="L202" t="str">
        <x:f>IF(COUNTA(A202:F202)=0,"",LEN(A202)&amp;":"&amp;A202&amp;LEN(B202)&amp;":"&amp;B202&amp;LEN(C202)&amp;":"&amp;C202&amp;LEN(D202)&amp;":"&amp;D202)</x:f>
      </x:c>
      <x:c r="M202" t="str">
        <x:f>IF(COUNTA(A202:F202)=0,"",IF(ISNUMBER(E202),1,0))</x:f>
      </x:c>
    </x:row>
    <x:row r="203">
      <x:c r="A203" s="11"/>
      <x:c r="B203" s="11"/>
      <x:c r="C203" s="11"/>
      <x:c r="D203" s="11"/>
      <x:c r="E203" s="12"/>
      <x:c r="F203" s="10"/>
      <x:c r="G203" s="2" t="str">
        <x:f>IF(COUNTA(A203:F203)=0,"",COUNTIFS('App Data'!$L$2:$L$1001,SUBSTITUTE(SUBSTITUTE(SUBSTITUTE(L203,"~","~~"),"*","~*"),"?","~?")))</x:f>
      </x:c>
      <x:c r="H203" s="2" t="str">
        <x:f>IF(COUNTA(A203:F203)=0,"",COUNTIFS('External Data'!$L$2:$L$1001,SUBSTITUTE(SUBSTITUTE(SUBSTITUTE(L203,"~","~~"),"*","~*"),"?","~?")))</x:f>
      </x:c>
      <x:c r="I203" s="13" t="str">
        <x:f>IF(OR(H203&lt;&gt;1,G203&lt;&gt;1),"",SUMIFS('External Data'!$E$2:$E$1001,'External Data'!$L$2:$L$1001,SUBSTITUTE(SUBSTITUTE(SUBSTITUTE(L203,"~","~~"),"*","~*"),"?","~?")))</x:f>
      </x:c>
      <x:c r="J203" s="13" t="str">
        <x:f>IF(OR(NOT(ISNUMBER(E203)),NOT(ISNUMBER(I203))),"",ROUND(E203-I203,2))</x:f>
      </x:c>
      <x:c r="K203" s="2" t="str">
        <x:f>IF(COUNTA(A203:F203)=0,"",IF(OR(A203="",B203="",C203="",D203="",NOT(ISNUMBER(E203))),"Missing / invalid input",IF(G203&gt;1,"Duplicate key in this source",IF(H203=0,"Missing in other source",IF(H203&gt;1,"Duplicate in other source",IF(SUMIFS('External Data'!$M$2:$M$1001,'External Data'!$L$2:$L$1001,SUBSTITUTE(SUBSTITUTE(SUBSTITUTE(L203,"~","~~"),"*","~*"),"?","~?"))&lt;&gt;1,"Other amount is invalid",IF(J203&lt;&gt;0,"Amount differs","Matched")))))))</x:f>
      </x:c>
      <x:c r="L203" t="str">
        <x:f>IF(COUNTA(A203:F203)=0,"",LEN(A203)&amp;":"&amp;A203&amp;LEN(B203)&amp;":"&amp;B203&amp;LEN(C203)&amp;":"&amp;C203&amp;LEN(D203)&amp;":"&amp;D203)</x:f>
      </x:c>
      <x:c r="M203" t="str">
        <x:f>IF(COUNTA(A203:F203)=0,"",IF(ISNUMBER(E203),1,0))</x:f>
      </x:c>
    </x:row>
    <x:row r="204">
      <x:c r="A204" s="11"/>
      <x:c r="B204" s="11"/>
      <x:c r="C204" s="11"/>
      <x:c r="D204" s="11"/>
      <x:c r="E204" s="12"/>
      <x:c r="F204" s="10"/>
      <x:c r="G204" s="2" t="str">
        <x:f>IF(COUNTA(A204:F204)=0,"",COUNTIFS('App Data'!$L$2:$L$1001,SUBSTITUTE(SUBSTITUTE(SUBSTITUTE(L204,"~","~~"),"*","~*"),"?","~?")))</x:f>
      </x:c>
      <x:c r="H204" s="2" t="str">
        <x:f>IF(COUNTA(A204:F204)=0,"",COUNTIFS('External Data'!$L$2:$L$1001,SUBSTITUTE(SUBSTITUTE(SUBSTITUTE(L204,"~","~~"),"*","~*"),"?","~?")))</x:f>
      </x:c>
      <x:c r="I204" s="13" t="str">
        <x:f>IF(OR(H204&lt;&gt;1,G204&lt;&gt;1),"",SUMIFS('External Data'!$E$2:$E$1001,'External Data'!$L$2:$L$1001,SUBSTITUTE(SUBSTITUTE(SUBSTITUTE(L204,"~","~~"),"*","~*"),"?","~?")))</x:f>
      </x:c>
      <x:c r="J204" s="13" t="str">
        <x:f>IF(OR(NOT(ISNUMBER(E204)),NOT(ISNUMBER(I204))),"",ROUND(E204-I204,2))</x:f>
      </x:c>
      <x:c r="K204" s="2" t="str">
        <x:f>IF(COUNTA(A204:F204)=0,"",IF(OR(A204="",B204="",C204="",D204="",NOT(ISNUMBER(E204))),"Missing / invalid input",IF(G204&gt;1,"Duplicate key in this source",IF(H204=0,"Missing in other source",IF(H204&gt;1,"Duplicate in other source",IF(SUMIFS('External Data'!$M$2:$M$1001,'External Data'!$L$2:$L$1001,SUBSTITUTE(SUBSTITUTE(SUBSTITUTE(L204,"~","~~"),"*","~*"),"?","~?"))&lt;&gt;1,"Other amount is invalid",IF(J204&lt;&gt;0,"Amount differs","Matched")))))))</x:f>
      </x:c>
      <x:c r="L204" t="str">
        <x:f>IF(COUNTA(A204:F204)=0,"",LEN(A204)&amp;":"&amp;A204&amp;LEN(B204)&amp;":"&amp;B204&amp;LEN(C204)&amp;":"&amp;C204&amp;LEN(D204)&amp;":"&amp;D204)</x:f>
      </x:c>
      <x:c r="M204" t="str">
        <x:f>IF(COUNTA(A204:F204)=0,"",IF(ISNUMBER(E204),1,0))</x:f>
      </x:c>
    </x:row>
    <x:row r="205">
      <x:c r="A205" s="11"/>
      <x:c r="B205" s="11"/>
      <x:c r="C205" s="11"/>
      <x:c r="D205" s="11"/>
      <x:c r="E205" s="12"/>
      <x:c r="F205" s="10"/>
      <x:c r="G205" s="2" t="str">
        <x:f>IF(COUNTA(A205:F205)=0,"",COUNTIFS('App Data'!$L$2:$L$1001,SUBSTITUTE(SUBSTITUTE(SUBSTITUTE(L205,"~","~~"),"*","~*"),"?","~?")))</x:f>
      </x:c>
      <x:c r="H205" s="2" t="str">
        <x:f>IF(COUNTA(A205:F205)=0,"",COUNTIFS('External Data'!$L$2:$L$1001,SUBSTITUTE(SUBSTITUTE(SUBSTITUTE(L205,"~","~~"),"*","~*"),"?","~?")))</x:f>
      </x:c>
      <x:c r="I205" s="13" t="str">
        <x:f>IF(OR(H205&lt;&gt;1,G205&lt;&gt;1),"",SUMIFS('External Data'!$E$2:$E$1001,'External Data'!$L$2:$L$1001,SUBSTITUTE(SUBSTITUTE(SUBSTITUTE(L205,"~","~~"),"*","~*"),"?","~?")))</x:f>
      </x:c>
      <x:c r="J205" s="13" t="str">
        <x:f>IF(OR(NOT(ISNUMBER(E205)),NOT(ISNUMBER(I205))),"",ROUND(E205-I205,2))</x:f>
      </x:c>
      <x:c r="K205" s="2" t="str">
        <x:f>IF(COUNTA(A205:F205)=0,"",IF(OR(A205="",B205="",C205="",D205="",NOT(ISNUMBER(E205))),"Missing / invalid input",IF(G205&gt;1,"Duplicate key in this source",IF(H205=0,"Missing in other source",IF(H205&gt;1,"Duplicate in other source",IF(SUMIFS('External Data'!$M$2:$M$1001,'External Data'!$L$2:$L$1001,SUBSTITUTE(SUBSTITUTE(SUBSTITUTE(L205,"~","~~"),"*","~*"),"?","~?"))&lt;&gt;1,"Other amount is invalid",IF(J205&lt;&gt;0,"Amount differs","Matched")))))))</x:f>
      </x:c>
      <x:c r="L205" t="str">
        <x:f>IF(COUNTA(A205:F205)=0,"",LEN(A205)&amp;":"&amp;A205&amp;LEN(B205)&amp;":"&amp;B205&amp;LEN(C205)&amp;":"&amp;C205&amp;LEN(D205)&amp;":"&amp;D205)</x:f>
      </x:c>
      <x:c r="M205" t="str">
        <x:f>IF(COUNTA(A205:F205)=0,"",IF(ISNUMBER(E205),1,0))</x:f>
      </x:c>
    </x:row>
    <x:row r="206">
      <x:c r="A206" s="11"/>
      <x:c r="B206" s="11"/>
      <x:c r="C206" s="11"/>
      <x:c r="D206" s="11"/>
      <x:c r="E206" s="12"/>
      <x:c r="F206" s="10"/>
      <x:c r="G206" s="2" t="str">
        <x:f>IF(COUNTA(A206:F206)=0,"",COUNTIFS('App Data'!$L$2:$L$1001,SUBSTITUTE(SUBSTITUTE(SUBSTITUTE(L206,"~","~~"),"*","~*"),"?","~?")))</x:f>
      </x:c>
      <x:c r="H206" s="2" t="str">
        <x:f>IF(COUNTA(A206:F206)=0,"",COUNTIFS('External Data'!$L$2:$L$1001,SUBSTITUTE(SUBSTITUTE(SUBSTITUTE(L206,"~","~~"),"*","~*"),"?","~?")))</x:f>
      </x:c>
      <x:c r="I206" s="13" t="str">
        <x:f>IF(OR(H206&lt;&gt;1,G206&lt;&gt;1),"",SUMIFS('External Data'!$E$2:$E$1001,'External Data'!$L$2:$L$1001,SUBSTITUTE(SUBSTITUTE(SUBSTITUTE(L206,"~","~~"),"*","~*"),"?","~?")))</x:f>
      </x:c>
      <x:c r="J206" s="13" t="str">
        <x:f>IF(OR(NOT(ISNUMBER(E206)),NOT(ISNUMBER(I206))),"",ROUND(E206-I206,2))</x:f>
      </x:c>
      <x:c r="K206" s="2" t="str">
        <x:f>IF(COUNTA(A206:F206)=0,"",IF(OR(A206="",B206="",C206="",D206="",NOT(ISNUMBER(E206))),"Missing / invalid input",IF(G206&gt;1,"Duplicate key in this source",IF(H206=0,"Missing in other source",IF(H206&gt;1,"Duplicate in other source",IF(SUMIFS('External Data'!$M$2:$M$1001,'External Data'!$L$2:$L$1001,SUBSTITUTE(SUBSTITUTE(SUBSTITUTE(L206,"~","~~"),"*","~*"),"?","~?"))&lt;&gt;1,"Other amount is invalid",IF(J206&lt;&gt;0,"Amount differs","Matched")))))))</x:f>
      </x:c>
      <x:c r="L206" t="str">
        <x:f>IF(COUNTA(A206:F206)=0,"",LEN(A206)&amp;":"&amp;A206&amp;LEN(B206)&amp;":"&amp;B206&amp;LEN(C206)&amp;":"&amp;C206&amp;LEN(D206)&amp;":"&amp;D206)</x:f>
      </x:c>
      <x:c r="M206" t="str">
        <x:f>IF(COUNTA(A206:F206)=0,"",IF(ISNUMBER(E206),1,0))</x:f>
      </x:c>
    </x:row>
    <x:row r="207">
      <x:c r="A207" s="11"/>
      <x:c r="B207" s="11"/>
      <x:c r="C207" s="11"/>
      <x:c r="D207" s="11"/>
      <x:c r="E207" s="12"/>
      <x:c r="F207" s="10"/>
      <x:c r="G207" s="2" t="str">
        <x:f>IF(COUNTA(A207:F207)=0,"",COUNTIFS('App Data'!$L$2:$L$1001,SUBSTITUTE(SUBSTITUTE(SUBSTITUTE(L207,"~","~~"),"*","~*"),"?","~?")))</x:f>
      </x:c>
      <x:c r="H207" s="2" t="str">
        <x:f>IF(COUNTA(A207:F207)=0,"",COUNTIFS('External Data'!$L$2:$L$1001,SUBSTITUTE(SUBSTITUTE(SUBSTITUTE(L207,"~","~~"),"*","~*"),"?","~?")))</x:f>
      </x:c>
      <x:c r="I207" s="13" t="str">
        <x:f>IF(OR(H207&lt;&gt;1,G207&lt;&gt;1),"",SUMIFS('External Data'!$E$2:$E$1001,'External Data'!$L$2:$L$1001,SUBSTITUTE(SUBSTITUTE(SUBSTITUTE(L207,"~","~~"),"*","~*"),"?","~?")))</x:f>
      </x:c>
      <x:c r="J207" s="13" t="str">
        <x:f>IF(OR(NOT(ISNUMBER(E207)),NOT(ISNUMBER(I207))),"",ROUND(E207-I207,2))</x:f>
      </x:c>
      <x:c r="K207" s="2" t="str">
        <x:f>IF(COUNTA(A207:F207)=0,"",IF(OR(A207="",B207="",C207="",D207="",NOT(ISNUMBER(E207))),"Missing / invalid input",IF(G207&gt;1,"Duplicate key in this source",IF(H207=0,"Missing in other source",IF(H207&gt;1,"Duplicate in other source",IF(SUMIFS('External Data'!$M$2:$M$1001,'External Data'!$L$2:$L$1001,SUBSTITUTE(SUBSTITUTE(SUBSTITUTE(L207,"~","~~"),"*","~*"),"?","~?"))&lt;&gt;1,"Other amount is invalid",IF(J207&lt;&gt;0,"Amount differs","Matched")))))))</x:f>
      </x:c>
      <x:c r="L207" t="str">
        <x:f>IF(COUNTA(A207:F207)=0,"",LEN(A207)&amp;":"&amp;A207&amp;LEN(B207)&amp;":"&amp;B207&amp;LEN(C207)&amp;":"&amp;C207&amp;LEN(D207)&amp;":"&amp;D207)</x:f>
      </x:c>
      <x:c r="M207" t="str">
        <x:f>IF(COUNTA(A207:F207)=0,"",IF(ISNUMBER(E207),1,0))</x:f>
      </x:c>
    </x:row>
    <x:row r="208">
      <x:c r="A208" s="11"/>
      <x:c r="B208" s="11"/>
      <x:c r="C208" s="11"/>
      <x:c r="D208" s="11"/>
      <x:c r="E208" s="12"/>
      <x:c r="F208" s="10"/>
      <x:c r="G208" s="2" t="str">
        <x:f>IF(COUNTA(A208:F208)=0,"",COUNTIFS('App Data'!$L$2:$L$1001,SUBSTITUTE(SUBSTITUTE(SUBSTITUTE(L208,"~","~~"),"*","~*"),"?","~?")))</x:f>
      </x:c>
      <x:c r="H208" s="2" t="str">
        <x:f>IF(COUNTA(A208:F208)=0,"",COUNTIFS('External Data'!$L$2:$L$1001,SUBSTITUTE(SUBSTITUTE(SUBSTITUTE(L208,"~","~~"),"*","~*"),"?","~?")))</x:f>
      </x:c>
      <x:c r="I208" s="13" t="str">
        <x:f>IF(OR(H208&lt;&gt;1,G208&lt;&gt;1),"",SUMIFS('External Data'!$E$2:$E$1001,'External Data'!$L$2:$L$1001,SUBSTITUTE(SUBSTITUTE(SUBSTITUTE(L208,"~","~~"),"*","~*"),"?","~?")))</x:f>
      </x:c>
      <x:c r="J208" s="13" t="str">
        <x:f>IF(OR(NOT(ISNUMBER(E208)),NOT(ISNUMBER(I208))),"",ROUND(E208-I208,2))</x:f>
      </x:c>
      <x:c r="K208" s="2" t="str">
        <x:f>IF(COUNTA(A208:F208)=0,"",IF(OR(A208="",B208="",C208="",D208="",NOT(ISNUMBER(E208))),"Missing / invalid input",IF(G208&gt;1,"Duplicate key in this source",IF(H208=0,"Missing in other source",IF(H208&gt;1,"Duplicate in other source",IF(SUMIFS('External Data'!$M$2:$M$1001,'External Data'!$L$2:$L$1001,SUBSTITUTE(SUBSTITUTE(SUBSTITUTE(L208,"~","~~"),"*","~*"),"?","~?"))&lt;&gt;1,"Other amount is invalid",IF(J208&lt;&gt;0,"Amount differs","Matched")))))))</x:f>
      </x:c>
      <x:c r="L208" t="str">
        <x:f>IF(COUNTA(A208:F208)=0,"",LEN(A208)&amp;":"&amp;A208&amp;LEN(B208)&amp;":"&amp;B208&amp;LEN(C208)&amp;":"&amp;C208&amp;LEN(D208)&amp;":"&amp;D208)</x:f>
      </x:c>
      <x:c r="M208" t="str">
        <x:f>IF(COUNTA(A208:F208)=0,"",IF(ISNUMBER(E208),1,0))</x:f>
      </x:c>
    </x:row>
    <x:row r="209">
      <x:c r="A209" s="11"/>
      <x:c r="B209" s="11"/>
      <x:c r="C209" s="11"/>
      <x:c r="D209" s="11"/>
      <x:c r="E209" s="12"/>
      <x:c r="F209" s="10"/>
      <x:c r="G209" s="2" t="str">
        <x:f>IF(COUNTA(A209:F209)=0,"",COUNTIFS('App Data'!$L$2:$L$1001,SUBSTITUTE(SUBSTITUTE(SUBSTITUTE(L209,"~","~~"),"*","~*"),"?","~?")))</x:f>
      </x:c>
      <x:c r="H209" s="2" t="str">
        <x:f>IF(COUNTA(A209:F209)=0,"",COUNTIFS('External Data'!$L$2:$L$1001,SUBSTITUTE(SUBSTITUTE(SUBSTITUTE(L209,"~","~~"),"*","~*"),"?","~?")))</x:f>
      </x:c>
      <x:c r="I209" s="13" t="str">
        <x:f>IF(OR(H209&lt;&gt;1,G209&lt;&gt;1),"",SUMIFS('External Data'!$E$2:$E$1001,'External Data'!$L$2:$L$1001,SUBSTITUTE(SUBSTITUTE(SUBSTITUTE(L209,"~","~~"),"*","~*"),"?","~?")))</x:f>
      </x:c>
      <x:c r="J209" s="13" t="str">
        <x:f>IF(OR(NOT(ISNUMBER(E209)),NOT(ISNUMBER(I209))),"",ROUND(E209-I209,2))</x:f>
      </x:c>
      <x:c r="K209" s="2" t="str">
        <x:f>IF(COUNTA(A209:F209)=0,"",IF(OR(A209="",B209="",C209="",D209="",NOT(ISNUMBER(E209))),"Missing / invalid input",IF(G209&gt;1,"Duplicate key in this source",IF(H209=0,"Missing in other source",IF(H209&gt;1,"Duplicate in other source",IF(SUMIFS('External Data'!$M$2:$M$1001,'External Data'!$L$2:$L$1001,SUBSTITUTE(SUBSTITUTE(SUBSTITUTE(L209,"~","~~"),"*","~*"),"?","~?"))&lt;&gt;1,"Other amount is invalid",IF(J209&lt;&gt;0,"Amount differs","Matched")))))))</x:f>
      </x:c>
      <x:c r="L209" t="str">
        <x:f>IF(COUNTA(A209:F209)=0,"",LEN(A209)&amp;":"&amp;A209&amp;LEN(B209)&amp;":"&amp;B209&amp;LEN(C209)&amp;":"&amp;C209&amp;LEN(D209)&amp;":"&amp;D209)</x:f>
      </x:c>
      <x:c r="M209" t="str">
        <x:f>IF(COUNTA(A209:F209)=0,"",IF(ISNUMBER(E209),1,0))</x:f>
      </x:c>
    </x:row>
    <x:row r="210">
      <x:c r="A210" s="11"/>
      <x:c r="B210" s="11"/>
      <x:c r="C210" s="11"/>
      <x:c r="D210" s="11"/>
      <x:c r="E210" s="12"/>
      <x:c r="F210" s="10"/>
      <x:c r="G210" s="2" t="str">
        <x:f>IF(COUNTA(A210:F210)=0,"",COUNTIFS('App Data'!$L$2:$L$1001,SUBSTITUTE(SUBSTITUTE(SUBSTITUTE(L210,"~","~~"),"*","~*"),"?","~?")))</x:f>
      </x:c>
      <x:c r="H210" s="2" t="str">
        <x:f>IF(COUNTA(A210:F210)=0,"",COUNTIFS('External Data'!$L$2:$L$1001,SUBSTITUTE(SUBSTITUTE(SUBSTITUTE(L210,"~","~~"),"*","~*"),"?","~?")))</x:f>
      </x:c>
      <x:c r="I210" s="13" t="str">
        <x:f>IF(OR(H210&lt;&gt;1,G210&lt;&gt;1),"",SUMIFS('External Data'!$E$2:$E$1001,'External Data'!$L$2:$L$1001,SUBSTITUTE(SUBSTITUTE(SUBSTITUTE(L210,"~","~~"),"*","~*"),"?","~?")))</x:f>
      </x:c>
      <x:c r="J210" s="13" t="str">
        <x:f>IF(OR(NOT(ISNUMBER(E210)),NOT(ISNUMBER(I210))),"",ROUND(E210-I210,2))</x:f>
      </x:c>
      <x:c r="K210" s="2" t="str">
        <x:f>IF(COUNTA(A210:F210)=0,"",IF(OR(A210="",B210="",C210="",D210="",NOT(ISNUMBER(E210))),"Missing / invalid input",IF(G210&gt;1,"Duplicate key in this source",IF(H210=0,"Missing in other source",IF(H210&gt;1,"Duplicate in other source",IF(SUMIFS('External Data'!$M$2:$M$1001,'External Data'!$L$2:$L$1001,SUBSTITUTE(SUBSTITUTE(SUBSTITUTE(L210,"~","~~"),"*","~*"),"?","~?"))&lt;&gt;1,"Other amount is invalid",IF(J210&lt;&gt;0,"Amount differs","Matched")))))))</x:f>
      </x:c>
      <x:c r="L210" t="str">
        <x:f>IF(COUNTA(A210:F210)=0,"",LEN(A210)&amp;":"&amp;A210&amp;LEN(B210)&amp;":"&amp;B210&amp;LEN(C210)&amp;":"&amp;C210&amp;LEN(D210)&amp;":"&amp;D210)</x:f>
      </x:c>
      <x:c r="M210" t="str">
        <x:f>IF(COUNTA(A210:F210)=0,"",IF(ISNUMBER(E210),1,0))</x:f>
      </x:c>
    </x:row>
    <x:row r="211">
      <x:c r="A211" s="11"/>
      <x:c r="B211" s="11"/>
      <x:c r="C211" s="11"/>
      <x:c r="D211" s="11"/>
      <x:c r="E211" s="12"/>
      <x:c r="F211" s="10"/>
      <x:c r="G211" s="2" t="str">
        <x:f>IF(COUNTA(A211:F211)=0,"",COUNTIFS('App Data'!$L$2:$L$1001,SUBSTITUTE(SUBSTITUTE(SUBSTITUTE(L211,"~","~~"),"*","~*"),"?","~?")))</x:f>
      </x:c>
      <x:c r="H211" s="2" t="str">
        <x:f>IF(COUNTA(A211:F211)=0,"",COUNTIFS('External Data'!$L$2:$L$1001,SUBSTITUTE(SUBSTITUTE(SUBSTITUTE(L211,"~","~~"),"*","~*"),"?","~?")))</x:f>
      </x:c>
      <x:c r="I211" s="13" t="str">
        <x:f>IF(OR(H211&lt;&gt;1,G211&lt;&gt;1),"",SUMIFS('External Data'!$E$2:$E$1001,'External Data'!$L$2:$L$1001,SUBSTITUTE(SUBSTITUTE(SUBSTITUTE(L211,"~","~~"),"*","~*"),"?","~?")))</x:f>
      </x:c>
      <x:c r="J211" s="13" t="str">
        <x:f>IF(OR(NOT(ISNUMBER(E211)),NOT(ISNUMBER(I211))),"",ROUND(E211-I211,2))</x:f>
      </x:c>
      <x:c r="K211" s="2" t="str">
        <x:f>IF(COUNTA(A211:F211)=0,"",IF(OR(A211="",B211="",C211="",D211="",NOT(ISNUMBER(E211))),"Missing / invalid input",IF(G211&gt;1,"Duplicate key in this source",IF(H211=0,"Missing in other source",IF(H211&gt;1,"Duplicate in other source",IF(SUMIFS('External Data'!$M$2:$M$1001,'External Data'!$L$2:$L$1001,SUBSTITUTE(SUBSTITUTE(SUBSTITUTE(L211,"~","~~"),"*","~*"),"?","~?"))&lt;&gt;1,"Other amount is invalid",IF(J211&lt;&gt;0,"Amount differs","Matched")))))))</x:f>
      </x:c>
      <x:c r="L211" t="str">
        <x:f>IF(COUNTA(A211:F211)=0,"",LEN(A211)&amp;":"&amp;A211&amp;LEN(B211)&amp;":"&amp;B211&amp;LEN(C211)&amp;":"&amp;C211&amp;LEN(D211)&amp;":"&amp;D211)</x:f>
      </x:c>
      <x:c r="M211" t="str">
        <x:f>IF(COUNTA(A211:F211)=0,"",IF(ISNUMBER(E211),1,0))</x:f>
      </x:c>
    </x:row>
    <x:row r="212">
      <x:c r="A212" s="11"/>
      <x:c r="B212" s="11"/>
      <x:c r="C212" s="11"/>
      <x:c r="D212" s="11"/>
      <x:c r="E212" s="12"/>
      <x:c r="F212" s="10"/>
      <x:c r="G212" s="2" t="str">
        <x:f>IF(COUNTA(A212:F212)=0,"",COUNTIFS('App Data'!$L$2:$L$1001,SUBSTITUTE(SUBSTITUTE(SUBSTITUTE(L212,"~","~~"),"*","~*"),"?","~?")))</x:f>
      </x:c>
      <x:c r="H212" s="2" t="str">
        <x:f>IF(COUNTA(A212:F212)=0,"",COUNTIFS('External Data'!$L$2:$L$1001,SUBSTITUTE(SUBSTITUTE(SUBSTITUTE(L212,"~","~~"),"*","~*"),"?","~?")))</x:f>
      </x:c>
      <x:c r="I212" s="13" t="str">
        <x:f>IF(OR(H212&lt;&gt;1,G212&lt;&gt;1),"",SUMIFS('External Data'!$E$2:$E$1001,'External Data'!$L$2:$L$1001,SUBSTITUTE(SUBSTITUTE(SUBSTITUTE(L212,"~","~~"),"*","~*"),"?","~?")))</x:f>
      </x:c>
      <x:c r="J212" s="13" t="str">
        <x:f>IF(OR(NOT(ISNUMBER(E212)),NOT(ISNUMBER(I212))),"",ROUND(E212-I212,2))</x:f>
      </x:c>
      <x:c r="K212" s="2" t="str">
        <x:f>IF(COUNTA(A212:F212)=0,"",IF(OR(A212="",B212="",C212="",D212="",NOT(ISNUMBER(E212))),"Missing / invalid input",IF(G212&gt;1,"Duplicate key in this source",IF(H212=0,"Missing in other source",IF(H212&gt;1,"Duplicate in other source",IF(SUMIFS('External Data'!$M$2:$M$1001,'External Data'!$L$2:$L$1001,SUBSTITUTE(SUBSTITUTE(SUBSTITUTE(L212,"~","~~"),"*","~*"),"?","~?"))&lt;&gt;1,"Other amount is invalid",IF(J212&lt;&gt;0,"Amount differs","Matched")))))))</x:f>
      </x:c>
      <x:c r="L212" t="str">
        <x:f>IF(COUNTA(A212:F212)=0,"",LEN(A212)&amp;":"&amp;A212&amp;LEN(B212)&amp;":"&amp;B212&amp;LEN(C212)&amp;":"&amp;C212&amp;LEN(D212)&amp;":"&amp;D212)</x:f>
      </x:c>
      <x:c r="M212" t="str">
        <x:f>IF(COUNTA(A212:F212)=0,"",IF(ISNUMBER(E212),1,0))</x:f>
      </x:c>
    </x:row>
    <x:row r="213">
      <x:c r="A213" s="11"/>
      <x:c r="B213" s="11"/>
      <x:c r="C213" s="11"/>
      <x:c r="D213" s="11"/>
      <x:c r="E213" s="12"/>
      <x:c r="F213" s="10"/>
      <x:c r="G213" s="2" t="str">
        <x:f>IF(COUNTA(A213:F213)=0,"",COUNTIFS('App Data'!$L$2:$L$1001,SUBSTITUTE(SUBSTITUTE(SUBSTITUTE(L213,"~","~~"),"*","~*"),"?","~?")))</x:f>
      </x:c>
      <x:c r="H213" s="2" t="str">
        <x:f>IF(COUNTA(A213:F213)=0,"",COUNTIFS('External Data'!$L$2:$L$1001,SUBSTITUTE(SUBSTITUTE(SUBSTITUTE(L213,"~","~~"),"*","~*"),"?","~?")))</x:f>
      </x:c>
      <x:c r="I213" s="13" t="str">
        <x:f>IF(OR(H213&lt;&gt;1,G213&lt;&gt;1),"",SUMIFS('External Data'!$E$2:$E$1001,'External Data'!$L$2:$L$1001,SUBSTITUTE(SUBSTITUTE(SUBSTITUTE(L213,"~","~~"),"*","~*"),"?","~?")))</x:f>
      </x:c>
      <x:c r="J213" s="13" t="str">
        <x:f>IF(OR(NOT(ISNUMBER(E213)),NOT(ISNUMBER(I213))),"",ROUND(E213-I213,2))</x:f>
      </x:c>
      <x:c r="K213" s="2" t="str">
        <x:f>IF(COUNTA(A213:F213)=0,"",IF(OR(A213="",B213="",C213="",D213="",NOT(ISNUMBER(E213))),"Missing / invalid input",IF(G213&gt;1,"Duplicate key in this source",IF(H213=0,"Missing in other source",IF(H213&gt;1,"Duplicate in other source",IF(SUMIFS('External Data'!$M$2:$M$1001,'External Data'!$L$2:$L$1001,SUBSTITUTE(SUBSTITUTE(SUBSTITUTE(L213,"~","~~"),"*","~*"),"?","~?"))&lt;&gt;1,"Other amount is invalid",IF(J213&lt;&gt;0,"Amount differs","Matched")))))))</x:f>
      </x:c>
      <x:c r="L213" t="str">
        <x:f>IF(COUNTA(A213:F213)=0,"",LEN(A213)&amp;":"&amp;A213&amp;LEN(B213)&amp;":"&amp;B213&amp;LEN(C213)&amp;":"&amp;C213&amp;LEN(D213)&amp;":"&amp;D213)</x:f>
      </x:c>
      <x:c r="M213" t="str">
        <x:f>IF(COUNTA(A213:F213)=0,"",IF(ISNUMBER(E213),1,0))</x:f>
      </x:c>
    </x:row>
    <x:row r="214">
      <x:c r="A214" s="11"/>
      <x:c r="B214" s="11"/>
      <x:c r="C214" s="11"/>
      <x:c r="D214" s="11"/>
      <x:c r="E214" s="12"/>
      <x:c r="F214" s="10"/>
      <x:c r="G214" s="2" t="str">
        <x:f>IF(COUNTA(A214:F214)=0,"",COUNTIFS('App Data'!$L$2:$L$1001,SUBSTITUTE(SUBSTITUTE(SUBSTITUTE(L214,"~","~~"),"*","~*"),"?","~?")))</x:f>
      </x:c>
      <x:c r="H214" s="2" t="str">
        <x:f>IF(COUNTA(A214:F214)=0,"",COUNTIFS('External Data'!$L$2:$L$1001,SUBSTITUTE(SUBSTITUTE(SUBSTITUTE(L214,"~","~~"),"*","~*"),"?","~?")))</x:f>
      </x:c>
      <x:c r="I214" s="13" t="str">
        <x:f>IF(OR(H214&lt;&gt;1,G214&lt;&gt;1),"",SUMIFS('External Data'!$E$2:$E$1001,'External Data'!$L$2:$L$1001,SUBSTITUTE(SUBSTITUTE(SUBSTITUTE(L214,"~","~~"),"*","~*"),"?","~?")))</x:f>
      </x:c>
      <x:c r="J214" s="13" t="str">
        <x:f>IF(OR(NOT(ISNUMBER(E214)),NOT(ISNUMBER(I214))),"",ROUND(E214-I214,2))</x:f>
      </x:c>
      <x:c r="K214" s="2" t="str">
        <x:f>IF(COUNTA(A214:F214)=0,"",IF(OR(A214="",B214="",C214="",D214="",NOT(ISNUMBER(E214))),"Missing / invalid input",IF(G214&gt;1,"Duplicate key in this source",IF(H214=0,"Missing in other source",IF(H214&gt;1,"Duplicate in other source",IF(SUMIFS('External Data'!$M$2:$M$1001,'External Data'!$L$2:$L$1001,SUBSTITUTE(SUBSTITUTE(SUBSTITUTE(L214,"~","~~"),"*","~*"),"?","~?"))&lt;&gt;1,"Other amount is invalid",IF(J214&lt;&gt;0,"Amount differs","Matched")))))))</x:f>
      </x:c>
      <x:c r="L214" t="str">
        <x:f>IF(COUNTA(A214:F214)=0,"",LEN(A214)&amp;":"&amp;A214&amp;LEN(B214)&amp;":"&amp;B214&amp;LEN(C214)&amp;":"&amp;C214&amp;LEN(D214)&amp;":"&amp;D214)</x:f>
      </x:c>
      <x:c r="M214" t="str">
        <x:f>IF(COUNTA(A214:F214)=0,"",IF(ISNUMBER(E214),1,0))</x:f>
      </x:c>
    </x:row>
    <x:row r="215">
      <x:c r="A215" s="11"/>
      <x:c r="B215" s="11"/>
      <x:c r="C215" s="11"/>
      <x:c r="D215" s="11"/>
      <x:c r="E215" s="12"/>
      <x:c r="F215" s="10"/>
      <x:c r="G215" s="2" t="str">
        <x:f>IF(COUNTA(A215:F215)=0,"",COUNTIFS('App Data'!$L$2:$L$1001,SUBSTITUTE(SUBSTITUTE(SUBSTITUTE(L215,"~","~~"),"*","~*"),"?","~?")))</x:f>
      </x:c>
      <x:c r="H215" s="2" t="str">
        <x:f>IF(COUNTA(A215:F215)=0,"",COUNTIFS('External Data'!$L$2:$L$1001,SUBSTITUTE(SUBSTITUTE(SUBSTITUTE(L215,"~","~~"),"*","~*"),"?","~?")))</x:f>
      </x:c>
      <x:c r="I215" s="13" t="str">
        <x:f>IF(OR(H215&lt;&gt;1,G215&lt;&gt;1),"",SUMIFS('External Data'!$E$2:$E$1001,'External Data'!$L$2:$L$1001,SUBSTITUTE(SUBSTITUTE(SUBSTITUTE(L215,"~","~~"),"*","~*"),"?","~?")))</x:f>
      </x:c>
      <x:c r="J215" s="13" t="str">
        <x:f>IF(OR(NOT(ISNUMBER(E215)),NOT(ISNUMBER(I215))),"",ROUND(E215-I215,2))</x:f>
      </x:c>
      <x:c r="K215" s="2" t="str">
        <x:f>IF(COUNTA(A215:F215)=0,"",IF(OR(A215="",B215="",C215="",D215="",NOT(ISNUMBER(E215))),"Missing / invalid input",IF(G215&gt;1,"Duplicate key in this source",IF(H215=0,"Missing in other source",IF(H215&gt;1,"Duplicate in other source",IF(SUMIFS('External Data'!$M$2:$M$1001,'External Data'!$L$2:$L$1001,SUBSTITUTE(SUBSTITUTE(SUBSTITUTE(L215,"~","~~"),"*","~*"),"?","~?"))&lt;&gt;1,"Other amount is invalid",IF(J215&lt;&gt;0,"Amount differs","Matched")))))))</x:f>
      </x:c>
      <x:c r="L215" t="str">
        <x:f>IF(COUNTA(A215:F215)=0,"",LEN(A215)&amp;":"&amp;A215&amp;LEN(B215)&amp;":"&amp;B215&amp;LEN(C215)&amp;":"&amp;C215&amp;LEN(D215)&amp;":"&amp;D215)</x:f>
      </x:c>
      <x:c r="M215" t="str">
        <x:f>IF(COUNTA(A215:F215)=0,"",IF(ISNUMBER(E215),1,0))</x:f>
      </x:c>
    </x:row>
    <x:row r="216">
      <x:c r="A216" s="11"/>
      <x:c r="B216" s="11"/>
      <x:c r="C216" s="11"/>
      <x:c r="D216" s="11"/>
      <x:c r="E216" s="12"/>
      <x:c r="F216" s="10"/>
      <x:c r="G216" s="2" t="str">
        <x:f>IF(COUNTA(A216:F216)=0,"",COUNTIFS('App Data'!$L$2:$L$1001,SUBSTITUTE(SUBSTITUTE(SUBSTITUTE(L216,"~","~~"),"*","~*"),"?","~?")))</x:f>
      </x:c>
      <x:c r="H216" s="2" t="str">
        <x:f>IF(COUNTA(A216:F216)=0,"",COUNTIFS('External Data'!$L$2:$L$1001,SUBSTITUTE(SUBSTITUTE(SUBSTITUTE(L216,"~","~~"),"*","~*"),"?","~?")))</x:f>
      </x:c>
      <x:c r="I216" s="13" t="str">
        <x:f>IF(OR(H216&lt;&gt;1,G216&lt;&gt;1),"",SUMIFS('External Data'!$E$2:$E$1001,'External Data'!$L$2:$L$1001,SUBSTITUTE(SUBSTITUTE(SUBSTITUTE(L216,"~","~~"),"*","~*"),"?","~?")))</x:f>
      </x:c>
      <x:c r="J216" s="13" t="str">
        <x:f>IF(OR(NOT(ISNUMBER(E216)),NOT(ISNUMBER(I216))),"",ROUND(E216-I216,2))</x:f>
      </x:c>
      <x:c r="K216" s="2" t="str">
        <x:f>IF(COUNTA(A216:F216)=0,"",IF(OR(A216="",B216="",C216="",D216="",NOT(ISNUMBER(E216))),"Missing / invalid input",IF(G216&gt;1,"Duplicate key in this source",IF(H216=0,"Missing in other source",IF(H216&gt;1,"Duplicate in other source",IF(SUMIFS('External Data'!$M$2:$M$1001,'External Data'!$L$2:$L$1001,SUBSTITUTE(SUBSTITUTE(SUBSTITUTE(L216,"~","~~"),"*","~*"),"?","~?"))&lt;&gt;1,"Other amount is invalid",IF(J216&lt;&gt;0,"Amount differs","Matched")))))))</x:f>
      </x:c>
      <x:c r="L216" t="str">
        <x:f>IF(COUNTA(A216:F216)=0,"",LEN(A216)&amp;":"&amp;A216&amp;LEN(B216)&amp;":"&amp;B216&amp;LEN(C216)&amp;":"&amp;C216&amp;LEN(D216)&amp;":"&amp;D216)</x:f>
      </x:c>
      <x:c r="M216" t="str">
        <x:f>IF(COUNTA(A216:F216)=0,"",IF(ISNUMBER(E216),1,0))</x:f>
      </x:c>
    </x:row>
    <x:row r="217">
      <x:c r="A217" s="11"/>
      <x:c r="B217" s="11"/>
      <x:c r="C217" s="11"/>
      <x:c r="D217" s="11"/>
      <x:c r="E217" s="12"/>
      <x:c r="F217" s="10"/>
      <x:c r="G217" s="2" t="str">
        <x:f>IF(COUNTA(A217:F217)=0,"",COUNTIFS('App Data'!$L$2:$L$1001,SUBSTITUTE(SUBSTITUTE(SUBSTITUTE(L217,"~","~~"),"*","~*"),"?","~?")))</x:f>
      </x:c>
      <x:c r="H217" s="2" t="str">
        <x:f>IF(COUNTA(A217:F217)=0,"",COUNTIFS('External Data'!$L$2:$L$1001,SUBSTITUTE(SUBSTITUTE(SUBSTITUTE(L217,"~","~~"),"*","~*"),"?","~?")))</x:f>
      </x:c>
      <x:c r="I217" s="13" t="str">
        <x:f>IF(OR(H217&lt;&gt;1,G217&lt;&gt;1),"",SUMIFS('External Data'!$E$2:$E$1001,'External Data'!$L$2:$L$1001,SUBSTITUTE(SUBSTITUTE(SUBSTITUTE(L217,"~","~~"),"*","~*"),"?","~?")))</x:f>
      </x:c>
      <x:c r="J217" s="13" t="str">
        <x:f>IF(OR(NOT(ISNUMBER(E217)),NOT(ISNUMBER(I217))),"",ROUND(E217-I217,2))</x:f>
      </x:c>
      <x:c r="K217" s="2" t="str">
        <x:f>IF(COUNTA(A217:F217)=0,"",IF(OR(A217="",B217="",C217="",D217="",NOT(ISNUMBER(E217))),"Missing / invalid input",IF(G217&gt;1,"Duplicate key in this source",IF(H217=0,"Missing in other source",IF(H217&gt;1,"Duplicate in other source",IF(SUMIFS('External Data'!$M$2:$M$1001,'External Data'!$L$2:$L$1001,SUBSTITUTE(SUBSTITUTE(SUBSTITUTE(L217,"~","~~"),"*","~*"),"?","~?"))&lt;&gt;1,"Other amount is invalid",IF(J217&lt;&gt;0,"Amount differs","Matched")))))))</x:f>
      </x:c>
      <x:c r="L217" t="str">
        <x:f>IF(COUNTA(A217:F217)=0,"",LEN(A217)&amp;":"&amp;A217&amp;LEN(B217)&amp;":"&amp;B217&amp;LEN(C217)&amp;":"&amp;C217&amp;LEN(D217)&amp;":"&amp;D217)</x:f>
      </x:c>
      <x:c r="M217" t="str">
        <x:f>IF(COUNTA(A217:F217)=0,"",IF(ISNUMBER(E217),1,0))</x:f>
      </x:c>
    </x:row>
    <x:row r="218">
      <x:c r="A218" s="11"/>
      <x:c r="B218" s="11"/>
      <x:c r="C218" s="11"/>
      <x:c r="D218" s="11"/>
      <x:c r="E218" s="12"/>
      <x:c r="F218" s="10"/>
      <x:c r="G218" s="2" t="str">
        <x:f>IF(COUNTA(A218:F218)=0,"",COUNTIFS('App Data'!$L$2:$L$1001,SUBSTITUTE(SUBSTITUTE(SUBSTITUTE(L218,"~","~~"),"*","~*"),"?","~?")))</x:f>
      </x:c>
      <x:c r="H218" s="2" t="str">
        <x:f>IF(COUNTA(A218:F218)=0,"",COUNTIFS('External Data'!$L$2:$L$1001,SUBSTITUTE(SUBSTITUTE(SUBSTITUTE(L218,"~","~~"),"*","~*"),"?","~?")))</x:f>
      </x:c>
      <x:c r="I218" s="13" t="str">
        <x:f>IF(OR(H218&lt;&gt;1,G218&lt;&gt;1),"",SUMIFS('External Data'!$E$2:$E$1001,'External Data'!$L$2:$L$1001,SUBSTITUTE(SUBSTITUTE(SUBSTITUTE(L218,"~","~~"),"*","~*"),"?","~?")))</x:f>
      </x:c>
      <x:c r="J218" s="13" t="str">
        <x:f>IF(OR(NOT(ISNUMBER(E218)),NOT(ISNUMBER(I218))),"",ROUND(E218-I218,2))</x:f>
      </x:c>
      <x:c r="K218" s="2" t="str">
        <x:f>IF(COUNTA(A218:F218)=0,"",IF(OR(A218="",B218="",C218="",D218="",NOT(ISNUMBER(E218))),"Missing / invalid input",IF(G218&gt;1,"Duplicate key in this source",IF(H218=0,"Missing in other source",IF(H218&gt;1,"Duplicate in other source",IF(SUMIFS('External Data'!$M$2:$M$1001,'External Data'!$L$2:$L$1001,SUBSTITUTE(SUBSTITUTE(SUBSTITUTE(L218,"~","~~"),"*","~*"),"?","~?"))&lt;&gt;1,"Other amount is invalid",IF(J218&lt;&gt;0,"Amount differs","Matched")))))))</x:f>
      </x:c>
      <x:c r="L218" t="str">
        <x:f>IF(COUNTA(A218:F218)=0,"",LEN(A218)&amp;":"&amp;A218&amp;LEN(B218)&amp;":"&amp;B218&amp;LEN(C218)&amp;":"&amp;C218&amp;LEN(D218)&amp;":"&amp;D218)</x:f>
      </x:c>
      <x:c r="M218" t="str">
        <x:f>IF(COUNTA(A218:F218)=0,"",IF(ISNUMBER(E218),1,0))</x:f>
      </x:c>
    </x:row>
    <x:row r="219">
      <x:c r="A219" s="11"/>
      <x:c r="B219" s="11"/>
      <x:c r="C219" s="11"/>
      <x:c r="D219" s="11"/>
      <x:c r="E219" s="12"/>
      <x:c r="F219" s="10"/>
      <x:c r="G219" s="2" t="str">
        <x:f>IF(COUNTA(A219:F219)=0,"",COUNTIFS('App Data'!$L$2:$L$1001,SUBSTITUTE(SUBSTITUTE(SUBSTITUTE(L219,"~","~~"),"*","~*"),"?","~?")))</x:f>
      </x:c>
      <x:c r="H219" s="2" t="str">
        <x:f>IF(COUNTA(A219:F219)=0,"",COUNTIFS('External Data'!$L$2:$L$1001,SUBSTITUTE(SUBSTITUTE(SUBSTITUTE(L219,"~","~~"),"*","~*"),"?","~?")))</x:f>
      </x:c>
      <x:c r="I219" s="13" t="str">
        <x:f>IF(OR(H219&lt;&gt;1,G219&lt;&gt;1),"",SUMIFS('External Data'!$E$2:$E$1001,'External Data'!$L$2:$L$1001,SUBSTITUTE(SUBSTITUTE(SUBSTITUTE(L219,"~","~~"),"*","~*"),"?","~?")))</x:f>
      </x:c>
      <x:c r="J219" s="13" t="str">
        <x:f>IF(OR(NOT(ISNUMBER(E219)),NOT(ISNUMBER(I219))),"",ROUND(E219-I219,2))</x:f>
      </x:c>
      <x:c r="K219" s="2" t="str">
        <x:f>IF(COUNTA(A219:F219)=0,"",IF(OR(A219="",B219="",C219="",D219="",NOT(ISNUMBER(E219))),"Missing / invalid input",IF(G219&gt;1,"Duplicate key in this source",IF(H219=0,"Missing in other source",IF(H219&gt;1,"Duplicate in other source",IF(SUMIFS('External Data'!$M$2:$M$1001,'External Data'!$L$2:$L$1001,SUBSTITUTE(SUBSTITUTE(SUBSTITUTE(L219,"~","~~"),"*","~*"),"?","~?"))&lt;&gt;1,"Other amount is invalid",IF(J219&lt;&gt;0,"Amount differs","Matched")))))))</x:f>
      </x:c>
      <x:c r="L219" t="str">
        <x:f>IF(COUNTA(A219:F219)=0,"",LEN(A219)&amp;":"&amp;A219&amp;LEN(B219)&amp;":"&amp;B219&amp;LEN(C219)&amp;":"&amp;C219&amp;LEN(D219)&amp;":"&amp;D219)</x:f>
      </x:c>
      <x:c r="M219" t="str">
        <x:f>IF(COUNTA(A219:F219)=0,"",IF(ISNUMBER(E219),1,0))</x:f>
      </x:c>
    </x:row>
    <x:row r="220">
      <x:c r="A220" s="11"/>
      <x:c r="B220" s="11"/>
      <x:c r="C220" s="11"/>
      <x:c r="D220" s="11"/>
      <x:c r="E220" s="12"/>
      <x:c r="F220" s="10"/>
      <x:c r="G220" s="2" t="str">
        <x:f>IF(COUNTA(A220:F220)=0,"",COUNTIFS('App Data'!$L$2:$L$1001,SUBSTITUTE(SUBSTITUTE(SUBSTITUTE(L220,"~","~~"),"*","~*"),"?","~?")))</x:f>
      </x:c>
      <x:c r="H220" s="2" t="str">
        <x:f>IF(COUNTA(A220:F220)=0,"",COUNTIFS('External Data'!$L$2:$L$1001,SUBSTITUTE(SUBSTITUTE(SUBSTITUTE(L220,"~","~~"),"*","~*"),"?","~?")))</x:f>
      </x:c>
      <x:c r="I220" s="13" t="str">
        <x:f>IF(OR(H220&lt;&gt;1,G220&lt;&gt;1),"",SUMIFS('External Data'!$E$2:$E$1001,'External Data'!$L$2:$L$1001,SUBSTITUTE(SUBSTITUTE(SUBSTITUTE(L220,"~","~~"),"*","~*"),"?","~?")))</x:f>
      </x:c>
      <x:c r="J220" s="13" t="str">
        <x:f>IF(OR(NOT(ISNUMBER(E220)),NOT(ISNUMBER(I220))),"",ROUND(E220-I220,2))</x:f>
      </x:c>
      <x:c r="K220" s="2" t="str">
        <x:f>IF(COUNTA(A220:F220)=0,"",IF(OR(A220="",B220="",C220="",D220="",NOT(ISNUMBER(E220))),"Missing / invalid input",IF(G220&gt;1,"Duplicate key in this source",IF(H220=0,"Missing in other source",IF(H220&gt;1,"Duplicate in other source",IF(SUMIFS('External Data'!$M$2:$M$1001,'External Data'!$L$2:$L$1001,SUBSTITUTE(SUBSTITUTE(SUBSTITUTE(L220,"~","~~"),"*","~*"),"?","~?"))&lt;&gt;1,"Other amount is invalid",IF(J220&lt;&gt;0,"Amount differs","Matched")))))))</x:f>
      </x:c>
      <x:c r="L220" t="str">
        <x:f>IF(COUNTA(A220:F220)=0,"",LEN(A220)&amp;":"&amp;A220&amp;LEN(B220)&amp;":"&amp;B220&amp;LEN(C220)&amp;":"&amp;C220&amp;LEN(D220)&amp;":"&amp;D220)</x:f>
      </x:c>
      <x:c r="M220" t="str">
        <x:f>IF(COUNTA(A220:F220)=0,"",IF(ISNUMBER(E220),1,0))</x:f>
      </x:c>
    </x:row>
    <x:row r="221">
      <x:c r="A221" s="11"/>
      <x:c r="B221" s="11"/>
      <x:c r="C221" s="11"/>
      <x:c r="D221" s="11"/>
      <x:c r="E221" s="12"/>
      <x:c r="F221" s="10"/>
      <x:c r="G221" s="2" t="str">
        <x:f>IF(COUNTA(A221:F221)=0,"",COUNTIFS('App Data'!$L$2:$L$1001,SUBSTITUTE(SUBSTITUTE(SUBSTITUTE(L221,"~","~~"),"*","~*"),"?","~?")))</x:f>
      </x:c>
      <x:c r="H221" s="2" t="str">
        <x:f>IF(COUNTA(A221:F221)=0,"",COUNTIFS('External Data'!$L$2:$L$1001,SUBSTITUTE(SUBSTITUTE(SUBSTITUTE(L221,"~","~~"),"*","~*"),"?","~?")))</x:f>
      </x:c>
      <x:c r="I221" s="13" t="str">
        <x:f>IF(OR(H221&lt;&gt;1,G221&lt;&gt;1),"",SUMIFS('External Data'!$E$2:$E$1001,'External Data'!$L$2:$L$1001,SUBSTITUTE(SUBSTITUTE(SUBSTITUTE(L221,"~","~~"),"*","~*"),"?","~?")))</x:f>
      </x:c>
      <x:c r="J221" s="13" t="str">
        <x:f>IF(OR(NOT(ISNUMBER(E221)),NOT(ISNUMBER(I221))),"",ROUND(E221-I221,2))</x:f>
      </x:c>
      <x:c r="K221" s="2" t="str">
        <x:f>IF(COUNTA(A221:F221)=0,"",IF(OR(A221="",B221="",C221="",D221="",NOT(ISNUMBER(E221))),"Missing / invalid input",IF(G221&gt;1,"Duplicate key in this source",IF(H221=0,"Missing in other source",IF(H221&gt;1,"Duplicate in other source",IF(SUMIFS('External Data'!$M$2:$M$1001,'External Data'!$L$2:$L$1001,SUBSTITUTE(SUBSTITUTE(SUBSTITUTE(L221,"~","~~"),"*","~*"),"?","~?"))&lt;&gt;1,"Other amount is invalid",IF(J221&lt;&gt;0,"Amount differs","Matched")))))))</x:f>
      </x:c>
      <x:c r="L221" t="str">
        <x:f>IF(COUNTA(A221:F221)=0,"",LEN(A221)&amp;":"&amp;A221&amp;LEN(B221)&amp;":"&amp;B221&amp;LEN(C221)&amp;":"&amp;C221&amp;LEN(D221)&amp;":"&amp;D221)</x:f>
      </x:c>
      <x:c r="M221" t="str">
        <x:f>IF(COUNTA(A221:F221)=0,"",IF(ISNUMBER(E221),1,0))</x:f>
      </x:c>
    </x:row>
    <x:row r="222">
      <x:c r="A222" s="11"/>
      <x:c r="B222" s="11"/>
      <x:c r="C222" s="11"/>
      <x:c r="D222" s="11"/>
      <x:c r="E222" s="12"/>
      <x:c r="F222" s="10"/>
      <x:c r="G222" s="2" t="str">
        <x:f>IF(COUNTA(A222:F222)=0,"",COUNTIFS('App Data'!$L$2:$L$1001,SUBSTITUTE(SUBSTITUTE(SUBSTITUTE(L222,"~","~~"),"*","~*"),"?","~?")))</x:f>
      </x:c>
      <x:c r="H222" s="2" t="str">
        <x:f>IF(COUNTA(A222:F222)=0,"",COUNTIFS('External Data'!$L$2:$L$1001,SUBSTITUTE(SUBSTITUTE(SUBSTITUTE(L222,"~","~~"),"*","~*"),"?","~?")))</x:f>
      </x:c>
      <x:c r="I222" s="13" t="str">
        <x:f>IF(OR(H222&lt;&gt;1,G222&lt;&gt;1),"",SUMIFS('External Data'!$E$2:$E$1001,'External Data'!$L$2:$L$1001,SUBSTITUTE(SUBSTITUTE(SUBSTITUTE(L222,"~","~~"),"*","~*"),"?","~?")))</x:f>
      </x:c>
      <x:c r="J222" s="13" t="str">
        <x:f>IF(OR(NOT(ISNUMBER(E222)),NOT(ISNUMBER(I222))),"",ROUND(E222-I222,2))</x:f>
      </x:c>
      <x:c r="K222" s="2" t="str">
        <x:f>IF(COUNTA(A222:F222)=0,"",IF(OR(A222="",B222="",C222="",D222="",NOT(ISNUMBER(E222))),"Missing / invalid input",IF(G222&gt;1,"Duplicate key in this source",IF(H222=0,"Missing in other source",IF(H222&gt;1,"Duplicate in other source",IF(SUMIFS('External Data'!$M$2:$M$1001,'External Data'!$L$2:$L$1001,SUBSTITUTE(SUBSTITUTE(SUBSTITUTE(L222,"~","~~"),"*","~*"),"?","~?"))&lt;&gt;1,"Other amount is invalid",IF(J222&lt;&gt;0,"Amount differs","Matched")))))))</x:f>
      </x:c>
      <x:c r="L222" t="str">
        <x:f>IF(COUNTA(A222:F222)=0,"",LEN(A222)&amp;":"&amp;A222&amp;LEN(B222)&amp;":"&amp;B222&amp;LEN(C222)&amp;":"&amp;C222&amp;LEN(D222)&amp;":"&amp;D222)</x:f>
      </x:c>
      <x:c r="M222" t="str">
        <x:f>IF(COUNTA(A222:F222)=0,"",IF(ISNUMBER(E222),1,0))</x:f>
      </x:c>
    </x:row>
    <x:row r="223">
      <x:c r="A223" s="11"/>
      <x:c r="B223" s="11"/>
      <x:c r="C223" s="11"/>
      <x:c r="D223" s="11"/>
      <x:c r="E223" s="12"/>
      <x:c r="F223" s="10"/>
      <x:c r="G223" s="2" t="str">
        <x:f>IF(COUNTA(A223:F223)=0,"",COUNTIFS('App Data'!$L$2:$L$1001,SUBSTITUTE(SUBSTITUTE(SUBSTITUTE(L223,"~","~~"),"*","~*"),"?","~?")))</x:f>
      </x:c>
      <x:c r="H223" s="2" t="str">
        <x:f>IF(COUNTA(A223:F223)=0,"",COUNTIFS('External Data'!$L$2:$L$1001,SUBSTITUTE(SUBSTITUTE(SUBSTITUTE(L223,"~","~~"),"*","~*"),"?","~?")))</x:f>
      </x:c>
      <x:c r="I223" s="13" t="str">
        <x:f>IF(OR(H223&lt;&gt;1,G223&lt;&gt;1),"",SUMIFS('External Data'!$E$2:$E$1001,'External Data'!$L$2:$L$1001,SUBSTITUTE(SUBSTITUTE(SUBSTITUTE(L223,"~","~~"),"*","~*"),"?","~?")))</x:f>
      </x:c>
      <x:c r="J223" s="13" t="str">
        <x:f>IF(OR(NOT(ISNUMBER(E223)),NOT(ISNUMBER(I223))),"",ROUND(E223-I223,2))</x:f>
      </x:c>
      <x:c r="K223" s="2" t="str">
        <x:f>IF(COUNTA(A223:F223)=0,"",IF(OR(A223="",B223="",C223="",D223="",NOT(ISNUMBER(E223))),"Missing / invalid input",IF(G223&gt;1,"Duplicate key in this source",IF(H223=0,"Missing in other source",IF(H223&gt;1,"Duplicate in other source",IF(SUMIFS('External Data'!$M$2:$M$1001,'External Data'!$L$2:$L$1001,SUBSTITUTE(SUBSTITUTE(SUBSTITUTE(L223,"~","~~"),"*","~*"),"?","~?"))&lt;&gt;1,"Other amount is invalid",IF(J223&lt;&gt;0,"Amount differs","Matched")))))))</x:f>
      </x:c>
      <x:c r="L223" t="str">
        <x:f>IF(COUNTA(A223:F223)=0,"",LEN(A223)&amp;":"&amp;A223&amp;LEN(B223)&amp;":"&amp;B223&amp;LEN(C223)&amp;":"&amp;C223&amp;LEN(D223)&amp;":"&amp;D223)</x:f>
      </x:c>
      <x:c r="M223" t="str">
        <x:f>IF(COUNTA(A223:F223)=0,"",IF(ISNUMBER(E223),1,0))</x:f>
      </x:c>
    </x:row>
    <x:row r="224">
      <x:c r="A224" s="11"/>
      <x:c r="B224" s="11"/>
      <x:c r="C224" s="11"/>
      <x:c r="D224" s="11"/>
      <x:c r="E224" s="12"/>
      <x:c r="F224" s="10"/>
      <x:c r="G224" s="2" t="str">
        <x:f>IF(COUNTA(A224:F224)=0,"",COUNTIFS('App Data'!$L$2:$L$1001,SUBSTITUTE(SUBSTITUTE(SUBSTITUTE(L224,"~","~~"),"*","~*"),"?","~?")))</x:f>
      </x:c>
      <x:c r="H224" s="2" t="str">
        <x:f>IF(COUNTA(A224:F224)=0,"",COUNTIFS('External Data'!$L$2:$L$1001,SUBSTITUTE(SUBSTITUTE(SUBSTITUTE(L224,"~","~~"),"*","~*"),"?","~?")))</x:f>
      </x:c>
      <x:c r="I224" s="13" t="str">
        <x:f>IF(OR(H224&lt;&gt;1,G224&lt;&gt;1),"",SUMIFS('External Data'!$E$2:$E$1001,'External Data'!$L$2:$L$1001,SUBSTITUTE(SUBSTITUTE(SUBSTITUTE(L224,"~","~~"),"*","~*"),"?","~?")))</x:f>
      </x:c>
      <x:c r="J224" s="13" t="str">
        <x:f>IF(OR(NOT(ISNUMBER(E224)),NOT(ISNUMBER(I224))),"",ROUND(E224-I224,2))</x:f>
      </x:c>
      <x:c r="K224" s="2" t="str">
        <x:f>IF(COUNTA(A224:F224)=0,"",IF(OR(A224="",B224="",C224="",D224="",NOT(ISNUMBER(E224))),"Missing / invalid input",IF(G224&gt;1,"Duplicate key in this source",IF(H224=0,"Missing in other source",IF(H224&gt;1,"Duplicate in other source",IF(SUMIFS('External Data'!$M$2:$M$1001,'External Data'!$L$2:$L$1001,SUBSTITUTE(SUBSTITUTE(SUBSTITUTE(L224,"~","~~"),"*","~*"),"?","~?"))&lt;&gt;1,"Other amount is invalid",IF(J224&lt;&gt;0,"Amount differs","Matched")))))))</x:f>
      </x:c>
      <x:c r="L224" t="str">
        <x:f>IF(COUNTA(A224:F224)=0,"",LEN(A224)&amp;":"&amp;A224&amp;LEN(B224)&amp;":"&amp;B224&amp;LEN(C224)&amp;":"&amp;C224&amp;LEN(D224)&amp;":"&amp;D224)</x:f>
      </x:c>
      <x:c r="M224" t="str">
        <x:f>IF(COUNTA(A224:F224)=0,"",IF(ISNUMBER(E224),1,0))</x:f>
      </x:c>
    </x:row>
    <x:row r="225">
      <x:c r="A225" s="11"/>
      <x:c r="B225" s="11"/>
      <x:c r="C225" s="11"/>
      <x:c r="D225" s="11"/>
      <x:c r="E225" s="12"/>
      <x:c r="F225" s="10"/>
      <x:c r="G225" s="2" t="str">
        <x:f>IF(COUNTA(A225:F225)=0,"",COUNTIFS('App Data'!$L$2:$L$1001,SUBSTITUTE(SUBSTITUTE(SUBSTITUTE(L225,"~","~~"),"*","~*"),"?","~?")))</x:f>
      </x:c>
      <x:c r="H225" s="2" t="str">
        <x:f>IF(COUNTA(A225:F225)=0,"",COUNTIFS('External Data'!$L$2:$L$1001,SUBSTITUTE(SUBSTITUTE(SUBSTITUTE(L225,"~","~~"),"*","~*"),"?","~?")))</x:f>
      </x:c>
      <x:c r="I225" s="13" t="str">
        <x:f>IF(OR(H225&lt;&gt;1,G225&lt;&gt;1),"",SUMIFS('External Data'!$E$2:$E$1001,'External Data'!$L$2:$L$1001,SUBSTITUTE(SUBSTITUTE(SUBSTITUTE(L225,"~","~~"),"*","~*"),"?","~?")))</x:f>
      </x:c>
      <x:c r="J225" s="13" t="str">
        <x:f>IF(OR(NOT(ISNUMBER(E225)),NOT(ISNUMBER(I225))),"",ROUND(E225-I225,2))</x:f>
      </x:c>
      <x:c r="K225" s="2" t="str">
        <x:f>IF(COUNTA(A225:F225)=0,"",IF(OR(A225="",B225="",C225="",D225="",NOT(ISNUMBER(E225))),"Missing / invalid input",IF(G225&gt;1,"Duplicate key in this source",IF(H225=0,"Missing in other source",IF(H225&gt;1,"Duplicate in other source",IF(SUMIFS('External Data'!$M$2:$M$1001,'External Data'!$L$2:$L$1001,SUBSTITUTE(SUBSTITUTE(SUBSTITUTE(L225,"~","~~"),"*","~*"),"?","~?"))&lt;&gt;1,"Other amount is invalid",IF(J225&lt;&gt;0,"Amount differs","Matched")))))))</x:f>
      </x:c>
      <x:c r="L225" t="str">
        <x:f>IF(COUNTA(A225:F225)=0,"",LEN(A225)&amp;":"&amp;A225&amp;LEN(B225)&amp;":"&amp;B225&amp;LEN(C225)&amp;":"&amp;C225&amp;LEN(D225)&amp;":"&amp;D225)</x:f>
      </x:c>
      <x:c r="M225" t="str">
        <x:f>IF(COUNTA(A225:F225)=0,"",IF(ISNUMBER(E225),1,0))</x:f>
      </x:c>
    </x:row>
    <x:row r="226">
      <x:c r="A226" s="11"/>
      <x:c r="B226" s="11"/>
      <x:c r="C226" s="11"/>
      <x:c r="D226" s="11"/>
      <x:c r="E226" s="12"/>
      <x:c r="F226" s="10"/>
      <x:c r="G226" s="2" t="str">
        <x:f>IF(COUNTA(A226:F226)=0,"",COUNTIFS('App Data'!$L$2:$L$1001,SUBSTITUTE(SUBSTITUTE(SUBSTITUTE(L226,"~","~~"),"*","~*"),"?","~?")))</x:f>
      </x:c>
      <x:c r="H226" s="2" t="str">
        <x:f>IF(COUNTA(A226:F226)=0,"",COUNTIFS('External Data'!$L$2:$L$1001,SUBSTITUTE(SUBSTITUTE(SUBSTITUTE(L226,"~","~~"),"*","~*"),"?","~?")))</x:f>
      </x:c>
      <x:c r="I226" s="13" t="str">
        <x:f>IF(OR(H226&lt;&gt;1,G226&lt;&gt;1),"",SUMIFS('External Data'!$E$2:$E$1001,'External Data'!$L$2:$L$1001,SUBSTITUTE(SUBSTITUTE(SUBSTITUTE(L226,"~","~~"),"*","~*"),"?","~?")))</x:f>
      </x:c>
      <x:c r="J226" s="13" t="str">
        <x:f>IF(OR(NOT(ISNUMBER(E226)),NOT(ISNUMBER(I226))),"",ROUND(E226-I226,2))</x:f>
      </x:c>
      <x:c r="K226" s="2" t="str">
        <x:f>IF(COUNTA(A226:F226)=0,"",IF(OR(A226="",B226="",C226="",D226="",NOT(ISNUMBER(E226))),"Missing / invalid input",IF(G226&gt;1,"Duplicate key in this source",IF(H226=0,"Missing in other source",IF(H226&gt;1,"Duplicate in other source",IF(SUMIFS('External Data'!$M$2:$M$1001,'External Data'!$L$2:$L$1001,SUBSTITUTE(SUBSTITUTE(SUBSTITUTE(L226,"~","~~"),"*","~*"),"?","~?"))&lt;&gt;1,"Other amount is invalid",IF(J226&lt;&gt;0,"Amount differs","Matched")))))))</x:f>
      </x:c>
      <x:c r="L226" t="str">
        <x:f>IF(COUNTA(A226:F226)=0,"",LEN(A226)&amp;":"&amp;A226&amp;LEN(B226)&amp;":"&amp;B226&amp;LEN(C226)&amp;":"&amp;C226&amp;LEN(D226)&amp;":"&amp;D226)</x:f>
      </x:c>
      <x:c r="M226" t="str">
        <x:f>IF(COUNTA(A226:F226)=0,"",IF(ISNUMBER(E226),1,0))</x:f>
      </x:c>
    </x:row>
    <x:row r="227">
      <x:c r="A227" s="11"/>
      <x:c r="B227" s="11"/>
      <x:c r="C227" s="11"/>
      <x:c r="D227" s="11"/>
      <x:c r="E227" s="12"/>
      <x:c r="F227" s="10"/>
      <x:c r="G227" s="2" t="str">
        <x:f>IF(COUNTA(A227:F227)=0,"",COUNTIFS('App Data'!$L$2:$L$1001,SUBSTITUTE(SUBSTITUTE(SUBSTITUTE(L227,"~","~~"),"*","~*"),"?","~?")))</x:f>
      </x:c>
      <x:c r="H227" s="2" t="str">
        <x:f>IF(COUNTA(A227:F227)=0,"",COUNTIFS('External Data'!$L$2:$L$1001,SUBSTITUTE(SUBSTITUTE(SUBSTITUTE(L227,"~","~~"),"*","~*"),"?","~?")))</x:f>
      </x:c>
      <x:c r="I227" s="13" t="str">
        <x:f>IF(OR(H227&lt;&gt;1,G227&lt;&gt;1),"",SUMIFS('External Data'!$E$2:$E$1001,'External Data'!$L$2:$L$1001,SUBSTITUTE(SUBSTITUTE(SUBSTITUTE(L227,"~","~~"),"*","~*"),"?","~?")))</x:f>
      </x:c>
      <x:c r="J227" s="13" t="str">
        <x:f>IF(OR(NOT(ISNUMBER(E227)),NOT(ISNUMBER(I227))),"",ROUND(E227-I227,2))</x:f>
      </x:c>
      <x:c r="K227" s="2" t="str">
        <x:f>IF(COUNTA(A227:F227)=0,"",IF(OR(A227="",B227="",C227="",D227="",NOT(ISNUMBER(E227))),"Missing / invalid input",IF(G227&gt;1,"Duplicate key in this source",IF(H227=0,"Missing in other source",IF(H227&gt;1,"Duplicate in other source",IF(SUMIFS('External Data'!$M$2:$M$1001,'External Data'!$L$2:$L$1001,SUBSTITUTE(SUBSTITUTE(SUBSTITUTE(L227,"~","~~"),"*","~*"),"?","~?"))&lt;&gt;1,"Other amount is invalid",IF(J227&lt;&gt;0,"Amount differs","Matched")))))))</x:f>
      </x:c>
      <x:c r="L227" t="str">
        <x:f>IF(COUNTA(A227:F227)=0,"",LEN(A227)&amp;":"&amp;A227&amp;LEN(B227)&amp;":"&amp;B227&amp;LEN(C227)&amp;":"&amp;C227&amp;LEN(D227)&amp;":"&amp;D227)</x:f>
      </x:c>
      <x:c r="M227" t="str">
        <x:f>IF(COUNTA(A227:F227)=0,"",IF(ISNUMBER(E227),1,0))</x:f>
      </x:c>
    </x:row>
    <x:row r="228">
      <x:c r="A228" s="11"/>
      <x:c r="B228" s="11"/>
      <x:c r="C228" s="11"/>
      <x:c r="D228" s="11"/>
      <x:c r="E228" s="12"/>
      <x:c r="F228" s="10"/>
      <x:c r="G228" s="2" t="str">
        <x:f>IF(COUNTA(A228:F228)=0,"",COUNTIFS('App Data'!$L$2:$L$1001,SUBSTITUTE(SUBSTITUTE(SUBSTITUTE(L228,"~","~~"),"*","~*"),"?","~?")))</x:f>
      </x:c>
      <x:c r="H228" s="2" t="str">
        <x:f>IF(COUNTA(A228:F228)=0,"",COUNTIFS('External Data'!$L$2:$L$1001,SUBSTITUTE(SUBSTITUTE(SUBSTITUTE(L228,"~","~~"),"*","~*"),"?","~?")))</x:f>
      </x:c>
      <x:c r="I228" s="13" t="str">
        <x:f>IF(OR(H228&lt;&gt;1,G228&lt;&gt;1),"",SUMIFS('External Data'!$E$2:$E$1001,'External Data'!$L$2:$L$1001,SUBSTITUTE(SUBSTITUTE(SUBSTITUTE(L228,"~","~~"),"*","~*"),"?","~?")))</x:f>
      </x:c>
      <x:c r="J228" s="13" t="str">
        <x:f>IF(OR(NOT(ISNUMBER(E228)),NOT(ISNUMBER(I228))),"",ROUND(E228-I228,2))</x:f>
      </x:c>
      <x:c r="K228" s="2" t="str">
        <x:f>IF(COUNTA(A228:F228)=0,"",IF(OR(A228="",B228="",C228="",D228="",NOT(ISNUMBER(E228))),"Missing / invalid input",IF(G228&gt;1,"Duplicate key in this source",IF(H228=0,"Missing in other source",IF(H228&gt;1,"Duplicate in other source",IF(SUMIFS('External Data'!$M$2:$M$1001,'External Data'!$L$2:$L$1001,SUBSTITUTE(SUBSTITUTE(SUBSTITUTE(L228,"~","~~"),"*","~*"),"?","~?"))&lt;&gt;1,"Other amount is invalid",IF(J228&lt;&gt;0,"Amount differs","Matched")))))))</x:f>
      </x:c>
      <x:c r="L228" t="str">
        <x:f>IF(COUNTA(A228:F228)=0,"",LEN(A228)&amp;":"&amp;A228&amp;LEN(B228)&amp;":"&amp;B228&amp;LEN(C228)&amp;":"&amp;C228&amp;LEN(D228)&amp;":"&amp;D228)</x:f>
      </x:c>
      <x:c r="M228" t="str">
        <x:f>IF(COUNTA(A228:F228)=0,"",IF(ISNUMBER(E228),1,0))</x:f>
      </x:c>
    </x:row>
    <x:row r="229">
      <x:c r="A229" s="11"/>
      <x:c r="B229" s="11"/>
      <x:c r="C229" s="11"/>
      <x:c r="D229" s="11"/>
      <x:c r="E229" s="12"/>
      <x:c r="F229" s="10"/>
      <x:c r="G229" s="2" t="str">
        <x:f>IF(COUNTA(A229:F229)=0,"",COUNTIFS('App Data'!$L$2:$L$1001,SUBSTITUTE(SUBSTITUTE(SUBSTITUTE(L229,"~","~~"),"*","~*"),"?","~?")))</x:f>
      </x:c>
      <x:c r="H229" s="2" t="str">
        <x:f>IF(COUNTA(A229:F229)=0,"",COUNTIFS('External Data'!$L$2:$L$1001,SUBSTITUTE(SUBSTITUTE(SUBSTITUTE(L229,"~","~~"),"*","~*"),"?","~?")))</x:f>
      </x:c>
      <x:c r="I229" s="13" t="str">
        <x:f>IF(OR(H229&lt;&gt;1,G229&lt;&gt;1),"",SUMIFS('External Data'!$E$2:$E$1001,'External Data'!$L$2:$L$1001,SUBSTITUTE(SUBSTITUTE(SUBSTITUTE(L229,"~","~~"),"*","~*"),"?","~?")))</x:f>
      </x:c>
      <x:c r="J229" s="13" t="str">
        <x:f>IF(OR(NOT(ISNUMBER(E229)),NOT(ISNUMBER(I229))),"",ROUND(E229-I229,2))</x:f>
      </x:c>
      <x:c r="K229" s="2" t="str">
        <x:f>IF(COUNTA(A229:F229)=0,"",IF(OR(A229="",B229="",C229="",D229="",NOT(ISNUMBER(E229))),"Missing / invalid input",IF(G229&gt;1,"Duplicate key in this source",IF(H229=0,"Missing in other source",IF(H229&gt;1,"Duplicate in other source",IF(SUMIFS('External Data'!$M$2:$M$1001,'External Data'!$L$2:$L$1001,SUBSTITUTE(SUBSTITUTE(SUBSTITUTE(L229,"~","~~"),"*","~*"),"?","~?"))&lt;&gt;1,"Other amount is invalid",IF(J229&lt;&gt;0,"Amount differs","Matched")))))))</x:f>
      </x:c>
      <x:c r="L229" t="str">
        <x:f>IF(COUNTA(A229:F229)=0,"",LEN(A229)&amp;":"&amp;A229&amp;LEN(B229)&amp;":"&amp;B229&amp;LEN(C229)&amp;":"&amp;C229&amp;LEN(D229)&amp;":"&amp;D229)</x:f>
      </x:c>
      <x:c r="M229" t="str">
        <x:f>IF(COUNTA(A229:F229)=0,"",IF(ISNUMBER(E229),1,0))</x:f>
      </x:c>
    </x:row>
    <x:row r="230">
      <x:c r="A230" s="11"/>
      <x:c r="B230" s="11"/>
      <x:c r="C230" s="11"/>
      <x:c r="D230" s="11"/>
      <x:c r="E230" s="12"/>
      <x:c r="F230" s="10"/>
      <x:c r="G230" s="2" t="str">
        <x:f>IF(COUNTA(A230:F230)=0,"",COUNTIFS('App Data'!$L$2:$L$1001,SUBSTITUTE(SUBSTITUTE(SUBSTITUTE(L230,"~","~~"),"*","~*"),"?","~?")))</x:f>
      </x:c>
      <x:c r="H230" s="2" t="str">
        <x:f>IF(COUNTA(A230:F230)=0,"",COUNTIFS('External Data'!$L$2:$L$1001,SUBSTITUTE(SUBSTITUTE(SUBSTITUTE(L230,"~","~~"),"*","~*"),"?","~?")))</x:f>
      </x:c>
      <x:c r="I230" s="13" t="str">
        <x:f>IF(OR(H230&lt;&gt;1,G230&lt;&gt;1),"",SUMIFS('External Data'!$E$2:$E$1001,'External Data'!$L$2:$L$1001,SUBSTITUTE(SUBSTITUTE(SUBSTITUTE(L230,"~","~~"),"*","~*"),"?","~?")))</x:f>
      </x:c>
      <x:c r="J230" s="13" t="str">
        <x:f>IF(OR(NOT(ISNUMBER(E230)),NOT(ISNUMBER(I230))),"",ROUND(E230-I230,2))</x:f>
      </x:c>
      <x:c r="K230" s="2" t="str">
        <x:f>IF(COUNTA(A230:F230)=0,"",IF(OR(A230="",B230="",C230="",D230="",NOT(ISNUMBER(E230))),"Missing / invalid input",IF(G230&gt;1,"Duplicate key in this source",IF(H230=0,"Missing in other source",IF(H230&gt;1,"Duplicate in other source",IF(SUMIFS('External Data'!$M$2:$M$1001,'External Data'!$L$2:$L$1001,SUBSTITUTE(SUBSTITUTE(SUBSTITUTE(L230,"~","~~"),"*","~*"),"?","~?"))&lt;&gt;1,"Other amount is invalid",IF(J230&lt;&gt;0,"Amount differs","Matched")))))))</x:f>
      </x:c>
      <x:c r="L230" t="str">
        <x:f>IF(COUNTA(A230:F230)=0,"",LEN(A230)&amp;":"&amp;A230&amp;LEN(B230)&amp;":"&amp;B230&amp;LEN(C230)&amp;":"&amp;C230&amp;LEN(D230)&amp;":"&amp;D230)</x:f>
      </x:c>
      <x:c r="M230" t="str">
        <x:f>IF(COUNTA(A230:F230)=0,"",IF(ISNUMBER(E230),1,0))</x:f>
      </x:c>
    </x:row>
    <x:row r="231">
      <x:c r="A231" s="11"/>
      <x:c r="B231" s="11"/>
      <x:c r="C231" s="11"/>
      <x:c r="D231" s="11"/>
      <x:c r="E231" s="12"/>
      <x:c r="F231" s="10"/>
      <x:c r="G231" s="2" t="str">
        <x:f>IF(COUNTA(A231:F231)=0,"",COUNTIFS('App Data'!$L$2:$L$1001,SUBSTITUTE(SUBSTITUTE(SUBSTITUTE(L231,"~","~~"),"*","~*"),"?","~?")))</x:f>
      </x:c>
      <x:c r="H231" s="2" t="str">
        <x:f>IF(COUNTA(A231:F231)=0,"",COUNTIFS('External Data'!$L$2:$L$1001,SUBSTITUTE(SUBSTITUTE(SUBSTITUTE(L231,"~","~~"),"*","~*"),"?","~?")))</x:f>
      </x:c>
      <x:c r="I231" s="13" t="str">
        <x:f>IF(OR(H231&lt;&gt;1,G231&lt;&gt;1),"",SUMIFS('External Data'!$E$2:$E$1001,'External Data'!$L$2:$L$1001,SUBSTITUTE(SUBSTITUTE(SUBSTITUTE(L231,"~","~~"),"*","~*"),"?","~?")))</x:f>
      </x:c>
      <x:c r="J231" s="13" t="str">
        <x:f>IF(OR(NOT(ISNUMBER(E231)),NOT(ISNUMBER(I231))),"",ROUND(E231-I231,2))</x:f>
      </x:c>
      <x:c r="K231" s="2" t="str">
        <x:f>IF(COUNTA(A231:F231)=0,"",IF(OR(A231="",B231="",C231="",D231="",NOT(ISNUMBER(E231))),"Missing / invalid input",IF(G231&gt;1,"Duplicate key in this source",IF(H231=0,"Missing in other source",IF(H231&gt;1,"Duplicate in other source",IF(SUMIFS('External Data'!$M$2:$M$1001,'External Data'!$L$2:$L$1001,SUBSTITUTE(SUBSTITUTE(SUBSTITUTE(L231,"~","~~"),"*","~*"),"?","~?"))&lt;&gt;1,"Other amount is invalid",IF(J231&lt;&gt;0,"Amount differs","Matched")))))))</x:f>
      </x:c>
      <x:c r="L231" t="str">
        <x:f>IF(COUNTA(A231:F231)=0,"",LEN(A231)&amp;":"&amp;A231&amp;LEN(B231)&amp;":"&amp;B231&amp;LEN(C231)&amp;":"&amp;C231&amp;LEN(D231)&amp;":"&amp;D231)</x:f>
      </x:c>
      <x:c r="M231" t="str">
        <x:f>IF(COUNTA(A231:F231)=0,"",IF(ISNUMBER(E231),1,0))</x:f>
      </x:c>
    </x:row>
    <x:row r="232">
      <x:c r="A232" s="11"/>
      <x:c r="B232" s="11"/>
      <x:c r="C232" s="11"/>
      <x:c r="D232" s="11"/>
      <x:c r="E232" s="12"/>
      <x:c r="F232" s="10"/>
      <x:c r="G232" s="2" t="str">
        <x:f>IF(COUNTA(A232:F232)=0,"",COUNTIFS('App Data'!$L$2:$L$1001,SUBSTITUTE(SUBSTITUTE(SUBSTITUTE(L232,"~","~~"),"*","~*"),"?","~?")))</x:f>
      </x:c>
      <x:c r="H232" s="2" t="str">
        <x:f>IF(COUNTA(A232:F232)=0,"",COUNTIFS('External Data'!$L$2:$L$1001,SUBSTITUTE(SUBSTITUTE(SUBSTITUTE(L232,"~","~~"),"*","~*"),"?","~?")))</x:f>
      </x:c>
      <x:c r="I232" s="13" t="str">
        <x:f>IF(OR(H232&lt;&gt;1,G232&lt;&gt;1),"",SUMIFS('External Data'!$E$2:$E$1001,'External Data'!$L$2:$L$1001,SUBSTITUTE(SUBSTITUTE(SUBSTITUTE(L232,"~","~~"),"*","~*"),"?","~?")))</x:f>
      </x:c>
      <x:c r="J232" s="13" t="str">
        <x:f>IF(OR(NOT(ISNUMBER(E232)),NOT(ISNUMBER(I232))),"",ROUND(E232-I232,2))</x:f>
      </x:c>
      <x:c r="K232" s="2" t="str">
        <x:f>IF(COUNTA(A232:F232)=0,"",IF(OR(A232="",B232="",C232="",D232="",NOT(ISNUMBER(E232))),"Missing / invalid input",IF(G232&gt;1,"Duplicate key in this source",IF(H232=0,"Missing in other source",IF(H232&gt;1,"Duplicate in other source",IF(SUMIFS('External Data'!$M$2:$M$1001,'External Data'!$L$2:$L$1001,SUBSTITUTE(SUBSTITUTE(SUBSTITUTE(L232,"~","~~"),"*","~*"),"?","~?"))&lt;&gt;1,"Other amount is invalid",IF(J232&lt;&gt;0,"Amount differs","Matched")))))))</x:f>
      </x:c>
      <x:c r="L232" t="str">
        <x:f>IF(COUNTA(A232:F232)=0,"",LEN(A232)&amp;":"&amp;A232&amp;LEN(B232)&amp;":"&amp;B232&amp;LEN(C232)&amp;":"&amp;C232&amp;LEN(D232)&amp;":"&amp;D232)</x:f>
      </x:c>
      <x:c r="M232" t="str">
        <x:f>IF(COUNTA(A232:F232)=0,"",IF(ISNUMBER(E232),1,0))</x:f>
      </x:c>
    </x:row>
    <x:row r="233">
      <x:c r="A233" s="11"/>
      <x:c r="B233" s="11"/>
      <x:c r="C233" s="11"/>
      <x:c r="D233" s="11"/>
      <x:c r="E233" s="12"/>
      <x:c r="F233" s="10"/>
      <x:c r="G233" s="2" t="str">
        <x:f>IF(COUNTA(A233:F233)=0,"",COUNTIFS('App Data'!$L$2:$L$1001,SUBSTITUTE(SUBSTITUTE(SUBSTITUTE(L233,"~","~~"),"*","~*"),"?","~?")))</x:f>
      </x:c>
      <x:c r="H233" s="2" t="str">
        <x:f>IF(COUNTA(A233:F233)=0,"",COUNTIFS('External Data'!$L$2:$L$1001,SUBSTITUTE(SUBSTITUTE(SUBSTITUTE(L233,"~","~~"),"*","~*"),"?","~?")))</x:f>
      </x:c>
      <x:c r="I233" s="13" t="str">
        <x:f>IF(OR(H233&lt;&gt;1,G233&lt;&gt;1),"",SUMIFS('External Data'!$E$2:$E$1001,'External Data'!$L$2:$L$1001,SUBSTITUTE(SUBSTITUTE(SUBSTITUTE(L233,"~","~~"),"*","~*"),"?","~?")))</x:f>
      </x:c>
      <x:c r="J233" s="13" t="str">
        <x:f>IF(OR(NOT(ISNUMBER(E233)),NOT(ISNUMBER(I233))),"",ROUND(E233-I233,2))</x:f>
      </x:c>
      <x:c r="K233" s="2" t="str">
        <x:f>IF(COUNTA(A233:F233)=0,"",IF(OR(A233="",B233="",C233="",D233="",NOT(ISNUMBER(E233))),"Missing / invalid input",IF(G233&gt;1,"Duplicate key in this source",IF(H233=0,"Missing in other source",IF(H233&gt;1,"Duplicate in other source",IF(SUMIFS('External Data'!$M$2:$M$1001,'External Data'!$L$2:$L$1001,SUBSTITUTE(SUBSTITUTE(SUBSTITUTE(L233,"~","~~"),"*","~*"),"?","~?"))&lt;&gt;1,"Other amount is invalid",IF(J233&lt;&gt;0,"Amount differs","Matched")))))))</x:f>
      </x:c>
      <x:c r="L233" t="str">
        <x:f>IF(COUNTA(A233:F233)=0,"",LEN(A233)&amp;":"&amp;A233&amp;LEN(B233)&amp;":"&amp;B233&amp;LEN(C233)&amp;":"&amp;C233&amp;LEN(D233)&amp;":"&amp;D233)</x:f>
      </x:c>
      <x:c r="M233" t="str">
        <x:f>IF(COUNTA(A233:F233)=0,"",IF(ISNUMBER(E233),1,0))</x:f>
      </x:c>
    </x:row>
    <x:row r="234">
      <x:c r="A234" s="11"/>
      <x:c r="B234" s="11"/>
      <x:c r="C234" s="11"/>
      <x:c r="D234" s="11"/>
      <x:c r="E234" s="12"/>
      <x:c r="F234" s="10"/>
      <x:c r="G234" s="2" t="str">
        <x:f>IF(COUNTA(A234:F234)=0,"",COUNTIFS('App Data'!$L$2:$L$1001,SUBSTITUTE(SUBSTITUTE(SUBSTITUTE(L234,"~","~~"),"*","~*"),"?","~?")))</x:f>
      </x:c>
      <x:c r="H234" s="2" t="str">
        <x:f>IF(COUNTA(A234:F234)=0,"",COUNTIFS('External Data'!$L$2:$L$1001,SUBSTITUTE(SUBSTITUTE(SUBSTITUTE(L234,"~","~~"),"*","~*"),"?","~?")))</x:f>
      </x:c>
      <x:c r="I234" s="13" t="str">
        <x:f>IF(OR(H234&lt;&gt;1,G234&lt;&gt;1),"",SUMIFS('External Data'!$E$2:$E$1001,'External Data'!$L$2:$L$1001,SUBSTITUTE(SUBSTITUTE(SUBSTITUTE(L234,"~","~~"),"*","~*"),"?","~?")))</x:f>
      </x:c>
      <x:c r="J234" s="13" t="str">
        <x:f>IF(OR(NOT(ISNUMBER(E234)),NOT(ISNUMBER(I234))),"",ROUND(E234-I234,2))</x:f>
      </x:c>
      <x:c r="K234" s="2" t="str">
        <x:f>IF(COUNTA(A234:F234)=0,"",IF(OR(A234="",B234="",C234="",D234="",NOT(ISNUMBER(E234))),"Missing / invalid input",IF(G234&gt;1,"Duplicate key in this source",IF(H234=0,"Missing in other source",IF(H234&gt;1,"Duplicate in other source",IF(SUMIFS('External Data'!$M$2:$M$1001,'External Data'!$L$2:$L$1001,SUBSTITUTE(SUBSTITUTE(SUBSTITUTE(L234,"~","~~"),"*","~*"),"?","~?"))&lt;&gt;1,"Other amount is invalid",IF(J234&lt;&gt;0,"Amount differs","Matched")))))))</x:f>
      </x:c>
      <x:c r="L234" t="str">
        <x:f>IF(COUNTA(A234:F234)=0,"",LEN(A234)&amp;":"&amp;A234&amp;LEN(B234)&amp;":"&amp;B234&amp;LEN(C234)&amp;":"&amp;C234&amp;LEN(D234)&amp;":"&amp;D234)</x:f>
      </x:c>
      <x:c r="M234" t="str">
        <x:f>IF(COUNTA(A234:F234)=0,"",IF(ISNUMBER(E234),1,0))</x:f>
      </x:c>
    </x:row>
    <x:row r="235">
      <x:c r="A235" s="11"/>
      <x:c r="B235" s="11"/>
      <x:c r="C235" s="11"/>
      <x:c r="D235" s="11"/>
      <x:c r="E235" s="12"/>
      <x:c r="F235" s="10"/>
      <x:c r="G235" s="2" t="str">
        <x:f>IF(COUNTA(A235:F235)=0,"",COUNTIFS('App Data'!$L$2:$L$1001,SUBSTITUTE(SUBSTITUTE(SUBSTITUTE(L235,"~","~~"),"*","~*"),"?","~?")))</x:f>
      </x:c>
      <x:c r="H235" s="2" t="str">
        <x:f>IF(COUNTA(A235:F235)=0,"",COUNTIFS('External Data'!$L$2:$L$1001,SUBSTITUTE(SUBSTITUTE(SUBSTITUTE(L235,"~","~~"),"*","~*"),"?","~?")))</x:f>
      </x:c>
      <x:c r="I235" s="13" t="str">
        <x:f>IF(OR(H235&lt;&gt;1,G235&lt;&gt;1),"",SUMIFS('External Data'!$E$2:$E$1001,'External Data'!$L$2:$L$1001,SUBSTITUTE(SUBSTITUTE(SUBSTITUTE(L235,"~","~~"),"*","~*"),"?","~?")))</x:f>
      </x:c>
      <x:c r="J235" s="13" t="str">
        <x:f>IF(OR(NOT(ISNUMBER(E235)),NOT(ISNUMBER(I235))),"",ROUND(E235-I235,2))</x:f>
      </x:c>
      <x:c r="K235" s="2" t="str">
        <x:f>IF(COUNTA(A235:F235)=0,"",IF(OR(A235="",B235="",C235="",D235="",NOT(ISNUMBER(E235))),"Missing / invalid input",IF(G235&gt;1,"Duplicate key in this source",IF(H235=0,"Missing in other source",IF(H235&gt;1,"Duplicate in other source",IF(SUMIFS('External Data'!$M$2:$M$1001,'External Data'!$L$2:$L$1001,SUBSTITUTE(SUBSTITUTE(SUBSTITUTE(L235,"~","~~"),"*","~*"),"?","~?"))&lt;&gt;1,"Other amount is invalid",IF(J235&lt;&gt;0,"Amount differs","Matched")))))))</x:f>
      </x:c>
      <x:c r="L235" t="str">
        <x:f>IF(COUNTA(A235:F235)=0,"",LEN(A235)&amp;":"&amp;A235&amp;LEN(B235)&amp;":"&amp;B235&amp;LEN(C235)&amp;":"&amp;C235&amp;LEN(D235)&amp;":"&amp;D235)</x:f>
      </x:c>
      <x:c r="M235" t="str">
        <x:f>IF(COUNTA(A235:F235)=0,"",IF(ISNUMBER(E235),1,0))</x:f>
      </x:c>
    </x:row>
    <x:row r="236">
      <x:c r="A236" s="11"/>
      <x:c r="B236" s="11"/>
      <x:c r="C236" s="11"/>
      <x:c r="D236" s="11"/>
      <x:c r="E236" s="12"/>
      <x:c r="F236" s="10"/>
      <x:c r="G236" s="2" t="str">
        <x:f>IF(COUNTA(A236:F236)=0,"",COUNTIFS('App Data'!$L$2:$L$1001,SUBSTITUTE(SUBSTITUTE(SUBSTITUTE(L236,"~","~~"),"*","~*"),"?","~?")))</x:f>
      </x:c>
      <x:c r="H236" s="2" t="str">
        <x:f>IF(COUNTA(A236:F236)=0,"",COUNTIFS('External Data'!$L$2:$L$1001,SUBSTITUTE(SUBSTITUTE(SUBSTITUTE(L236,"~","~~"),"*","~*"),"?","~?")))</x:f>
      </x:c>
      <x:c r="I236" s="13" t="str">
        <x:f>IF(OR(H236&lt;&gt;1,G236&lt;&gt;1),"",SUMIFS('External Data'!$E$2:$E$1001,'External Data'!$L$2:$L$1001,SUBSTITUTE(SUBSTITUTE(SUBSTITUTE(L236,"~","~~"),"*","~*"),"?","~?")))</x:f>
      </x:c>
      <x:c r="J236" s="13" t="str">
        <x:f>IF(OR(NOT(ISNUMBER(E236)),NOT(ISNUMBER(I236))),"",ROUND(E236-I236,2))</x:f>
      </x:c>
      <x:c r="K236" s="2" t="str">
        <x:f>IF(COUNTA(A236:F236)=0,"",IF(OR(A236="",B236="",C236="",D236="",NOT(ISNUMBER(E236))),"Missing / invalid input",IF(G236&gt;1,"Duplicate key in this source",IF(H236=0,"Missing in other source",IF(H236&gt;1,"Duplicate in other source",IF(SUMIFS('External Data'!$M$2:$M$1001,'External Data'!$L$2:$L$1001,SUBSTITUTE(SUBSTITUTE(SUBSTITUTE(L236,"~","~~"),"*","~*"),"?","~?"))&lt;&gt;1,"Other amount is invalid",IF(J236&lt;&gt;0,"Amount differs","Matched")))))))</x:f>
      </x:c>
      <x:c r="L236" t="str">
        <x:f>IF(COUNTA(A236:F236)=0,"",LEN(A236)&amp;":"&amp;A236&amp;LEN(B236)&amp;":"&amp;B236&amp;LEN(C236)&amp;":"&amp;C236&amp;LEN(D236)&amp;":"&amp;D236)</x:f>
      </x:c>
      <x:c r="M236" t="str">
        <x:f>IF(COUNTA(A236:F236)=0,"",IF(ISNUMBER(E236),1,0))</x:f>
      </x:c>
    </x:row>
    <x:row r="237">
      <x:c r="A237" s="11"/>
      <x:c r="B237" s="11"/>
      <x:c r="C237" s="11"/>
      <x:c r="D237" s="11"/>
      <x:c r="E237" s="12"/>
      <x:c r="F237" s="10"/>
      <x:c r="G237" s="2" t="str">
        <x:f>IF(COUNTA(A237:F237)=0,"",COUNTIFS('App Data'!$L$2:$L$1001,SUBSTITUTE(SUBSTITUTE(SUBSTITUTE(L237,"~","~~"),"*","~*"),"?","~?")))</x:f>
      </x:c>
      <x:c r="H237" s="2" t="str">
        <x:f>IF(COUNTA(A237:F237)=0,"",COUNTIFS('External Data'!$L$2:$L$1001,SUBSTITUTE(SUBSTITUTE(SUBSTITUTE(L237,"~","~~"),"*","~*"),"?","~?")))</x:f>
      </x:c>
      <x:c r="I237" s="13" t="str">
        <x:f>IF(OR(H237&lt;&gt;1,G237&lt;&gt;1),"",SUMIFS('External Data'!$E$2:$E$1001,'External Data'!$L$2:$L$1001,SUBSTITUTE(SUBSTITUTE(SUBSTITUTE(L237,"~","~~"),"*","~*"),"?","~?")))</x:f>
      </x:c>
      <x:c r="J237" s="13" t="str">
        <x:f>IF(OR(NOT(ISNUMBER(E237)),NOT(ISNUMBER(I237))),"",ROUND(E237-I237,2))</x:f>
      </x:c>
      <x:c r="K237" s="2" t="str">
        <x:f>IF(COUNTA(A237:F237)=0,"",IF(OR(A237="",B237="",C237="",D237="",NOT(ISNUMBER(E237))),"Missing / invalid input",IF(G237&gt;1,"Duplicate key in this source",IF(H237=0,"Missing in other source",IF(H237&gt;1,"Duplicate in other source",IF(SUMIFS('External Data'!$M$2:$M$1001,'External Data'!$L$2:$L$1001,SUBSTITUTE(SUBSTITUTE(SUBSTITUTE(L237,"~","~~"),"*","~*"),"?","~?"))&lt;&gt;1,"Other amount is invalid",IF(J237&lt;&gt;0,"Amount differs","Matched")))))))</x:f>
      </x:c>
      <x:c r="L237" t="str">
        <x:f>IF(COUNTA(A237:F237)=0,"",LEN(A237)&amp;":"&amp;A237&amp;LEN(B237)&amp;":"&amp;B237&amp;LEN(C237)&amp;":"&amp;C237&amp;LEN(D237)&amp;":"&amp;D237)</x:f>
      </x:c>
      <x:c r="M237" t="str">
        <x:f>IF(COUNTA(A237:F237)=0,"",IF(ISNUMBER(E237),1,0))</x:f>
      </x:c>
    </x:row>
    <x:row r="238">
      <x:c r="A238" s="11"/>
      <x:c r="B238" s="11"/>
      <x:c r="C238" s="11"/>
      <x:c r="D238" s="11"/>
      <x:c r="E238" s="12"/>
      <x:c r="F238" s="10"/>
      <x:c r="G238" s="2" t="str">
        <x:f>IF(COUNTA(A238:F238)=0,"",COUNTIFS('App Data'!$L$2:$L$1001,SUBSTITUTE(SUBSTITUTE(SUBSTITUTE(L238,"~","~~"),"*","~*"),"?","~?")))</x:f>
      </x:c>
      <x:c r="H238" s="2" t="str">
        <x:f>IF(COUNTA(A238:F238)=0,"",COUNTIFS('External Data'!$L$2:$L$1001,SUBSTITUTE(SUBSTITUTE(SUBSTITUTE(L238,"~","~~"),"*","~*"),"?","~?")))</x:f>
      </x:c>
      <x:c r="I238" s="13" t="str">
        <x:f>IF(OR(H238&lt;&gt;1,G238&lt;&gt;1),"",SUMIFS('External Data'!$E$2:$E$1001,'External Data'!$L$2:$L$1001,SUBSTITUTE(SUBSTITUTE(SUBSTITUTE(L238,"~","~~"),"*","~*"),"?","~?")))</x:f>
      </x:c>
      <x:c r="J238" s="13" t="str">
        <x:f>IF(OR(NOT(ISNUMBER(E238)),NOT(ISNUMBER(I238))),"",ROUND(E238-I238,2))</x:f>
      </x:c>
      <x:c r="K238" s="2" t="str">
        <x:f>IF(COUNTA(A238:F238)=0,"",IF(OR(A238="",B238="",C238="",D238="",NOT(ISNUMBER(E238))),"Missing / invalid input",IF(G238&gt;1,"Duplicate key in this source",IF(H238=0,"Missing in other source",IF(H238&gt;1,"Duplicate in other source",IF(SUMIFS('External Data'!$M$2:$M$1001,'External Data'!$L$2:$L$1001,SUBSTITUTE(SUBSTITUTE(SUBSTITUTE(L238,"~","~~"),"*","~*"),"?","~?"))&lt;&gt;1,"Other amount is invalid",IF(J238&lt;&gt;0,"Amount differs","Matched")))))))</x:f>
      </x:c>
      <x:c r="L238" t="str">
        <x:f>IF(COUNTA(A238:F238)=0,"",LEN(A238)&amp;":"&amp;A238&amp;LEN(B238)&amp;":"&amp;B238&amp;LEN(C238)&amp;":"&amp;C238&amp;LEN(D238)&amp;":"&amp;D238)</x:f>
      </x:c>
      <x:c r="M238" t="str">
        <x:f>IF(COUNTA(A238:F238)=0,"",IF(ISNUMBER(E238),1,0))</x:f>
      </x:c>
    </x:row>
    <x:row r="239">
      <x:c r="A239" s="11"/>
      <x:c r="B239" s="11"/>
      <x:c r="C239" s="11"/>
      <x:c r="D239" s="11"/>
      <x:c r="E239" s="12"/>
      <x:c r="F239" s="10"/>
      <x:c r="G239" s="2" t="str">
        <x:f>IF(COUNTA(A239:F239)=0,"",COUNTIFS('App Data'!$L$2:$L$1001,SUBSTITUTE(SUBSTITUTE(SUBSTITUTE(L239,"~","~~"),"*","~*"),"?","~?")))</x:f>
      </x:c>
      <x:c r="H239" s="2" t="str">
        <x:f>IF(COUNTA(A239:F239)=0,"",COUNTIFS('External Data'!$L$2:$L$1001,SUBSTITUTE(SUBSTITUTE(SUBSTITUTE(L239,"~","~~"),"*","~*"),"?","~?")))</x:f>
      </x:c>
      <x:c r="I239" s="13" t="str">
        <x:f>IF(OR(H239&lt;&gt;1,G239&lt;&gt;1),"",SUMIFS('External Data'!$E$2:$E$1001,'External Data'!$L$2:$L$1001,SUBSTITUTE(SUBSTITUTE(SUBSTITUTE(L239,"~","~~"),"*","~*"),"?","~?")))</x:f>
      </x:c>
      <x:c r="J239" s="13" t="str">
        <x:f>IF(OR(NOT(ISNUMBER(E239)),NOT(ISNUMBER(I239))),"",ROUND(E239-I239,2))</x:f>
      </x:c>
      <x:c r="K239" s="2" t="str">
        <x:f>IF(COUNTA(A239:F239)=0,"",IF(OR(A239="",B239="",C239="",D239="",NOT(ISNUMBER(E239))),"Missing / invalid input",IF(G239&gt;1,"Duplicate key in this source",IF(H239=0,"Missing in other source",IF(H239&gt;1,"Duplicate in other source",IF(SUMIFS('External Data'!$M$2:$M$1001,'External Data'!$L$2:$L$1001,SUBSTITUTE(SUBSTITUTE(SUBSTITUTE(L239,"~","~~"),"*","~*"),"?","~?"))&lt;&gt;1,"Other amount is invalid",IF(J239&lt;&gt;0,"Amount differs","Matched")))))))</x:f>
      </x:c>
      <x:c r="L239" t="str">
        <x:f>IF(COUNTA(A239:F239)=0,"",LEN(A239)&amp;":"&amp;A239&amp;LEN(B239)&amp;":"&amp;B239&amp;LEN(C239)&amp;":"&amp;C239&amp;LEN(D239)&amp;":"&amp;D239)</x:f>
      </x:c>
      <x:c r="M239" t="str">
        <x:f>IF(COUNTA(A239:F239)=0,"",IF(ISNUMBER(E239),1,0))</x:f>
      </x:c>
    </x:row>
    <x:row r="240">
      <x:c r="A240" s="11"/>
      <x:c r="B240" s="11"/>
      <x:c r="C240" s="11"/>
      <x:c r="D240" s="11"/>
      <x:c r="E240" s="12"/>
      <x:c r="F240" s="10"/>
      <x:c r="G240" s="2" t="str">
        <x:f>IF(COUNTA(A240:F240)=0,"",COUNTIFS('App Data'!$L$2:$L$1001,SUBSTITUTE(SUBSTITUTE(SUBSTITUTE(L240,"~","~~"),"*","~*"),"?","~?")))</x:f>
      </x:c>
      <x:c r="H240" s="2" t="str">
        <x:f>IF(COUNTA(A240:F240)=0,"",COUNTIFS('External Data'!$L$2:$L$1001,SUBSTITUTE(SUBSTITUTE(SUBSTITUTE(L240,"~","~~"),"*","~*"),"?","~?")))</x:f>
      </x:c>
      <x:c r="I240" s="13" t="str">
        <x:f>IF(OR(H240&lt;&gt;1,G240&lt;&gt;1),"",SUMIFS('External Data'!$E$2:$E$1001,'External Data'!$L$2:$L$1001,SUBSTITUTE(SUBSTITUTE(SUBSTITUTE(L240,"~","~~"),"*","~*"),"?","~?")))</x:f>
      </x:c>
      <x:c r="J240" s="13" t="str">
        <x:f>IF(OR(NOT(ISNUMBER(E240)),NOT(ISNUMBER(I240))),"",ROUND(E240-I240,2))</x:f>
      </x:c>
      <x:c r="K240" s="2" t="str">
        <x:f>IF(COUNTA(A240:F240)=0,"",IF(OR(A240="",B240="",C240="",D240="",NOT(ISNUMBER(E240))),"Missing / invalid input",IF(G240&gt;1,"Duplicate key in this source",IF(H240=0,"Missing in other source",IF(H240&gt;1,"Duplicate in other source",IF(SUMIFS('External Data'!$M$2:$M$1001,'External Data'!$L$2:$L$1001,SUBSTITUTE(SUBSTITUTE(SUBSTITUTE(L240,"~","~~"),"*","~*"),"?","~?"))&lt;&gt;1,"Other amount is invalid",IF(J240&lt;&gt;0,"Amount differs","Matched")))))))</x:f>
      </x:c>
      <x:c r="L240" t="str">
        <x:f>IF(COUNTA(A240:F240)=0,"",LEN(A240)&amp;":"&amp;A240&amp;LEN(B240)&amp;":"&amp;B240&amp;LEN(C240)&amp;":"&amp;C240&amp;LEN(D240)&amp;":"&amp;D240)</x:f>
      </x:c>
      <x:c r="M240" t="str">
        <x:f>IF(COUNTA(A240:F240)=0,"",IF(ISNUMBER(E240),1,0))</x:f>
      </x:c>
    </x:row>
    <x:row r="241">
      <x:c r="A241" s="11"/>
      <x:c r="B241" s="11"/>
      <x:c r="C241" s="11"/>
      <x:c r="D241" s="11"/>
      <x:c r="E241" s="12"/>
      <x:c r="F241" s="10"/>
      <x:c r="G241" s="2" t="str">
        <x:f>IF(COUNTA(A241:F241)=0,"",COUNTIFS('App Data'!$L$2:$L$1001,SUBSTITUTE(SUBSTITUTE(SUBSTITUTE(L241,"~","~~"),"*","~*"),"?","~?")))</x:f>
      </x:c>
      <x:c r="H241" s="2" t="str">
        <x:f>IF(COUNTA(A241:F241)=0,"",COUNTIFS('External Data'!$L$2:$L$1001,SUBSTITUTE(SUBSTITUTE(SUBSTITUTE(L241,"~","~~"),"*","~*"),"?","~?")))</x:f>
      </x:c>
      <x:c r="I241" s="13" t="str">
        <x:f>IF(OR(H241&lt;&gt;1,G241&lt;&gt;1),"",SUMIFS('External Data'!$E$2:$E$1001,'External Data'!$L$2:$L$1001,SUBSTITUTE(SUBSTITUTE(SUBSTITUTE(L241,"~","~~"),"*","~*"),"?","~?")))</x:f>
      </x:c>
      <x:c r="J241" s="13" t="str">
        <x:f>IF(OR(NOT(ISNUMBER(E241)),NOT(ISNUMBER(I241))),"",ROUND(E241-I241,2))</x:f>
      </x:c>
      <x:c r="K241" s="2" t="str">
        <x:f>IF(COUNTA(A241:F241)=0,"",IF(OR(A241="",B241="",C241="",D241="",NOT(ISNUMBER(E241))),"Missing / invalid input",IF(G241&gt;1,"Duplicate key in this source",IF(H241=0,"Missing in other source",IF(H241&gt;1,"Duplicate in other source",IF(SUMIFS('External Data'!$M$2:$M$1001,'External Data'!$L$2:$L$1001,SUBSTITUTE(SUBSTITUTE(SUBSTITUTE(L241,"~","~~"),"*","~*"),"?","~?"))&lt;&gt;1,"Other amount is invalid",IF(J241&lt;&gt;0,"Amount differs","Matched")))))))</x:f>
      </x:c>
      <x:c r="L241" t="str">
        <x:f>IF(COUNTA(A241:F241)=0,"",LEN(A241)&amp;":"&amp;A241&amp;LEN(B241)&amp;":"&amp;B241&amp;LEN(C241)&amp;":"&amp;C241&amp;LEN(D241)&amp;":"&amp;D241)</x:f>
      </x:c>
      <x:c r="M241" t="str">
        <x:f>IF(COUNTA(A241:F241)=0,"",IF(ISNUMBER(E241),1,0))</x:f>
      </x:c>
    </x:row>
    <x:row r="242">
      <x:c r="A242" s="11"/>
      <x:c r="B242" s="11"/>
      <x:c r="C242" s="11"/>
      <x:c r="D242" s="11"/>
      <x:c r="E242" s="12"/>
      <x:c r="F242" s="10"/>
      <x:c r="G242" s="2" t="str">
        <x:f>IF(COUNTA(A242:F242)=0,"",COUNTIFS('App Data'!$L$2:$L$1001,SUBSTITUTE(SUBSTITUTE(SUBSTITUTE(L242,"~","~~"),"*","~*"),"?","~?")))</x:f>
      </x:c>
      <x:c r="H242" s="2" t="str">
        <x:f>IF(COUNTA(A242:F242)=0,"",COUNTIFS('External Data'!$L$2:$L$1001,SUBSTITUTE(SUBSTITUTE(SUBSTITUTE(L242,"~","~~"),"*","~*"),"?","~?")))</x:f>
      </x:c>
      <x:c r="I242" s="13" t="str">
        <x:f>IF(OR(H242&lt;&gt;1,G242&lt;&gt;1),"",SUMIFS('External Data'!$E$2:$E$1001,'External Data'!$L$2:$L$1001,SUBSTITUTE(SUBSTITUTE(SUBSTITUTE(L242,"~","~~"),"*","~*"),"?","~?")))</x:f>
      </x:c>
      <x:c r="J242" s="13" t="str">
        <x:f>IF(OR(NOT(ISNUMBER(E242)),NOT(ISNUMBER(I242))),"",ROUND(E242-I242,2))</x:f>
      </x:c>
      <x:c r="K242" s="2" t="str">
        <x:f>IF(COUNTA(A242:F242)=0,"",IF(OR(A242="",B242="",C242="",D242="",NOT(ISNUMBER(E242))),"Missing / invalid input",IF(G242&gt;1,"Duplicate key in this source",IF(H242=0,"Missing in other source",IF(H242&gt;1,"Duplicate in other source",IF(SUMIFS('External Data'!$M$2:$M$1001,'External Data'!$L$2:$L$1001,SUBSTITUTE(SUBSTITUTE(SUBSTITUTE(L242,"~","~~"),"*","~*"),"?","~?"))&lt;&gt;1,"Other amount is invalid",IF(J242&lt;&gt;0,"Amount differs","Matched")))))))</x:f>
      </x:c>
      <x:c r="L242" t="str">
        <x:f>IF(COUNTA(A242:F242)=0,"",LEN(A242)&amp;":"&amp;A242&amp;LEN(B242)&amp;":"&amp;B242&amp;LEN(C242)&amp;":"&amp;C242&amp;LEN(D242)&amp;":"&amp;D242)</x:f>
      </x:c>
      <x:c r="M242" t="str">
        <x:f>IF(COUNTA(A242:F242)=0,"",IF(ISNUMBER(E242),1,0))</x:f>
      </x:c>
    </x:row>
    <x:row r="243">
      <x:c r="A243" s="11"/>
      <x:c r="B243" s="11"/>
      <x:c r="C243" s="11"/>
      <x:c r="D243" s="11"/>
      <x:c r="E243" s="12"/>
      <x:c r="F243" s="10"/>
      <x:c r="G243" s="2" t="str">
        <x:f>IF(COUNTA(A243:F243)=0,"",COUNTIFS('App Data'!$L$2:$L$1001,SUBSTITUTE(SUBSTITUTE(SUBSTITUTE(L243,"~","~~"),"*","~*"),"?","~?")))</x:f>
      </x:c>
      <x:c r="H243" s="2" t="str">
        <x:f>IF(COUNTA(A243:F243)=0,"",COUNTIFS('External Data'!$L$2:$L$1001,SUBSTITUTE(SUBSTITUTE(SUBSTITUTE(L243,"~","~~"),"*","~*"),"?","~?")))</x:f>
      </x:c>
      <x:c r="I243" s="13" t="str">
        <x:f>IF(OR(H243&lt;&gt;1,G243&lt;&gt;1),"",SUMIFS('External Data'!$E$2:$E$1001,'External Data'!$L$2:$L$1001,SUBSTITUTE(SUBSTITUTE(SUBSTITUTE(L243,"~","~~"),"*","~*"),"?","~?")))</x:f>
      </x:c>
      <x:c r="J243" s="13" t="str">
        <x:f>IF(OR(NOT(ISNUMBER(E243)),NOT(ISNUMBER(I243))),"",ROUND(E243-I243,2))</x:f>
      </x:c>
      <x:c r="K243" s="2" t="str">
        <x:f>IF(COUNTA(A243:F243)=0,"",IF(OR(A243="",B243="",C243="",D243="",NOT(ISNUMBER(E243))),"Missing / invalid input",IF(G243&gt;1,"Duplicate key in this source",IF(H243=0,"Missing in other source",IF(H243&gt;1,"Duplicate in other source",IF(SUMIFS('External Data'!$M$2:$M$1001,'External Data'!$L$2:$L$1001,SUBSTITUTE(SUBSTITUTE(SUBSTITUTE(L243,"~","~~"),"*","~*"),"?","~?"))&lt;&gt;1,"Other amount is invalid",IF(J243&lt;&gt;0,"Amount differs","Matched")))))))</x:f>
      </x:c>
      <x:c r="L243" t="str">
        <x:f>IF(COUNTA(A243:F243)=0,"",LEN(A243)&amp;":"&amp;A243&amp;LEN(B243)&amp;":"&amp;B243&amp;LEN(C243)&amp;":"&amp;C243&amp;LEN(D243)&amp;":"&amp;D243)</x:f>
      </x:c>
      <x:c r="M243" t="str">
        <x:f>IF(COUNTA(A243:F243)=0,"",IF(ISNUMBER(E243),1,0))</x:f>
      </x:c>
    </x:row>
    <x:row r="244">
      <x:c r="A244" s="11"/>
      <x:c r="B244" s="11"/>
      <x:c r="C244" s="11"/>
      <x:c r="D244" s="11"/>
      <x:c r="E244" s="12"/>
      <x:c r="F244" s="10"/>
      <x:c r="G244" s="2" t="str">
        <x:f>IF(COUNTA(A244:F244)=0,"",COUNTIFS('App Data'!$L$2:$L$1001,SUBSTITUTE(SUBSTITUTE(SUBSTITUTE(L244,"~","~~"),"*","~*"),"?","~?")))</x:f>
      </x:c>
      <x:c r="H244" s="2" t="str">
        <x:f>IF(COUNTA(A244:F244)=0,"",COUNTIFS('External Data'!$L$2:$L$1001,SUBSTITUTE(SUBSTITUTE(SUBSTITUTE(L244,"~","~~"),"*","~*"),"?","~?")))</x:f>
      </x:c>
      <x:c r="I244" s="13" t="str">
        <x:f>IF(OR(H244&lt;&gt;1,G244&lt;&gt;1),"",SUMIFS('External Data'!$E$2:$E$1001,'External Data'!$L$2:$L$1001,SUBSTITUTE(SUBSTITUTE(SUBSTITUTE(L244,"~","~~"),"*","~*"),"?","~?")))</x:f>
      </x:c>
      <x:c r="J244" s="13" t="str">
        <x:f>IF(OR(NOT(ISNUMBER(E244)),NOT(ISNUMBER(I244))),"",ROUND(E244-I244,2))</x:f>
      </x:c>
      <x:c r="K244" s="2" t="str">
        <x:f>IF(COUNTA(A244:F244)=0,"",IF(OR(A244="",B244="",C244="",D244="",NOT(ISNUMBER(E244))),"Missing / invalid input",IF(G244&gt;1,"Duplicate key in this source",IF(H244=0,"Missing in other source",IF(H244&gt;1,"Duplicate in other source",IF(SUMIFS('External Data'!$M$2:$M$1001,'External Data'!$L$2:$L$1001,SUBSTITUTE(SUBSTITUTE(SUBSTITUTE(L244,"~","~~"),"*","~*"),"?","~?"))&lt;&gt;1,"Other amount is invalid",IF(J244&lt;&gt;0,"Amount differs","Matched")))))))</x:f>
      </x:c>
      <x:c r="L244" t="str">
        <x:f>IF(COUNTA(A244:F244)=0,"",LEN(A244)&amp;":"&amp;A244&amp;LEN(B244)&amp;":"&amp;B244&amp;LEN(C244)&amp;":"&amp;C244&amp;LEN(D244)&amp;":"&amp;D244)</x:f>
      </x:c>
      <x:c r="M244" t="str">
        <x:f>IF(COUNTA(A244:F244)=0,"",IF(ISNUMBER(E244),1,0))</x:f>
      </x:c>
    </x:row>
    <x:row r="245">
      <x:c r="A245" s="11"/>
      <x:c r="B245" s="11"/>
      <x:c r="C245" s="11"/>
      <x:c r="D245" s="11"/>
      <x:c r="E245" s="12"/>
      <x:c r="F245" s="10"/>
      <x:c r="G245" s="2" t="str">
        <x:f>IF(COUNTA(A245:F245)=0,"",COUNTIFS('App Data'!$L$2:$L$1001,SUBSTITUTE(SUBSTITUTE(SUBSTITUTE(L245,"~","~~"),"*","~*"),"?","~?")))</x:f>
      </x:c>
      <x:c r="H245" s="2" t="str">
        <x:f>IF(COUNTA(A245:F245)=0,"",COUNTIFS('External Data'!$L$2:$L$1001,SUBSTITUTE(SUBSTITUTE(SUBSTITUTE(L245,"~","~~"),"*","~*"),"?","~?")))</x:f>
      </x:c>
      <x:c r="I245" s="13" t="str">
        <x:f>IF(OR(H245&lt;&gt;1,G245&lt;&gt;1),"",SUMIFS('External Data'!$E$2:$E$1001,'External Data'!$L$2:$L$1001,SUBSTITUTE(SUBSTITUTE(SUBSTITUTE(L245,"~","~~"),"*","~*"),"?","~?")))</x:f>
      </x:c>
      <x:c r="J245" s="13" t="str">
        <x:f>IF(OR(NOT(ISNUMBER(E245)),NOT(ISNUMBER(I245))),"",ROUND(E245-I245,2))</x:f>
      </x:c>
      <x:c r="K245" s="2" t="str">
        <x:f>IF(COUNTA(A245:F245)=0,"",IF(OR(A245="",B245="",C245="",D245="",NOT(ISNUMBER(E245))),"Missing / invalid input",IF(G245&gt;1,"Duplicate key in this source",IF(H245=0,"Missing in other source",IF(H245&gt;1,"Duplicate in other source",IF(SUMIFS('External Data'!$M$2:$M$1001,'External Data'!$L$2:$L$1001,SUBSTITUTE(SUBSTITUTE(SUBSTITUTE(L245,"~","~~"),"*","~*"),"?","~?"))&lt;&gt;1,"Other amount is invalid",IF(J245&lt;&gt;0,"Amount differs","Matched")))))))</x:f>
      </x:c>
      <x:c r="L245" t="str">
        <x:f>IF(COUNTA(A245:F245)=0,"",LEN(A245)&amp;":"&amp;A245&amp;LEN(B245)&amp;":"&amp;B245&amp;LEN(C245)&amp;":"&amp;C245&amp;LEN(D245)&amp;":"&amp;D245)</x:f>
      </x:c>
      <x:c r="M245" t="str">
        <x:f>IF(COUNTA(A245:F245)=0,"",IF(ISNUMBER(E245),1,0))</x:f>
      </x:c>
    </x:row>
    <x:row r="246">
      <x:c r="A246" s="11"/>
      <x:c r="B246" s="11"/>
      <x:c r="C246" s="11"/>
      <x:c r="D246" s="11"/>
      <x:c r="E246" s="12"/>
      <x:c r="F246" s="10"/>
      <x:c r="G246" s="2" t="str">
        <x:f>IF(COUNTA(A246:F246)=0,"",COUNTIFS('App Data'!$L$2:$L$1001,SUBSTITUTE(SUBSTITUTE(SUBSTITUTE(L246,"~","~~"),"*","~*"),"?","~?")))</x:f>
      </x:c>
      <x:c r="H246" s="2" t="str">
        <x:f>IF(COUNTA(A246:F246)=0,"",COUNTIFS('External Data'!$L$2:$L$1001,SUBSTITUTE(SUBSTITUTE(SUBSTITUTE(L246,"~","~~"),"*","~*"),"?","~?")))</x:f>
      </x:c>
      <x:c r="I246" s="13" t="str">
        <x:f>IF(OR(H246&lt;&gt;1,G246&lt;&gt;1),"",SUMIFS('External Data'!$E$2:$E$1001,'External Data'!$L$2:$L$1001,SUBSTITUTE(SUBSTITUTE(SUBSTITUTE(L246,"~","~~"),"*","~*"),"?","~?")))</x:f>
      </x:c>
      <x:c r="J246" s="13" t="str">
        <x:f>IF(OR(NOT(ISNUMBER(E246)),NOT(ISNUMBER(I246))),"",ROUND(E246-I246,2))</x:f>
      </x:c>
      <x:c r="K246" s="2" t="str">
        <x:f>IF(COUNTA(A246:F246)=0,"",IF(OR(A246="",B246="",C246="",D246="",NOT(ISNUMBER(E246))),"Missing / invalid input",IF(G246&gt;1,"Duplicate key in this source",IF(H246=0,"Missing in other source",IF(H246&gt;1,"Duplicate in other source",IF(SUMIFS('External Data'!$M$2:$M$1001,'External Data'!$L$2:$L$1001,SUBSTITUTE(SUBSTITUTE(SUBSTITUTE(L246,"~","~~"),"*","~*"),"?","~?"))&lt;&gt;1,"Other amount is invalid",IF(J246&lt;&gt;0,"Amount differs","Matched")))))))</x:f>
      </x:c>
      <x:c r="L246" t="str">
        <x:f>IF(COUNTA(A246:F246)=0,"",LEN(A246)&amp;":"&amp;A246&amp;LEN(B246)&amp;":"&amp;B246&amp;LEN(C246)&amp;":"&amp;C246&amp;LEN(D246)&amp;":"&amp;D246)</x:f>
      </x:c>
      <x:c r="M246" t="str">
        <x:f>IF(COUNTA(A246:F246)=0,"",IF(ISNUMBER(E246),1,0))</x:f>
      </x:c>
    </x:row>
    <x:row r="247">
      <x:c r="A247" s="11"/>
      <x:c r="B247" s="11"/>
      <x:c r="C247" s="11"/>
      <x:c r="D247" s="11"/>
      <x:c r="E247" s="12"/>
      <x:c r="F247" s="10"/>
      <x:c r="G247" s="2" t="str">
        <x:f>IF(COUNTA(A247:F247)=0,"",COUNTIFS('App Data'!$L$2:$L$1001,SUBSTITUTE(SUBSTITUTE(SUBSTITUTE(L247,"~","~~"),"*","~*"),"?","~?")))</x:f>
      </x:c>
      <x:c r="H247" s="2" t="str">
        <x:f>IF(COUNTA(A247:F247)=0,"",COUNTIFS('External Data'!$L$2:$L$1001,SUBSTITUTE(SUBSTITUTE(SUBSTITUTE(L247,"~","~~"),"*","~*"),"?","~?")))</x:f>
      </x:c>
      <x:c r="I247" s="13" t="str">
        <x:f>IF(OR(H247&lt;&gt;1,G247&lt;&gt;1),"",SUMIFS('External Data'!$E$2:$E$1001,'External Data'!$L$2:$L$1001,SUBSTITUTE(SUBSTITUTE(SUBSTITUTE(L247,"~","~~"),"*","~*"),"?","~?")))</x:f>
      </x:c>
      <x:c r="J247" s="13" t="str">
        <x:f>IF(OR(NOT(ISNUMBER(E247)),NOT(ISNUMBER(I247))),"",ROUND(E247-I247,2))</x:f>
      </x:c>
      <x:c r="K247" s="2" t="str">
        <x:f>IF(COUNTA(A247:F247)=0,"",IF(OR(A247="",B247="",C247="",D247="",NOT(ISNUMBER(E247))),"Missing / invalid input",IF(G247&gt;1,"Duplicate key in this source",IF(H247=0,"Missing in other source",IF(H247&gt;1,"Duplicate in other source",IF(SUMIFS('External Data'!$M$2:$M$1001,'External Data'!$L$2:$L$1001,SUBSTITUTE(SUBSTITUTE(SUBSTITUTE(L247,"~","~~"),"*","~*"),"?","~?"))&lt;&gt;1,"Other amount is invalid",IF(J247&lt;&gt;0,"Amount differs","Matched")))))))</x:f>
      </x:c>
      <x:c r="L247" t="str">
        <x:f>IF(COUNTA(A247:F247)=0,"",LEN(A247)&amp;":"&amp;A247&amp;LEN(B247)&amp;":"&amp;B247&amp;LEN(C247)&amp;":"&amp;C247&amp;LEN(D247)&amp;":"&amp;D247)</x:f>
      </x:c>
      <x:c r="M247" t="str">
        <x:f>IF(COUNTA(A247:F247)=0,"",IF(ISNUMBER(E247),1,0))</x:f>
      </x:c>
    </x:row>
    <x:row r="248">
      <x:c r="A248" s="11"/>
      <x:c r="B248" s="11"/>
      <x:c r="C248" s="11"/>
      <x:c r="D248" s="11"/>
      <x:c r="E248" s="12"/>
      <x:c r="F248" s="10"/>
      <x:c r="G248" s="2" t="str">
        <x:f>IF(COUNTA(A248:F248)=0,"",COUNTIFS('App Data'!$L$2:$L$1001,SUBSTITUTE(SUBSTITUTE(SUBSTITUTE(L248,"~","~~"),"*","~*"),"?","~?")))</x:f>
      </x:c>
      <x:c r="H248" s="2" t="str">
        <x:f>IF(COUNTA(A248:F248)=0,"",COUNTIFS('External Data'!$L$2:$L$1001,SUBSTITUTE(SUBSTITUTE(SUBSTITUTE(L248,"~","~~"),"*","~*"),"?","~?")))</x:f>
      </x:c>
      <x:c r="I248" s="13" t="str">
        <x:f>IF(OR(H248&lt;&gt;1,G248&lt;&gt;1),"",SUMIFS('External Data'!$E$2:$E$1001,'External Data'!$L$2:$L$1001,SUBSTITUTE(SUBSTITUTE(SUBSTITUTE(L248,"~","~~"),"*","~*"),"?","~?")))</x:f>
      </x:c>
      <x:c r="J248" s="13" t="str">
        <x:f>IF(OR(NOT(ISNUMBER(E248)),NOT(ISNUMBER(I248))),"",ROUND(E248-I248,2))</x:f>
      </x:c>
      <x:c r="K248" s="2" t="str">
        <x:f>IF(COUNTA(A248:F248)=0,"",IF(OR(A248="",B248="",C248="",D248="",NOT(ISNUMBER(E248))),"Missing / invalid input",IF(G248&gt;1,"Duplicate key in this source",IF(H248=0,"Missing in other source",IF(H248&gt;1,"Duplicate in other source",IF(SUMIFS('External Data'!$M$2:$M$1001,'External Data'!$L$2:$L$1001,SUBSTITUTE(SUBSTITUTE(SUBSTITUTE(L248,"~","~~"),"*","~*"),"?","~?"))&lt;&gt;1,"Other amount is invalid",IF(J248&lt;&gt;0,"Amount differs","Matched")))))))</x:f>
      </x:c>
      <x:c r="L248" t="str">
        <x:f>IF(COUNTA(A248:F248)=0,"",LEN(A248)&amp;":"&amp;A248&amp;LEN(B248)&amp;":"&amp;B248&amp;LEN(C248)&amp;":"&amp;C248&amp;LEN(D248)&amp;":"&amp;D248)</x:f>
      </x:c>
      <x:c r="M248" t="str">
        <x:f>IF(COUNTA(A248:F248)=0,"",IF(ISNUMBER(E248),1,0))</x:f>
      </x:c>
    </x:row>
    <x:row r="249">
      <x:c r="A249" s="11"/>
      <x:c r="B249" s="11"/>
      <x:c r="C249" s="11"/>
      <x:c r="D249" s="11"/>
      <x:c r="E249" s="12"/>
      <x:c r="F249" s="10"/>
      <x:c r="G249" s="2" t="str">
        <x:f>IF(COUNTA(A249:F249)=0,"",COUNTIFS('App Data'!$L$2:$L$1001,SUBSTITUTE(SUBSTITUTE(SUBSTITUTE(L249,"~","~~"),"*","~*"),"?","~?")))</x:f>
      </x:c>
      <x:c r="H249" s="2" t="str">
        <x:f>IF(COUNTA(A249:F249)=0,"",COUNTIFS('External Data'!$L$2:$L$1001,SUBSTITUTE(SUBSTITUTE(SUBSTITUTE(L249,"~","~~"),"*","~*"),"?","~?")))</x:f>
      </x:c>
      <x:c r="I249" s="13" t="str">
        <x:f>IF(OR(H249&lt;&gt;1,G249&lt;&gt;1),"",SUMIFS('External Data'!$E$2:$E$1001,'External Data'!$L$2:$L$1001,SUBSTITUTE(SUBSTITUTE(SUBSTITUTE(L249,"~","~~"),"*","~*"),"?","~?")))</x:f>
      </x:c>
      <x:c r="J249" s="13" t="str">
        <x:f>IF(OR(NOT(ISNUMBER(E249)),NOT(ISNUMBER(I249))),"",ROUND(E249-I249,2))</x:f>
      </x:c>
      <x:c r="K249" s="2" t="str">
        <x:f>IF(COUNTA(A249:F249)=0,"",IF(OR(A249="",B249="",C249="",D249="",NOT(ISNUMBER(E249))),"Missing / invalid input",IF(G249&gt;1,"Duplicate key in this source",IF(H249=0,"Missing in other source",IF(H249&gt;1,"Duplicate in other source",IF(SUMIFS('External Data'!$M$2:$M$1001,'External Data'!$L$2:$L$1001,SUBSTITUTE(SUBSTITUTE(SUBSTITUTE(L249,"~","~~"),"*","~*"),"?","~?"))&lt;&gt;1,"Other amount is invalid",IF(J249&lt;&gt;0,"Amount differs","Matched")))))))</x:f>
      </x:c>
      <x:c r="L249" t="str">
        <x:f>IF(COUNTA(A249:F249)=0,"",LEN(A249)&amp;":"&amp;A249&amp;LEN(B249)&amp;":"&amp;B249&amp;LEN(C249)&amp;":"&amp;C249&amp;LEN(D249)&amp;":"&amp;D249)</x:f>
      </x:c>
      <x:c r="M249" t="str">
        <x:f>IF(COUNTA(A249:F249)=0,"",IF(ISNUMBER(E249),1,0))</x:f>
      </x:c>
    </x:row>
    <x:row r="250">
      <x:c r="A250" s="11"/>
      <x:c r="B250" s="11"/>
      <x:c r="C250" s="11"/>
      <x:c r="D250" s="11"/>
      <x:c r="E250" s="12"/>
      <x:c r="F250" s="10"/>
      <x:c r="G250" s="2" t="str">
        <x:f>IF(COUNTA(A250:F250)=0,"",COUNTIFS('App Data'!$L$2:$L$1001,SUBSTITUTE(SUBSTITUTE(SUBSTITUTE(L250,"~","~~"),"*","~*"),"?","~?")))</x:f>
      </x:c>
      <x:c r="H250" s="2" t="str">
        <x:f>IF(COUNTA(A250:F250)=0,"",COUNTIFS('External Data'!$L$2:$L$1001,SUBSTITUTE(SUBSTITUTE(SUBSTITUTE(L250,"~","~~"),"*","~*"),"?","~?")))</x:f>
      </x:c>
      <x:c r="I250" s="13" t="str">
        <x:f>IF(OR(H250&lt;&gt;1,G250&lt;&gt;1),"",SUMIFS('External Data'!$E$2:$E$1001,'External Data'!$L$2:$L$1001,SUBSTITUTE(SUBSTITUTE(SUBSTITUTE(L250,"~","~~"),"*","~*"),"?","~?")))</x:f>
      </x:c>
      <x:c r="J250" s="13" t="str">
        <x:f>IF(OR(NOT(ISNUMBER(E250)),NOT(ISNUMBER(I250))),"",ROUND(E250-I250,2))</x:f>
      </x:c>
      <x:c r="K250" s="2" t="str">
        <x:f>IF(COUNTA(A250:F250)=0,"",IF(OR(A250="",B250="",C250="",D250="",NOT(ISNUMBER(E250))),"Missing / invalid input",IF(G250&gt;1,"Duplicate key in this source",IF(H250=0,"Missing in other source",IF(H250&gt;1,"Duplicate in other source",IF(SUMIFS('External Data'!$M$2:$M$1001,'External Data'!$L$2:$L$1001,SUBSTITUTE(SUBSTITUTE(SUBSTITUTE(L250,"~","~~"),"*","~*"),"?","~?"))&lt;&gt;1,"Other amount is invalid",IF(J250&lt;&gt;0,"Amount differs","Matched")))))))</x:f>
      </x:c>
      <x:c r="L250" t="str">
        <x:f>IF(COUNTA(A250:F250)=0,"",LEN(A250)&amp;":"&amp;A250&amp;LEN(B250)&amp;":"&amp;B250&amp;LEN(C250)&amp;":"&amp;C250&amp;LEN(D250)&amp;":"&amp;D250)</x:f>
      </x:c>
      <x:c r="M250" t="str">
        <x:f>IF(COUNTA(A250:F250)=0,"",IF(ISNUMBER(E250),1,0))</x:f>
      </x:c>
    </x:row>
    <x:row r="251">
      <x:c r="A251" s="11"/>
      <x:c r="B251" s="11"/>
      <x:c r="C251" s="11"/>
      <x:c r="D251" s="11"/>
      <x:c r="E251" s="12"/>
      <x:c r="F251" s="10"/>
      <x:c r="G251" s="2" t="str">
        <x:f>IF(COUNTA(A251:F251)=0,"",COUNTIFS('App Data'!$L$2:$L$1001,SUBSTITUTE(SUBSTITUTE(SUBSTITUTE(L251,"~","~~"),"*","~*"),"?","~?")))</x:f>
      </x:c>
      <x:c r="H251" s="2" t="str">
        <x:f>IF(COUNTA(A251:F251)=0,"",COUNTIFS('External Data'!$L$2:$L$1001,SUBSTITUTE(SUBSTITUTE(SUBSTITUTE(L251,"~","~~"),"*","~*"),"?","~?")))</x:f>
      </x:c>
      <x:c r="I251" s="13" t="str">
        <x:f>IF(OR(H251&lt;&gt;1,G251&lt;&gt;1),"",SUMIFS('External Data'!$E$2:$E$1001,'External Data'!$L$2:$L$1001,SUBSTITUTE(SUBSTITUTE(SUBSTITUTE(L251,"~","~~"),"*","~*"),"?","~?")))</x:f>
      </x:c>
      <x:c r="J251" s="13" t="str">
        <x:f>IF(OR(NOT(ISNUMBER(E251)),NOT(ISNUMBER(I251))),"",ROUND(E251-I251,2))</x:f>
      </x:c>
      <x:c r="K251" s="2" t="str">
        <x:f>IF(COUNTA(A251:F251)=0,"",IF(OR(A251="",B251="",C251="",D251="",NOT(ISNUMBER(E251))),"Missing / invalid input",IF(G251&gt;1,"Duplicate key in this source",IF(H251=0,"Missing in other source",IF(H251&gt;1,"Duplicate in other source",IF(SUMIFS('External Data'!$M$2:$M$1001,'External Data'!$L$2:$L$1001,SUBSTITUTE(SUBSTITUTE(SUBSTITUTE(L251,"~","~~"),"*","~*"),"?","~?"))&lt;&gt;1,"Other amount is invalid",IF(J251&lt;&gt;0,"Amount differs","Matched")))))))</x:f>
      </x:c>
      <x:c r="L251" t="str">
        <x:f>IF(COUNTA(A251:F251)=0,"",LEN(A251)&amp;":"&amp;A251&amp;LEN(B251)&amp;":"&amp;B251&amp;LEN(C251)&amp;":"&amp;C251&amp;LEN(D251)&amp;":"&amp;D251)</x:f>
      </x:c>
      <x:c r="M251" t="str">
        <x:f>IF(COUNTA(A251:F251)=0,"",IF(ISNUMBER(E251),1,0))</x:f>
      </x:c>
    </x:row>
    <x:row r="252">
      <x:c r="A252" s="11"/>
      <x:c r="B252" s="11"/>
      <x:c r="C252" s="11"/>
      <x:c r="D252" s="11"/>
      <x:c r="E252" s="12"/>
      <x:c r="F252" s="10"/>
      <x:c r="G252" s="2" t="str">
        <x:f>IF(COUNTA(A252:F252)=0,"",COUNTIFS('App Data'!$L$2:$L$1001,SUBSTITUTE(SUBSTITUTE(SUBSTITUTE(L252,"~","~~"),"*","~*"),"?","~?")))</x:f>
      </x:c>
      <x:c r="H252" s="2" t="str">
        <x:f>IF(COUNTA(A252:F252)=0,"",COUNTIFS('External Data'!$L$2:$L$1001,SUBSTITUTE(SUBSTITUTE(SUBSTITUTE(L252,"~","~~"),"*","~*"),"?","~?")))</x:f>
      </x:c>
      <x:c r="I252" s="13" t="str">
        <x:f>IF(OR(H252&lt;&gt;1,G252&lt;&gt;1),"",SUMIFS('External Data'!$E$2:$E$1001,'External Data'!$L$2:$L$1001,SUBSTITUTE(SUBSTITUTE(SUBSTITUTE(L252,"~","~~"),"*","~*"),"?","~?")))</x:f>
      </x:c>
      <x:c r="J252" s="13" t="str">
        <x:f>IF(OR(NOT(ISNUMBER(E252)),NOT(ISNUMBER(I252))),"",ROUND(E252-I252,2))</x:f>
      </x:c>
      <x:c r="K252" s="2" t="str">
        <x:f>IF(COUNTA(A252:F252)=0,"",IF(OR(A252="",B252="",C252="",D252="",NOT(ISNUMBER(E252))),"Missing / invalid input",IF(G252&gt;1,"Duplicate key in this source",IF(H252=0,"Missing in other source",IF(H252&gt;1,"Duplicate in other source",IF(SUMIFS('External Data'!$M$2:$M$1001,'External Data'!$L$2:$L$1001,SUBSTITUTE(SUBSTITUTE(SUBSTITUTE(L252,"~","~~"),"*","~*"),"?","~?"))&lt;&gt;1,"Other amount is invalid",IF(J252&lt;&gt;0,"Amount differs","Matched")))))))</x:f>
      </x:c>
      <x:c r="L252" t="str">
        <x:f>IF(COUNTA(A252:F252)=0,"",LEN(A252)&amp;":"&amp;A252&amp;LEN(B252)&amp;":"&amp;B252&amp;LEN(C252)&amp;":"&amp;C252&amp;LEN(D252)&amp;":"&amp;D252)</x:f>
      </x:c>
      <x:c r="M252" t="str">
        <x:f>IF(COUNTA(A252:F252)=0,"",IF(ISNUMBER(E252),1,0))</x:f>
      </x:c>
    </x:row>
    <x:row r="253">
      <x:c r="A253" s="11"/>
      <x:c r="B253" s="11"/>
      <x:c r="C253" s="11"/>
      <x:c r="D253" s="11"/>
      <x:c r="E253" s="12"/>
      <x:c r="F253" s="10"/>
      <x:c r="G253" s="2" t="str">
        <x:f>IF(COUNTA(A253:F253)=0,"",COUNTIFS('App Data'!$L$2:$L$1001,SUBSTITUTE(SUBSTITUTE(SUBSTITUTE(L253,"~","~~"),"*","~*"),"?","~?")))</x:f>
      </x:c>
      <x:c r="H253" s="2" t="str">
        <x:f>IF(COUNTA(A253:F253)=0,"",COUNTIFS('External Data'!$L$2:$L$1001,SUBSTITUTE(SUBSTITUTE(SUBSTITUTE(L253,"~","~~"),"*","~*"),"?","~?")))</x:f>
      </x:c>
      <x:c r="I253" s="13" t="str">
        <x:f>IF(OR(H253&lt;&gt;1,G253&lt;&gt;1),"",SUMIFS('External Data'!$E$2:$E$1001,'External Data'!$L$2:$L$1001,SUBSTITUTE(SUBSTITUTE(SUBSTITUTE(L253,"~","~~"),"*","~*"),"?","~?")))</x:f>
      </x:c>
      <x:c r="J253" s="13" t="str">
        <x:f>IF(OR(NOT(ISNUMBER(E253)),NOT(ISNUMBER(I253))),"",ROUND(E253-I253,2))</x:f>
      </x:c>
      <x:c r="K253" s="2" t="str">
        <x:f>IF(COUNTA(A253:F253)=0,"",IF(OR(A253="",B253="",C253="",D253="",NOT(ISNUMBER(E253))),"Missing / invalid input",IF(G253&gt;1,"Duplicate key in this source",IF(H253=0,"Missing in other source",IF(H253&gt;1,"Duplicate in other source",IF(SUMIFS('External Data'!$M$2:$M$1001,'External Data'!$L$2:$L$1001,SUBSTITUTE(SUBSTITUTE(SUBSTITUTE(L253,"~","~~"),"*","~*"),"?","~?"))&lt;&gt;1,"Other amount is invalid",IF(J253&lt;&gt;0,"Amount differs","Matched")))))))</x:f>
      </x:c>
      <x:c r="L253" t="str">
        <x:f>IF(COUNTA(A253:F253)=0,"",LEN(A253)&amp;":"&amp;A253&amp;LEN(B253)&amp;":"&amp;B253&amp;LEN(C253)&amp;":"&amp;C253&amp;LEN(D253)&amp;":"&amp;D253)</x:f>
      </x:c>
      <x:c r="M253" t="str">
        <x:f>IF(COUNTA(A253:F253)=0,"",IF(ISNUMBER(E253),1,0))</x:f>
      </x:c>
    </x:row>
    <x:row r="254">
      <x:c r="A254" s="11"/>
      <x:c r="B254" s="11"/>
      <x:c r="C254" s="11"/>
      <x:c r="D254" s="11"/>
      <x:c r="E254" s="12"/>
      <x:c r="F254" s="10"/>
      <x:c r="G254" s="2" t="str">
        <x:f>IF(COUNTA(A254:F254)=0,"",COUNTIFS('App Data'!$L$2:$L$1001,SUBSTITUTE(SUBSTITUTE(SUBSTITUTE(L254,"~","~~"),"*","~*"),"?","~?")))</x:f>
      </x:c>
      <x:c r="H254" s="2" t="str">
        <x:f>IF(COUNTA(A254:F254)=0,"",COUNTIFS('External Data'!$L$2:$L$1001,SUBSTITUTE(SUBSTITUTE(SUBSTITUTE(L254,"~","~~"),"*","~*"),"?","~?")))</x:f>
      </x:c>
      <x:c r="I254" s="13" t="str">
        <x:f>IF(OR(H254&lt;&gt;1,G254&lt;&gt;1),"",SUMIFS('External Data'!$E$2:$E$1001,'External Data'!$L$2:$L$1001,SUBSTITUTE(SUBSTITUTE(SUBSTITUTE(L254,"~","~~"),"*","~*"),"?","~?")))</x:f>
      </x:c>
      <x:c r="J254" s="13" t="str">
        <x:f>IF(OR(NOT(ISNUMBER(E254)),NOT(ISNUMBER(I254))),"",ROUND(E254-I254,2))</x:f>
      </x:c>
      <x:c r="K254" s="2" t="str">
        <x:f>IF(COUNTA(A254:F254)=0,"",IF(OR(A254="",B254="",C254="",D254="",NOT(ISNUMBER(E254))),"Missing / invalid input",IF(G254&gt;1,"Duplicate key in this source",IF(H254=0,"Missing in other source",IF(H254&gt;1,"Duplicate in other source",IF(SUMIFS('External Data'!$M$2:$M$1001,'External Data'!$L$2:$L$1001,SUBSTITUTE(SUBSTITUTE(SUBSTITUTE(L254,"~","~~"),"*","~*"),"?","~?"))&lt;&gt;1,"Other amount is invalid",IF(J254&lt;&gt;0,"Amount differs","Matched")))))))</x:f>
      </x:c>
      <x:c r="L254" t="str">
        <x:f>IF(COUNTA(A254:F254)=0,"",LEN(A254)&amp;":"&amp;A254&amp;LEN(B254)&amp;":"&amp;B254&amp;LEN(C254)&amp;":"&amp;C254&amp;LEN(D254)&amp;":"&amp;D254)</x:f>
      </x:c>
      <x:c r="M254" t="str">
        <x:f>IF(COUNTA(A254:F254)=0,"",IF(ISNUMBER(E254),1,0))</x:f>
      </x:c>
    </x:row>
    <x:row r="255">
      <x:c r="A255" s="11"/>
      <x:c r="B255" s="11"/>
      <x:c r="C255" s="11"/>
      <x:c r="D255" s="11"/>
      <x:c r="E255" s="12"/>
      <x:c r="F255" s="10"/>
      <x:c r="G255" s="2" t="str">
        <x:f>IF(COUNTA(A255:F255)=0,"",COUNTIFS('App Data'!$L$2:$L$1001,SUBSTITUTE(SUBSTITUTE(SUBSTITUTE(L255,"~","~~"),"*","~*"),"?","~?")))</x:f>
      </x:c>
      <x:c r="H255" s="2" t="str">
        <x:f>IF(COUNTA(A255:F255)=0,"",COUNTIFS('External Data'!$L$2:$L$1001,SUBSTITUTE(SUBSTITUTE(SUBSTITUTE(L255,"~","~~"),"*","~*"),"?","~?")))</x:f>
      </x:c>
      <x:c r="I255" s="13" t="str">
        <x:f>IF(OR(H255&lt;&gt;1,G255&lt;&gt;1),"",SUMIFS('External Data'!$E$2:$E$1001,'External Data'!$L$2:$L$1001,SUBSTITUTE(SUBSTITUTE(SUBSTITUTE(L255,"~","~~"),"*","~*"),"?","~?")))</x:f>
      </x:c>
      <x:c r="J255" s="13" t="str">
        <x:f>IF(OR(NOT(ISNUMBER(E255)),NOT(ISNUMBER(I255))),"",ROUND(E255-I255,2))</x:f>
      </x:c>
      <x:c r="K255" s="2" t="str">
        <x:f>IF(COUNTA(A255:F255)=0,"",IF(OR(A255="",B255="",C255="",D255="",NOT(ISNUMBER(E255))),"Missing / invalid input",IF(G255&gt;1,"Duplicate key in this source",IF(H255=0,"Missing in other source",IF(H255&gt;1,"Duplicate in other source",IF(SUMIFS('External Data'!$M$2:$M$1001,'External Data'!$L$2:$L$1001,SUBSTITUTE(SUBSTITUTE(SUBSTITUTE(L255,"~","~~"),"*","~*"),"?","~?"))&lt;&gt;1,"Other amount is invalid",IF(J255&lt;&gt;0,"Amount differs","Matched")))))))</x:f>
      </x:c>
      <x:c r="L255" t="str">
        <x:f>IF(COUNTA(A255:F255)=0,"",LEN(A255)&amp;":"&amp;A255&amp;LEN(B255)&amp;":"&amp;B255&amp;LEN(C255)&amp;":"&amp;C255&amp;LEN(D255)&amp;":"&amp;D255)</x:f>
      </x:c>
      <x:c r="M255" t="str">
        <x:f>IF(COUNTA(A255:F255)=0,"",IF(ISNUMBER(E255),1,0))</x:f>
      </x:c>
    </x:row>
    <x:row r="256">
      <x:c r="A256" s="11"/>
      <x:c r="B256" s="11"/>
      <x:c r="C256" s="11"/>
      <x:c r="D256" s="11"/>
      <x:c r="E256" s="12"/>
      <x:c r="F256" s="10"/>
      <x:c r="G256" s="2" t="str">
        <x:f>IF(COUNTA(A256:F256)=0,"",COUNTIFS('App Data'!$L$2:$L$1001,SUBSTITUTE(SUBSTITUTE(SUBSTITUTE(L256,"~","~~"),"*","~*"),"?","~?")))</x:f>
      </x:c>
      <x:c r="H256" s="2" t="str">
        <x:f>IF(COUNTA(A256:F256)=0,"",COUNTIFS('External Data'!$L$2:$L$1001,SUBSTITUTE(SUBSTITUTE(SUBSTITUTE(L256,"~","~~"),"*","~*"),"?","~?")))</x:f>
      </x:c>
      <x:c r="I256" s="13" t="str">
        <x:f>IF(OR(H256&lt;&gt;1,G256&lt;&gt;1),"",SUMIFS('External Data'!$E$2:$E$1001,'External Data'!$L$2:$L$1001,SUBSTITUTE(SUBSTITUTE(SUBSTITUTE(L256,"~","~~"),"*","~*"),"?","~?")))</x:f>
      </x:c>
      <x:c r="J256" s="13" t="str">
        <x:f>IF(OR(NOT(ISNUMBER(E256)),NOT(ISNUMBER(I256))),"",ROUND(E256-I256,2))</x:f>
      </x:c>
      <x:c r="K256" s="2" t="str">
        <x:f>IF(COUNTA(A256:F256)=0,"",IF(OR(A256="",B256="",C256="",D256="",NOT(ISNUMBER(E256))),"Missing / invalid input",IF(G256&gt;1,"Duplicate key in this source",IF(H256=0,"Missing in other source",IF(H256&gt;1,"Duplicate in other source",IF(SUMIFS('External Data'!$M$2:$M$1001,'External Data'!$L$2:$L$1001,SUBSTITUTE(SUBSTITUTE(SUBSTITUTE(L256,"~","~~"),"*","~*"),"?","~?"))&lt;&gt;1,"Other amount is invalid",IF(J256&lt;&gt;0,"Amount differs","Matched")))))))</x:f>
      </x:c>
      <x:c r="L256" t="str">
        <x:f>IF(COUNTA(A256:F256)=0,"",LEN(A256)&amp;":"&amp;A256&amp;LEN(B256)&amp;":"&amp;B256&amp;LEN(C256)&amp;":"&amp;C256&amp;LEN(D256)&amp;":"&amp;D256)</x:f>
      </x:c>
      <x:c r="M256" t="str">
        <x:f>IF(COUNTA(A256:F256)=0,"",IF(ISNUMBER(E256),1,0))</x:f>
      </x:c>
    </x:row>
    <x:row r="257">
      <x:c r="A257" s="11"/>
      <x:c r="B257" s="11"/>
      <x:c r="C257" s="11"/>
      <x:c r="D257" s="11"/>
      <x:c r="E257" s="12"/>
      <x:c r="F257" s="10"/>
      <x:c r="G257" s="2" t="str">
        <x:f>IF(COUNTA(A257:F257)=0,"",COUNTIFS('App Data'!$L$2:$L$1001,SUBSTITUTE(SUBSTITUTE(SUBSTITUTE(L257,"~","~~"),"*","~*"),"?","~?")))</x:f>
      </x:c>
      <x:c r="H257" s="2" t="str">
        <x:f>IF(COUNTA(A257:F257)=0,"",COUNTIFS('External Data'!$L$2:$L$1001,SUBSTITUTE(SUBSTITUTE(SUBSTITUTE(L257,"~","~~"),"*","~*"),"?","~?")))</x:f>
      </x:c>
      <x:c r="I257" s="13" t="str">
        <x:f>IF(OR(H257&lt;&gt;1,G257&lt;&gt;1),"",SUMIFS('External Data'!$E$2:$E$1001,'External Data'!$L$2:$L$1001,SUBSTITUTE(SUBSTITUTE(SUBSTITUTE(L257,"~","~~"),"*","~*"),"?","~?")))</x:f>
      </x:c>
      <x:c r="J257" s="13" t="str">
        <x:f>IF(OR(NOT(ISNUMBER(E257)),NOT(ISNUMBER(I257))),"",ROUND(E257-I257,2))</x:f>
      </x:c>
      <x:c r="K257" s="2" t="str">
        <x:f>IF(COUNTA(A257:F257)=0,"",IF(OR(A257="",B257="",C257="",D257="",NOT(ISNUMBER(E257))),"Missing / invalid input",IF(G257&gt;1,"Duplicate key in this source",IF(H257=0,"Missing in other source",IF(H257&gt;1,"Duplicate in other source",IF(SUMIFS('External Data'!$M$2:$M$1001,'External Data'!$L$2:$L$1001,SUBSTITUTE(SUBSTITUTE(SUBSTITUTE(L257,"~","~~"),"*","~*"),"?","~?"))&lt;&gt;1,"Other amount is invalid",IF(J257&lt;&gt;0,"Amount differs","Matched")))))))</x:f>
      </x:c>
      <x:c r="L257" t="str">
        <x:f>IF(COUNTA(A257:F257)=0,"",LEN(A257)&amp;":"&amp;A257&amp;LEN(B257)&amp;":"&amp;B257&amp;LEN(C257)&amp;":"&amp;C257&amp;LEN(D257)&amp;":"&amp;D257)</x:f>
      </x:c>
      <x:c r="M257" t="str">
        <x:f>IF(COUNTA(A257:F257)=0,"",IF(ISNUMBER(E257),1,0))</x:f>
      </x:c>
    </x:row>
    <x:row r="258">
      <x:c r="A258" s="11"/>
      <x:c r="B258" s="11"/>
      <x:c r="C258" s="11"/>
      <x:c r="D258" s="11"/>
      <x:c r="E258" s="12"/>
      <x:c r="F258" s="10"/>
      <x:c r="G258" s="2" t="str">
        <x:f>IF(COUNTA(A258:F258)=0,"",COUNTIFS('App Data'!$L$2:$L$1001,SUBSTITUTE(SUBSTITUTE(SUBSTITUTE(L258,"~","~~"),"*","~*"),"?","~?")))</x:f>
      </x:c>
      <x:c r="H258" s="2" t="str">
        <x:f>IF(COUNTA(A258:F258)=0,"",COUNTIFS('External Data'!$L$2:$L$1001,SUBSTITUTE(SUBSTITUTE(SUBSTITUTE(L258,"~","~~"),"*","~*"),"?","~?")))</x:f>
      </x:c>
      <x:c r="I258" s="13" t="str">
        <x:f>IF(OR(H258&lt;&gt;1,G258&lt;&gt;1),"",SUMIFS('External Data'!$E$2:$E$1001,'External Data'!$L$2:$L$1001,SUBSTITUTE(SUBSTITUTE(SUBSTITUTE(L258,"~","~~"),"*","~*"),"?","~?")))</x:f>
      </x:c>
      <x:c r="J258" s="13" t="str">
        <x:f>IF(OR(NOT(ISNUMBER(E258)),NOT(ISNUMBER(I258))),"",ROUND(E258-I258,2))</x:f>
      </x:c>
      <x:c r="K258" s="2" t="str">
        <x:f>IF(COUNTA(A258:F258)=0,"",IF(OR(A258="",B258="",C258="",D258="",NOT(ISNUMBER(E258))),"Missing / invalid input",IF(G258&gt;1,"Duplicate key in this source",IF(H258=0,"Missing in other source",IF(H258&gt;1,"Duplicate in other source",IF(SUMIFS('External Data'!$M$2:$M$1001,'External Data'!$L$2:$L$1001,SUBSTITUTE(SUBSTITUTE(SUBSTITUTE(L258,"~","~~"),"*","~*"),"?","~?"))&lt;&gt;1,"Other amount is invalid",IF(J258&lt;&gt;0,"Amount differs","Matched")))))))</x:f>
      </x:c>
      <x:c r="L258" t="str">
        <x:f>IF(COUNTA(A258:F258)=0,"",LEN(A258)&amp;":"&amp;A258&amp;LEN(B258)&amp;":"&amp;B258&amp;LEN(C258)&amp;":"&amp;C258&amp;LEN(D258)&amp;":"&amp;D258)</x:f>
      </x:c>
      <x:c r="M258" t="str">
        <x:f>IF(COUNTA(A258:F258)=0,"",IF(ISNUMBER(E258),1,0))</x:f>
      </x:c>
    </x:row>
    <x:row r="259">
      <x:c r="A259" s="11"/>
      <x:c r="B259" s="11"/>
      <x:c r="C259" s="11"/>
      <x:c r="D259" s="11"/>
      <x:c r="E259" s="12"/>
      <x:c r="F259" s="10"/>
      <x:c r="G259" s="2" t="str">
        <x:f>IF(COUNTA(A259:F259)=0,"",COUNTIFS('App Data'!$L$2:$L$1001,SUBSTITUTE(SUBSTITUTE(SUBSTITUTE(L259,"~","~~"),"*","~*"),"?","~?")))</x:f>
      </x:c>
      <x:c r="H259" s="2" t="str">
        <x:f>IF(COUNTA(A259:F259)=0,"",COUNTIFS('External Data'!$L$2:$L$1001,SUBSTITUTE(SUBSTITUTE(SUBSTITUTE(L259,"~","~~"),"*","~*"),"?","~?")))</x:f>
      </x:c>
      <x:c r="I259" s="13" t="str">
        <x:f>IF(OR(H259&lt;&gt;1,G259&lt;&gt;1),"",SUMIFS('External Data'!$E$2:$E$1001,'External Data'!$L$2:$L$1001,SUBSTITUTE(SUBSTITUTE(SUBSTITUTE(L259,"~","~~"),"*","~*"),"?","~?")))</x:f>
      </x:c>
      <x:c r="J259" s="13" t="str">
        <x:f>IF(OR(NOT(ISNUMBER(E259)),NOT(ISNUMBER(I259))),"",ROUND(E259-I259,2))</x:f>
      </x:c>
      <x:c r="K259" s="2" t="str">
        <x:f>IF(COUNTA(A259:F259)=0,"",IF(OR(A259="",B259="",C259="",D259="",NOT(ISNUMBER(E259))),"Missing / invalid input",IF(G259&gt;1,"Duplicate key in this source",IF(H259=0,"Missing in other source",IF(H259&gt;1,"Duplicate in other source",IF(SUMIFS('External Data'!$M$2:$M$1001,'External Data'!$L$2:$L$1001,SUBSTITUTE(SUBSTITUTE(SUBSTITUTE(L259,"~","~~"),"*","~*"),"?","~?"))&lt;&gt;1,"Other amount is invalid",IF(J259&lt;&gt;0,"Amount differs","Matched")))))))</x:f>
      </x:c>
      <x:c r="L259" t="str">
        <x:f>IF(COUNTA(A259:F259)=0,"",LEN(A259)&amp;":"&amp;A259&amp;LEN(B259)&amp;":"&amp;B259&amp;LEN(C259)&amp;":"&amp;C259&amp;LEN(D259)&amp;":"&amp;D259)</x:f>
      </x:c>
      <x:c r="M259" t="str">
        <x:f>IF(COUNTA(A259:F259)=0,"",IF(ISNUMBER(E259),1,0))</x:f>
      </x:c>
    </x:row>
    <x:row r="260">
      <x:c r="A260" s="11"/>
      <x:c r="B260" s="11"/>
      <x:c r="C260" s="11"/>
      <x:c r="D260" s="11"/>
      <x:c r="E260" s="12"/>
      <x:c r="F260" s="10"/>
      <x:c r="G260" s="2" t="str">
        <x:f>IF(COUNTA(A260:F260)=0,"",COUNTIFS('App Data'!$L$2:$L$1001,SUBSTITUTE(SUBSTITUTE(SUBSTITUTE(L260,"~","~~"),"*","~*"),"?","~?")))</x:f>
      </x:c>
      <x:c r="H260" s="2" t="str">
        <x:f>IF(COUNTA(A260:F260)=0,"",COUNTIFS('External Data'!$L$2:$L$1001,SUBSTITUTE(SUBSTITUTE(SUBSTITUTE(L260,"~","~~"),"*","~*"),"?","~?")))</x:f>
      </x:c>
      <x:c r="I260" s="13" t="str">
        <x:f>IF(OR(H260&lt;&gt;1,G260&lt;&gt;1),"",SUMIFS('External Data'!$E$2:$E$1001,'External Data'!$L$2:$L$1001,SUBSTITUTE(SUBSTITUTE(SUBSTITUTE(L260,"~","~~"),"*","~*"),"?","~?")))</x:f>
      </x:c>
      <x:c r="J260" s="13" t="str">
        <x:f>IF(OR(NOT(ISNUMBER(E260)),NOT(ISNUMBER(I260))),"",ROUND(E260-I260,2))</x:f>
      </x:c>
      <x:c r="K260" s="2" t="str">
        <x:f>IF(COUNTA(A260:F260)=0,"",IF(OR(A260="",B260="",C260="",D260="",NOT(ISNUMBER(E260))),"Missing / invalid input",IF(G260&gt;1,"Duplicate key in this source",IF(H260=0,"Missing in other source",IF(H260&gt;1,"Duplicate in other source",IF(SUMIFS('External Data'!$M$2:$M$1001,'External Data'!$L$2:$L$1001,SUBSTITUTE(SUBSTITUTE(SUBSTITUTE(L260,"~","~~"),"*","~*"),"?","~?"))&lt;&gt;1,"Other amount is invalid",IF(J260&lt;&gt;0,"Amount differs","Matched")))))))</x:f>
      </x:c>
      <x:c r="L260" t="str">
        <x:f>IF(COUNTA(A260:F260)=0,"",LEN(A260)&amp;":"&amp;A260&amp;LEN(B260)&amp;":"&amp;B260&amp;LEN(C260)&amp;":"&amp;C260&amp;LEN(D260)&amp;":"&amp;D260)</x:f>
      </x:c>
      <x:c r="M260" t="str">
        <x:f>IF(COUNTA(A260:F260)=0,"",IF(ISNUMBER(E260),1,0))</x:f>
      </x:c>
    </x:row>
    <x:row r="261">
      <x:c r="A261" s="11"/>
      <x:c r="B261" s="11"/>
      <x:c r="C261" s="11"/>
      <x:c r="D261" s="11"/>
      <x:c r="E261" s="12"/>
      <x:c r="F261" s="10"/>
      <x:c r="G261" s="2" t="str">
        <x:f>IF(COUNTA(A261:F261)=0,"",COUNTIFS('App Data'!$L$2:$L$1001,SUBSTITUTE(SUBSTITUTE(SUBSTITUTE(L261,"~","~~"),"*","~*"),"?","~?")))</x:f>
      </x:c>
      <x:c r="H261" s="2" t="str">
        <x:f>IF(COUNTA(A261:F261)=0,"",COUNTIFS('External Data'!$L$2:$L$1001,SUBSTITUTE(SUBSTITUTE(SUBSTITUTE(L261,"~","~~"),"*","~*"),"?","~?")))</x:f>
      </x:c>
      <x:c r="I261" s="13" t="str">
        <x:f>IF(OR(H261&lt;&gt;1,G261&lt;&gt;1),"",SUMIFS('External Data'!$E$2:$E$1001,'External Data'!$L$2:$L$1001,SUBSTITUTE(SUBSTITUTE(SUBSTITUTE(L261,"~","~~"),"*","~*"),"?","~?")))</x:f>
      </x:c>
      <x:c r="J261" s="13" t="str">
        <x:f>IF(OR(NOT(ISNUMBER(E261)),NOT(ISNUMBER(I261))),"",ROUND(E261-I261,2))</x:f>
      </x:c>
      <x:c r="K261" s="2" t="str">
        <x:f>IF(COUNTA(A261:F261)=0,"",IF(OR(A261="",B261="",C261="",D261="",NOT(ISNUMBER(E261))),"Missing / invalid input",IF(G261&gt;1,"Duplicate key in this source",IF(H261=0,"Missing in other source",IF(H261&gt;1,"Duplicate in other source",IF(SUMIFS('External Data'!$M$2:$M$1001,'External Data'!$L$2:$L$1001,SUBSTITUTE(SUBSTITUTE(SUBSTITUTE(L261,"~","~~"),"*","~*"),"?","~?"))&lt;&gt;1,"Other amount is invalid",IF(J261&lt;&gt;0,"Amount differs","Matched")))))))</x:f>
      </x:c>
      <x:c r="L261" t="str">
        <x:f>IF(COUNTA(A261:F261)=0,"",LEN(A261)&amp;":"&amp;A261&amp;LEN(B261)&amp;":"&amp;B261&amp;LEN(C261)&amp;":"&amp;C261&amp;LEN(D261)&amp;":"&amp;D261)</x:f>
      </x:c>
      <x:c r="M261" t="str">
        <x:f>IF(COUNTA(A261:F261)=0,"",IF(ISNUMBER(E261),1,0))</x:f>
      </x:c>
    </x:row>
    <x:row r="262">
      <x:c r="A262" s="11"/>
      <x:c r="B262" s="11"/>
      <x:c r="C262" s="11"/>
      <x:c r="D262" s="11"/>
      <x:c r="E262" s="12"/>
      <x:c r="F262" s="10"/>
      <x:c r="G262" s="2" t="str">
        <x:f>IF(COUNTA(A262:F262)=0,"",COUNTIFS('App Data'!$L$2:$L$1001,SUBSTITUTE(SUBSTITUTE(SUBSTITUTE(L262,"~","~~"),"*","~*"),"?","~?")))</x:f>
      </x:c>
      <x:c r="H262" s="2" t="str">
        <x:f>IF(COUNTA(A262:F262)=0,"",COUNTIFS('External Data'!$L$2:$L$1001,SUBSTITUTE(SUBSTITUTE(SUBSTITUTE(L262,"~","~~"),"*","~*"),"?","~?")))</x:f>
      </x:c>
      <x:c r="I262" s="13" t="str">
        <x:f>IF(OR(H262&lt;&gt;1,G262&lt;&gt;1),"",SUMIFS('External Data'!$E$2:$E$1001,'External Data'!$L$2:$L$1001,SUBSTITUTE(SUBSTITUTE(SUBSTITUTE(L262,"~","~~"),"*","~*"),"?","~?")))</x:f>
      </x:c>
      <x:c r="J262" s="13" t="str">
        <x:f>IF(OR(NOT(ISNUMBER(E262)),NOT(ISNUMBER(I262))),"",ROUND(E262-I262,2))</x:f>
      </x:c>
      <x:c r="K262" s="2" t="str">
        <x:f>IF(COUNTA(A262:F262)=0,"",IF(OR(A262="",B262="",C262="",D262="",NOT(ISNUMBER(E262))),"Missing / invalid input",IF(G262&gt;1,"Duplicate key in this source",IF(H262=0,"Missing in other source",IF(H262&gt;1,"Duplicate in other source",IF(SUMIFS('External Data'!$M$2:$M$1001,'External Data'!$L$2:$L$1001,SUBSTITUTE(SUBSTITUTE(SUBSTITUTE(L262,"~","~~"),"*","~*"),"?","~?"))&lt;&gt;1,"Other amount is invalid",IF(J262&lt;&gt;0,"Amount differs","Matched")))))))</x:f>
      </x:c>
      <x:c r="L262" t="str">
        <x:f>IF(COUNTA(A262:F262)=0,"",LEN(A262)&amp;":"&amp;A262&amp;LEN(B262)&amp;":"&amp;B262&amp;LEN(C262)&amp;":"&amp;C262&amp;LEN(D262)&amp;":"&amp;D262)</x:f>
      </x:c>
      <x:c r="M262" t="str">
        <x:f>IF(COUNTA(A262:F262)=0,"",IF(ISNUMBER(E262),1,0))</x:f>
      </x:c>
    </x:row>
    <x:row r="263">
      <x:c r="A263" s="11"/>
      <x:c r="B263" s="11"/>
      <x:c r="C263" s="11"/>
      <x:c r="D263" s="11"/>
      <x:c r="E263" s="12"/>
      <x:c r="F263" s="10"/>
      <x:c r="G263" s="2" t="str">
        <x:f>IF(COUNTA(A263:F263)=0,"",COUNTIFS('App Data'!$L$2:$L$1001,SUBSTITUTE(SUBSTITUTE(SUBSTITUTE(L263,"~","~~"),"*","~*"),"?","~?")))</x:f>
      </x:c>
      <x:c r="H263" s="2" t="str">
        <x:f>IF(COUNTA(A263:F263)=0,"",COUNTIFS('External Data'!$L$2:$L$1001,SUBSTITUTE(SUBSTITUTE(SUBSTITUTE(L263,"~","~~"),"*","~*"),"?","~?")))</x:f>
      </x:c>
      <x:c r="I263" s="13" t="str">
        <x:f>IF(OR(H263&lt;&gt;1,G263&lt;&gt;1),"",SUMIFS('External Data'!$E$2:$E$1001,'External Data'!$L$2:$L$1001,SUBSTITUTE(SUBSTITUTE(SUBSTITUTE(L263,"~","~~"),"*","~*"),"?","~?")))</x:f>
      </x:c>
      <x:c r="J263" s="13" t="str">
        <x:f>IF(OR(NOT(ISNUMBER(E263)),NOT(ISNUMBER(I263))),"",ROUND(E263-I263,2))</x:f>
      </x:c>
      <x:c r="K263" s="2" t="str">
        <x:f>IF(COUNTA(A263:F263)=0,"",IF(OR(A263="",B263="",C263="",D263="",NOT(ISNUMBER(E263))),"Missing / invalid input",IF(G263&gt;1,"Duplicate key in this source",IF(H263=0,"Missing in other source",IF(H263&gt;1,"Duplicate in other source",IF(SUMIFS('External Data'!$M$2:$M$1001,'External Data'!$L$2:$L$1001,SUBSTITUTE(SUBSTITUTE(SUBSTITUTE(L263,"~","~~"),"*","~*"),"?","~?"))&lt;&gt;1,"Other amount is invalid",IF(J263&lt;&gt;0,"Amount differs","Matched")))))))</x:f>
      </x:c>
      <x:c r="L263" t="str">
        <x:f>IF(COUNTA(A263:F263)=0,"",LEN(A263)&amp;":"&amp;A263&amp;LEN(B263)&amp;":"&amp;B263&amp;LEN(C263)&amp;":"&amp;C263&amp;LEN(D263)&amp;":"&amp;D263)</x:f>
      </x:c>
      <x:c r="M263" t="str">
        <x:f>IF(COUNTA(A263:F263)=0,"",IF(ISNUMBER(E263),1,0))</x:f>
      </x:c>
    </x:row>
    <x:row r="264">
      <x:c r="A264" s="11"/>
      <x:c r="B264" s="11"/>
      <x:c r="C264" s="11"/>
      <x:c r="D264" s="11"/>
      <x:c r="E264" s="12"/>
      <x:c r="F264" s="10"/>
      <x:c r="G264" s="2" t="str">
        <x:f>IF(COUNTA(A264:F264)=0,"",COUNTIFS('App Data'!$L$2:$L$1001,SUBSTITUTE(SUBSTITUTE(SUBSTITUTE(L264,"~","~~"),"*","~*"),"?","~?")))</x:f>
      </x:c>
      <x:c r="H264" s="2" t="str">
        <x:f>IF(COUNTA(A264:F264)=0,"",COUNTIFS('External Data'!$L$2:$L$1001,SUBSTITUTE(SUBSTITUTE(SUBSTITUTE(L264,"~","~~"),"*","~*"),"?","~?")))</x:f>
      </x:c>
      <x:c r="I264" s="13" t="str">
        <x:f>IF(OR(H264&lt;&gt;1,G264&lt;&gt;1),"",SUMIFS('External Data'!$E$2:$E$1001,'External Data'!$L$2:$L$1001,SUBSTITUTE(SUBSTITUTE(SUBSTITUTE(L264,"~","~~"),"*","~*"),"?","~?")))</x:f>
      </x:c>
      <x:c r="J264" s="13" t="str">
        <x:f>IF(OR(NOT(ISNUMBER(E264)),NOT(ISNUMBER(I264))),"",ROUND(E264-I264,2))</x:f>
      </x:c>
      <x:c r="K264" s="2" t="str">
        <x:f>IF(COUNTA(A264:F264)=0,"",IF(OR(A264="",B264="",C264="",D264="",NOT(ISNUMBER(E264))),"Missing / invalid input",IF(G264&gt;1,"Duplicate key in this source",IF(H264=0,"Missing in other source",IF(H264&gt;1,"Duplicate in other source",IF(SUMIFS('External Data'!$M$2:$M$1001,'External Data'!$L$2:$L$1001,SUBSTITUTE(SUBSTITUTE(SUBSTITUTE(L264,"~","~~"),"*","~*"),"?","~?"))&lt;&gt;1,"Other amount is invalid",IF(J264&lt;&gt;0,"Amount differs","Matched")))))))</x:f>
      </x:c>
      <x:c r="L264" t="str">
        <x:f>IF(COUNTA(A264:F264)=0,"",LEN(A264)&amp;":"&amp;A264&amp;LEN(B264)&amp;":"&amp;B264&amp;LEN(C264)&amp;":"&amp;C264&amp;LEN(D264)&amp;":"&amp;D264)</x:f>
      </x:c>
      <x:c r="M264" t="str">
        <x:f>IF(COUNTA(A264:F264)=0,"",IF(ISNUMBER(E264),1,0))</x:f>
      </x:c>
    </x:row>
    <x:row r="265">
      <x:c r="A265" s="11"/>
      <x:c r="B265" s="11"/>
      <x:c r="C265" s="11"/>
      <x:c r="D265" s="11"/>
      <x:c r="E265" s="12"/>
      <x:c r="F265" s="10"/>
      <x:c r="G265" s="2" t="str">
        <x:f>IF(COUNTA(A265:F265)=0,"",COUNTIFS('App Data'!$L$2:$L$1001,SUBSTITUTE(SUBSTITUTE(SUBSTITUTE(L265,"~","~~"),"*","~*"),"?","~?")))</x:f>
      </x:c>
      <x:c r="H265" s="2" t="str">
        <x:f>IF(COUNTA(A265:F265)=0,"",COUNTIFS('External Data'!$L$2:$L$1001,SUBSTITUTE(SUBSTITUTE(SUBSTITUTE(L265,"~","~~"),"*","~*"),"?","~?")))</x:f>
      </x:c>
      <x:c r="I265" s="13" t="str">
        <x:f>IF(OR(H265&lt;&gt;1,G265&lt;&gt;1),"",SUMIFS('External Data'!$E$2:$E$1001,'External Data'!$L$2:$L$1001,SUBSTITUTE(SUBSTITUTE(SUBSTITUTE(L265,"~","~~"),"*","~*"),"?","~?")))</x:f>
      </x:c>
      <x:c r="J265" s="13" t="str">
        <x:f>IF(OR(NOT(ISNUMBER(E265)),NOT(ISNUMBER(I265))),"",ROUND(E265-I265,2))</x:f>
      </x:c>
      <x:c r="K265" s="2" t="str">
        <x:f>IF(COUNTA(A265:F265)=0,"",IF(OR(A265="",B265="",C265="",D265="",NOT(ISNUMBER(E265))),"Missing / invalid input",IF(G265&gt;1,"Duplicate key in this source",IF(H265=0,"Missing in other source",IF(H265&gt;1,"Duplicate in other source",IF(SUMIFS('External Data'!$M$2:$M$1001,'External Data'!$L$2:$L$1001,SUBSTITUTE(SUBSTITUTE(SUBSTITUTE(L265,"~","~~"),"*","~*"),"?","~?"))&lt;&gt;1,"Other amount is invalid",IF(J265&lt;&gt;0,"Amount differs","Matched")))))))</x:f>
      </x:c>
      <x:c r="L265" t="str">
        <x:f>IF(COUNTA(A265:F265)=0,"",LEN(A265)&amp;":"&amp;A265&amp;LEN(B265)&amp;":"&amp;B265&amp;LEN(C265)&amp;":"&amp;C265&amp;LEN(D265)&amp;":"&amp;D265)</x:f>
      </x:c>
      <x:c r="M265" t="str">
        <x:f>IF(COUNTA(A265:F265)=0,"",IF(ISNUMBER(E265),1,0))</x:f>
      </x:c>
    </x:row>
    <x:row r="266">
      <x:c r="A266" s="11"/>
      <x:c r="B266" s="11"/>
      <x:c r="C266" s="11"/>
      <x:c r="D266" s="11"/>
      <x:c r="E266" s="12"/>
      <x:c r="F266" s="10"/>
      <x:c r="G266" s="2" t="str">
        <x:f>IF(COUNTA(A266:F266)=0,"",COUNTIFS('App Data'!$L$2:$L$1001,SUBSTITUTE(SUBSTITUTE(SUBSTITUTE(L266,"~","~~"),"*","~*"),"?","~?")))</x:f>
      </x:c>
      <x:c r="H266" s="2" t="str">
        <x:f>IF(COUNTA(A266:F266)=0,"",COUNTIFS('External Data'!$L$2:$L$1001,SUBSTITUTE(SUBSTITUTE(SUBSTITUTE(L266,"~","~~"),"*","~*"),"?","~?")))</x:f>
      </x:c>
      <x:c r="I266" s="13" t="str">
        <x:f>IF(OR(H266&lt;&gt;1,G266&lt;&gt;1),"",SUMIFS('External Data'!$E$2:$E$1001,'External Data'!$L$2:$L$1001,SUBSTITUTE(SUBSTITUTE(SUBSTITUTE(L266,"~","~~"),"*","~*"),"?","~?")))</x:f>
      </x:c>
      <x:c r="J266" s="13" t="str">
        <x:f>IF(OR(NOT(ISNUMBER(E266)),NOT(ISNUMBER(I266))),"",ROUND(E266-I266,2))</x:f>
      </x:c>
      <x:c r="K266" s="2" t="str">
        <x:f>IF(COUNTA(A266:F266)=0,"",IF(OR(A266="",B266="",C266="",D266="",NOT(ISNUMBER(E266))),"Missing / invalid input",IF(G266&gt;1,"Duplicate key in this source",IF(H266=0,"Missing in other source",IF(H266&gt;1,"Duplicate in other source",IF(SUMIFS('External Data'!$M$2:$M$1001,'External Data'!$L$2:$L$1001,SUBSTITUTE(SUBSTITUTE(SUBSTITUTE(L266,"~","~~"),"*","~*"),"?","~?"))&lt;&gt;1,"Other amount is invalid",IF(J266&lt;&gt;0,"Amount differs","Matched")))))))</x:f>
      </x:c>
      <x:c r="L266" t="str">
        <x:f>IF(COUNTA(A266:F266)=0,"",LEN(A266)&amp;":"&amp;A266&amp;LEN(B266)&amp;":"&amp;B266&amp;LEN(C266)&amp;":"&amp;C266&amp;LEN(D266)&amp;":"&amp;D266)</x:f>
      </x:c>
      <x:c r="M266" t="str">
        <x:f>IF(COUNTA(A266:F266)=0,"",IF(ISNUMBER(E266),1,0))</x:f>
      </x:c>
    </x:row>
    <x:row r="267">
      <x:c r="A267" s="11"/>
      <x:c r="B267" s="11"/>
      <x:c r="C267" s="11"/>
      <x:c r="D267" s="11"/>
      <x:c r="E267" s="12"/>
      <x:c r="F267" s="10"/>
      <x:c r="G267" s="2" t="str">
        <x:f>IF(COUNTA(A267:F267)=0,"",COUNTIFS('App Data'!$L$2:$L$1001,SUBSTITUTE(SUBSTITUTE(SUBSTITUTE(L267,"~","~~"),"*","~*"),"?","~?")))</x:f>
      </x:c>
      <x:c r="H267" s="2" t="str">
        <x:f>IF(COUNTA(A267:F267)=0,"",COUNTIFS('External Data'!$L$2:$L$1001,SUBSTITUTE(SUBSTITUTE(SUBSTITUTE(L267,"~","~~"),"*","~*"),"?","~?")))</x:f>
      </x:c>
      <x:c r="I267" s="13" t="str">
        <x:f>IF(OR(H267&lt;&gt;1,G267&lt;&gt;1),"",SUMIFS('External Data'!$E$2:$E$1001,'External Data'!$L$2:$L$1001,SUBSTITUTE(SUBSTITUTE(SUBSTITUTE(L267,"~","~~"),"*","~*"),"?","~?")))</x:f>
      </x:c>
      <x:c r="J267" s="13" t="str">
        <x:f>IF(OR(NOT(ISNUMBER(E267)),NOT(ISNUMBER(I267))),"",ROUND(E267-I267,2))</x:f>
      </x:c>
      <x:c r="K267" s="2" t="str">
        <x:f>IF(COUNTA(A267:F267)=0,"",IF(OR(A267="",B267="",C267="",D267="",NOT(ISNUMBER(E267))),"Missing / invalid input",IF(G267&gt;1,"Duplicate key in this source",IF(H267=0,"Missing in other source",IF(H267&gt;1,"Duplicate in other source",IF(SUMIFS('External Data'!$M$2:$M$1001,'External Data'!$L$2:$L$1001,SUBSTITUTE(SUBSTITUTE(SUBSTITUTE(L267,"~","~~"),"*","~*"),"?","~?"))&lt;&gt;1,"Other amount is invalid",IF(J267&lt;&gt;0,"Amount differs","Matched")))))))</x:f>
      </x:c>
      <x:c r="L267" t="str">
        <x:f>IF(COUNTA(A267:F267)=0,"",LEN(A267)&amp;":"&amp;A267&amp;LEN(B267)&amp;":"&amp;B267&amp;LEN(C267)&amp;":"&amp;C267&amp;LEN(D267)&amp;":"&amp;D267)</x:f>
      </x:c>
      <x:c r="M267" t="str">
        <x:f>IF(COUNTA(A267:F267)=0,"",IF(ISNUMBER(E267),1,0))</x:f>
      </x:c>
    </x:row>
    <x:row r="268">
      <x:c r="A268" s="11"/>
      <x:c r="B268" s="11"/>
      <x:c r="C268" s="11"/>
      <x:c r="D268" s="11"/>
      <x:c r="E268" s="12"/>
      <x:c r="F268" s="10"/>
      <x:c r="G268" s="2" t="str">
        <x:f>IF(COUNTA(A268:F268)=0,"",COUNTIFS('App Data'!$L$2:$L$1001,SUBSTITUTE(SUBSTITUTE(SUBSTITUTE(L268,"~","~~"),"*","~*"),"?","~?")))</x:f>
      </x:c>
      <x:c r="H268" s="2" t="str">
        <x:f>IF(COUNTA(A268:F268)=0,"",COUNTIFS('External Data'!$L$2:$L$1001,SUBSTITUTE(SUBSTITUTE(SUBSTITUTE(L268,"~","~~"),"*","~*"),"?","~?")))</x:f>
      </x:c>
      <x:c r="I268" s="13" t="str">
        <x:f>IF(OR(H268&lt;&gt;1,G268&lt;&gt;1),"",SUMIFS('External Data'!$E$2:$E$1001,'External Data'!$L$2:$L$1001,SUBSTITUTE(SUBSTITUTE(SUBSTITUTE(L268,"~","~~"),"*","~*"),"?","~?")))</x:f>
      </x:c>
      <x:c r="J268" s="13" t="str">
        <x:f>IF(OR(NOT(ISNUMBER(E268)),NOT(ISNUMBER(I268))),"",ROUND(E268-I268,2))</x:f>
      </x:c>
      <x:c r="K268" s="2" t="str">
        <x:f>IF(COUNTA(A268:F268)=0,"",IF(OR(A268="",B268="",C268="",D268="",NOT(ISNUMBER(E268))),"Missing / invalid input",IF(G268&gt;1,"Duplicate key in this source",IF(H268=0,"Missing in other source",IF(H268&gt;1,"Duplicate in other source",IF(SUMIFS('External Data'!$M$2:$M$1001,'External Data'!$L$2:$L$1001,SUBSTITUTE(SUBSTITUTE(SUBSTITUTE(L268,"~","~~"),"*","~*"),"?","~?"))&lt;&gt;1,"Other amount is invalid",IF(J268&lt;&gt;0,"Amount differs","Matched")))))))</x:f>
      </x:c>
      <x:c r="L268" t="str">
        <x:f>IF(COUNTA(A268:F268)=0,"",LEN(A268)&amp;":"&amp;A268&amp;LEN(B268)&amp;":"&amp;B268&amp;LEN(C268)&amp;":"&amp;C268&amp;LEN(D268)&amp;":"&amp;D268)</x:f>
      </x:c>
      <x:c r="M268" t="str">
        <x:f>IF(COUNTA(A268:F268)=0,"",IF(ISNUMBER(E268),1,0))</x:f>
      </x:c>
    </x:row>
    <x:row r="269">
      <x:c r="A269" s="11"/>
      <x:c r="B269" s="11"/>
      <x:c r="C269" s="11"/>
      <x:c r="D269" s="11"/>
      <x:c r="E269" s="12"/>
      <x:c r="F269" s="10"/>
      <x:c r="G269" s="2" t="str">
        <x:f>IF(COUNTA(A269:F269)=0,"",COUNTIFS('App Data'!$L$2:$L$1001,SUBSTITUTE(SUBSTITUTE(SUBSTITUTE(L269,"~","~~"),"*","~*"),"?","~?")))</x:f>
      </x:c>
      <x:c r="H269" s="2" t="str">
        <x:f>IF(COUNTA(A269:F269)=0,"",COUNTIFS('External Data'!$L$2:$L$1001,SUBSTITUTE(SUBSTITUTE(SUBSTITUTE(L269,"~","~~"),"*","~*"),"?","~?")))</x:f>
      </x:c>
      <x:c r="I269" s="13" t="str">
        <x:f>IF(OR(H269&lt;&gt;1,G269&lt;&gt;1),"",SUMIFS('External Data'!$E$2:$E$1001,'External Data'!$L$2:$L$1001,SUBSTITUTE(SUBSTITUTE(SUBSTITUTE(L269,"~","~~"),"*","~*"),"?","~?")))</x:f>
      </x:c>
      <x:c r="J269" s="13" t="str">
        <x:f>IF(OR(NOT(ISNUMBER(E269)),NOT(ISNUMBER(I269))),"",ROUND(E269-I269,2))</x:f>
      </x:c>
      <x:c r="K269" s="2" t="str">
        <x:f>IF(COUNTA(A269:F269)=0,"",IF(OR(A269="",B269="",C269="",D269="",NOT(ISNUMBER(E269))),"Missing / invalid input",IF(G269&gt;1,"Duplicate key in this source",IF(H269=0,"Missing in other source",IF(H269&gt;1,"Duplicate in other source",IF(SUMIFS('External Data'!$M$2:$M$1001,'External Data'!$L$2:$L$1001,SUBSTITUTE(SUBSTITUTE(SUBSTITUTE(L269,"~","~~"),"*","~*"),"?","~?"))&lt;&gt;1,"Other amount is invalid",IF(J269&lt;&gt;0,"Amount differs","Matched")))))))</x:f>
      </x:c>
      <x:c r="L269" t="str">
        <x:f>IF(COUNTA(A269:F269)=0,"",LEN(A269)&amp;":"&amp;A269&amp;LEN(B269)&amp;":"&amp;B269&amp;LEN(C269)&amp;":"&amp;C269&amp;LEN(D269)&amp;":"&amp;D269)</x:f>
      </x:c>
      <x:c r="M269" t="str">
        <x:f>IF(COUNTA(A269:F269)=0,"",IF(ISNUMBER(E269),1,0))</x:f>
      </x:c>
    </x:row>
    <x:row r="270">
      <x:c r="A270" s="11"/>
      <x:c r="B270" s="11"/>
      <x:c r="C270" s="11"/>
      <x:c r="D270" s="11"/>
      <x:c r="E270" s="12"/>
      <x:c r="F270" s="10"/>
      <x:c r="G270" s="2" t="str">
        <x:f>IF(COUNTA(A270:F270)=0,"",COUNTIFS('App Data'!$L$2:$L$1001,SUBSTITUTE(SUBSTITUTE(SUBSTITUTE(L270,"~","~~"),"*","~*"),"?","~?")))</x:f>
      </x:c>
      <x:c r="H270" s="2" t="str">
        <x:f>IF(COUNTA(A270:F270)=0,"",COUNTIFS('External Data'!$L$2:$L$1001,SUBSTITUTE(SUBSTITUTE(SUBSTITUTE(L270,"~","~~"),"*","~*"),"?","~?")))</x:f>
      </x:c>
      <x:c r="I270" s="13" t="str">
        <x:f>IF(OR(H270&lt;&gt;1,G270&lt;&gt;1),"",SUMIFS('External Data'!$E$2:$E$1001,'External Data'!$L$2:$L$1001,SUBSTITUTE(SUBSTITUTE(SUBSTITUTE(L270,"~","~~"),"*","~*"),"?","~?")))</x:f>
      </x:c>
      <x:c r="J270" s="13" t="str">
        <x:f>IF(OR(NOT(ISNUMBER(E270)),NOT(ISNUMBER(I270))),"",ROUND(E270-I270,2))</x:f>
      </x:c>
      <x:c r="K270" s="2" t="str">
        <x:f>IF(COUNTA(A270:F270)=0,"",IF(OR(A270="",B270="",C270="",D270="",NOT(ISNUMBER(E270))),"Missing / invalid input",IF(G270&gt;1,"Duplicate key in this source",IF(H270=0,"Missing in other source",IF(H270&gt;1,"Duplicate in other source",IF(SUMIFS('External Data'!$M$2:$M$1001,'External Data'!$L$2:$L$1001,SUBSTITUTE(SUBSTITUTE(SUBSTITUTE(L270,"~","~~"),"*","~*"),"?","~?"))&lt;&gt;1,"Other amount is invalid",IF(J270&lt;&gt;0,"Amount differs","Matched")))))))</x:f>
      </x:c>
      <x:c r="L270" t="str">
        <x:f>IF(COUNTA(A270:F270)=0,"",LEN(A270)&amp;":"&amp;A270&amp;LEN(B270)&amp;":"&amp;B270&amp;LEN(C270)&amp;":"&amp;C270&amp;LEN(D270)&amp;":"&amp;D270)</x:f>
      </x:c>
      <x:c r="M270" t="str">
        <x:f>IF(COUNTA(A270:F270)=0,"",IF(ISNUMBER(E270),1,0))</x:f>
      </x:c>
    </x:row>
    <x:row r="271">
      <x:c r="A271" s="11"/>
      <x:c r="B271" s="11"/>
      <x:c r="C271" s="11"/>
      <x:c r="D271" s="11"/>
      <x:c r="E271" s="12"/>
      <x:c r="F271" s="10"/>
      <x:c r="G271" s="2" t="str">
        <x:f>IF(COUNTA(A271:F271)=0,"",COUNTIFS('App Data'!$L$2:$L$1001,SUBSTITUTE(SUBSTITUTE(SUBSTITUTE(L271,"~","~~"),"*","~*"),"?","~?")))</x:f>
      </x:c>
      <x:c r="H271" s="2" t="str">
        <x:f>IF(COUNTA(A271:F271)=0,"",COUNTIFS('External Data'!$L$2:$L$1001,SUBSTITUTE(SUBSTITUTE(SUBSTITUTE(L271,"~","~~"),"*","~*"),"?","~?")))</x:f>
      </x:c>
      <x:c r="I271" s="13" t="str">
        <x:f>IF(OR(H271&lt;&gt;1,G271&lt;&gt;1),"",SUMIFS('External Data'!$E$2:$E$1001,'External Data'!$L$2:$L$1001,SUBSTITUTE(SUBSTITUTE(SUBSTITUTE(L271,"~","~~"),"*","~*"),"?","~?")))</x:f>
      </x:c>
      <x:c r="J271" s="13" t="str">
        <x:f>IF(OR(NOT(ISNUMBER(E271)),NOT(ISNUMBER(I271))),"",ROUND(E271-I271,2))</x:f>
      </x:c>
      <x:c r="K271" s="2" t="str">
        <x:f>IF(COUNTA(A271:F271)=0,"",IF(OR(A271="",B271="",C271="",D271="",NOT(ISNUMBER(E271))),"Missing / invalid input",IF(G271&gt;1,"Duplicate key in this source",IF(H271=0,"Missing in other source",IF(H271&gt;1,"Duplicate in other source",IF(SUMIFS('External Data'!$M$2:$M$1001,'External Data'!$L$2:$L$1001,SUBSTITUTE(SUBSTITUTE(SUBSTITUTE(L271,"~","~~"),"*","~*"),"?","~?"))&lt;&gt;1,"Other amount is invalid",IF(J271&lt;&gt;0,"Amount differs","Matched")))))))</x:f>
      </x:c>
      <x:c r="L271" t="str">
        <x:f>IF(COUNTA(A271:F271)=0,"",LEN(A271)&amp;":"&amp;A271&amp;LEN(B271)&amp;":"&amp;B271&amp;LEN(C271)&amp;":"&amp;C271&amp;LEN(D271)&amp;":"&amp;D271)</x:f>
      </x:c>
      <x:c r="M271" t="str">
        <x:f>IF(COUNTA(A271:F271)=0,"",IF(ISNUMBER(E271),1,0))</x:f>
      </x:c>
    </x:row>
    <x:row r="272">
      <x:c r="A272" s="11"/>
      <x:c r="B272" s="11"/>
      <x:c r="C272" s="11"/>
      <x:c r="D272" s="11"/>
      <x:c r="E272" s="12"/>
      <x:c r="F272" s="10"/>
      <x:c r="G272" s="2" t="str">
        <x:f>IF(COUNTA(A272:F272)=0,"",COUNTIFS('App Data'!$L$2:$L$1001,SUBSTITUTE(SUBSTITUTE(SUBSTITUTE(L272,"~","~~"),"*","~*"),"?","~?")))</x:f>
      </x:c>
      <x:c r="H272" s="2" t="str">
        <x:f>IF(COUNTA(A272:F272)=0,"",COUNTIFS('External Data'!$L$2:$L$1001,SUBSTITUTE(SUBSTITUTE(SUBSTITUTE(L272,"~","~~"),"*","~*"),"?","~?")))</x:f>
      </x:c>
      <x:c r="I272" s="13" t="str">
        <x:f>IF(OR(H272&lt;&gt;1,G272&lt;&gt;1),"",SUMIFS('External Data'!$E$2:$E$1001,'External Data'!$L$2:$L$1001,SUBSTITUTE(SUBSTITUTE(SUBSTITUTE(L272,"~","~~"),"*","~*"),"?","~?")))</x:f>
      </x:c>
      <x:c r="J272" s="13" t="str">
        <x:f>IF(OR(NOT(ISNUMBER(E272)),NOT(ISNUMBER(I272))),"",ROUND(E272-I272,2))</x:f>
      </x:c>
      <x:c r="K272" s="2" t="str">
        <x:f>IF(COUNTA(A272:F272)=0,"",IF(OR(A272="",B272="",C272="",D272="",NOT(ISNUMBER(E272))),"Missing / invalid input",IF(G272&gt;1,"Duplicate key in this source",IF(H272=0,"Missing in other source",IF(H272&gt;1,"Duplicate in other source",IF(SUMIFS('External Data'!$M$2:$M$1001,'External Data'!$L$2:$L$1001,SUBSTITUTE(SUBSTITUTE(SUBSTITUTE(L272,"~","~~"),"*","~*"),"?","~?"))&lt;&gt;1,"Other amount is invalid",IF(J272&lt;&gt;0,"Amount differs","Matched")))))))</x:f>
      </x:c>
      <x:c r="L272" t="str">
        <x:f>IF(COUNTA(A272:F272)=0,"",LEN(A272)&amp;":"&amp;A272&amp;LEN(B272)&amp;":"&amp;B272&amp;LEN(C272)&amp;":"&amp;C272&amp;LEN(D272)&amp;":"&amp;D272)</x:f>
      </x:c>
      <x:c r="M272" t="str">
        <x:f>IF(COUNTA(A272:F272)=0,"",IF(ISNUMBER(E272),1,0))</x:f>
      </x:c>
    </x:row>
    <x:row r="273">
      <x:c r="A273" s="11"/>
      <x:c r="B273" s="11"/>
      <x:c r="C273" s="11"/>
      <x:c r="D273" s="11"/>
      <x:c r="E273" s="12"/>
      <x:c r="F273" s="10"/>
      <x:c r="G273" s="2" t="str">
        <x:f>IF(COUNTA(A273:F273)=0,"",COUNTIFS('App Data'!$L$2:$L$1001,SUBSTITUTE(SUBSTITUTE(SUBSTITUTE(L273,"~","~~"),"*","~*"),"?","~?")))</x:f>
      </x:c>
      <x:c r="H273" s="2" t="str">
        <x:f>IF(COUNTA(A273:F273)=0,"",COUNTIFS('External Data'!$L$2:$L$1001,SUBSTITUTE(SUBSTITUTE(SUBSTITUTE(L273,"~","~~"),"*","~*"),"?","~?")))</x:f>
      </x:c>
      <x:c r="I273" s="13" t="str">
        <x:f>IF(OR(H273&lt;&gt;1,G273&lt;&gt;1),"",SUMIFS('External Data'!$E$2:$E$1001,'External Data'!$L$2:$L$1001,SUBSTITUTE(SUBSTITUTE(SUBSTITUTE(L273,"~","~~"),"*","~*"),"?","~?")))</x:f>
      </x:c>
      <x:c r="J273" s="13" t="str">
        <x:f>IF(OR(NOT(ISNUMBER(E273)),NOT(ISNUMBER(I273))),"",ROUND(E273-I273,2))</x:f>
      </x:c>
      <x:c r="K273" s="2" t="str">
        <x:f>IF(COUNTA(A273:F273)=0,"",IF(OR(A273="",B273="",C273="",D273="",NOT(ISNUMBER(E273))),"Missing / invalid input",IF(G273&gt;1,"Duplicate key in this source",IF(H273=0,"Missing in other source",IF(H273&gt;1,"Duplicate in other source",IF(SUMIFS('External Data'!$M$2:$M$1001,'External Data'!$L$2:$L$1001,SUBSTITUTE(SUBSTITUTE(SUBSTITUTE(L273,"~","~~"),"*","~*"),"?","~?"))&lt;&gt;1,"Other amount is invalid",IF(J273&lt;&gt;0,"Amount differs","Matched")))))))</x:f>
      </x:c>
      <x:c r="L273" t="str">
        <x:f>IF(COUNTA(A273:F273)=0,"",LEN(A273)&amp;":"&amp;A273&amp;LEN(B273)&amp;":"&amp;B273&amp;LEN(C273)&amp;":"&amp;C273&amp;LEN(D273)&amp;":"&amp;D273)</x:f>
      </x:c>
      <x:c r="M273" t="str">
        <x:f>IF(COUNTA(A273:F273)=0,"",IF(ISNUMBER(E273),1,0))</x:f>
      </x:c>
    </x:row>
    <x:row r="274">
      <x:c r="A274" s="11"/>
      <x:c r="B274" s="11"/>
      <x:c r="C274" s="11"/>
      <x:c r="D274" s="11"/>
      <x:c r="E274" s="12"/>
      <x:c r="F274" s="10"/>
      <x:c r="G274" s="2" t="str">
        <x:f>IF(COUNTA(A274:F274)=0,"",COUNTIFS('App Data'!$L$2:$L$1001,SUBSTITUTE(SUBSTITUTE(SUBSTITUTE(L274,"~","~~"),"*","~*"),"?","~?")))</x:f>
      </x:c>
      <x:c r="H274" s="2" t="str">
        <x:f>IF(COUNTA(A274:F274)=0,"",COUNTIFS('External Data'!$L$2:$L$1001,SUBSTITUTE(SUBSTITUTE(SUBSTITUTE(L274,"~","~~"),"*","~*"),"?","~?")))</x:f>
      </x:c>
      <x:c r="I274" s="13" t="str">
        <x:f>IF(OR(H274&lt;&gt;1,G274&lt;&gt;1),"",SUMIFS('External Data'!$E$2:$E$1001,'External Data'!$L$2:$L$1001,SUBSTITUTE(SUBSTITUTE(SUBSTITUTE(L274,"~","~~"),"*","~*"),"?","~?")))</x:f>
      </x:c>
      <x:c r="J274" s="13" t="str">
        <x:f>IF(OR(NOT(ISNUMBER(E274)),NOT(ISNUMBER(I274))),"",ROUND(E274-I274,2))</x:f>
      </x:c>
      <x:c r="K274" s="2" t="str">
        <x:f>IF(COUNTA(A274:F274)=0,"",IF(OR(A274="",B274="",C274="",D274="",NOT(ISNUMBER(E274))),"Missing / invalid input",IF(G274&gt;1,"Duplicate key in this source",IF(H274=0,"Missing in other source",IF(H274&gt;1,"Duplicate in other source",IF(SUMIFS('External Data'!$M$2:$M$1001,'External Data'!$L$2:$L$1001,SUBSTITUTE(SUBSTITUTE(SUBSTITUTE(L274,"~","~~"),"*","~*"),"?","~?"))&lt;&gt;1,"Other amount is invalid",IF(J274&lt;&gt;0,"Amount differs","Matched")))))))</x:f>
      </x:c>
      <x:c r="L274" t="str">
        <x:f>IF(COUNTA(A274:F274)=0,"",LEN(A274)&amp;":"&amp;A274&amp;LEN(B274)&amp;":"&amp;B274&amp;LEN(C274)&amp;":"&amp;C274&amp;LEN(D274)&amp;":"&amp;D274)</x:f>
      </x:c>
      <x:c r="M274" t="str">
        <x:f>IF(COUNTA(A274:F274)=0,"",IF(ISNUMBER(E274),1,0))</x:f>
      </x:c>
    </x:row>
    <x:row r="275">
      <x:c r="A275" s="11"/>
      <x:c r="B275" s="11"/>
      <x:c r="C275" s="11"/>
      <x:c r="D275" s="11"/>
      <x:c r="E275" s="12"/>
      <x:c r="F275" s="10"/>
      <x:c r="G275" s="2" t="str">
        <x:f>IF(COUNTA(A275:F275)=0,"",COUNTIFS('App Data'!$L$2:$L$1001,SUBSTITUTE(SUBSTITUTE(SUBSTITUTE(L275,"~","~~"),"*","~*"),"?","~?")))</x:f>
      </x:c>
      <x:c r="H275" s="2" t="str">
        <x:f>IF(COUNTA(A275:F275)=0,"",COUNTIFS('External Data'!$L$2:$L$1001,SUBSTITUTE(SUBSTITUTE(SUBSTITUTE(L275,"~","~~"),"*","~*"),"?","~?")))</x:f>
      </x:c>
      <x:c r="I275" s="13" t="str">
        <x:f>IF(OR(H275&lt;&gt;1,G275&lt;&gt;1),"",SUMIFS('External Data'!$E$2:$E$1001,'External Data'!$L$2:$L$1001,SUBSTITUTE(SUBSTITUTE(SUBSTITUTE(L275,"~","~~"),"*","~*"),"?","~?")))</x:f>
      </x:c>
      <x:c r="J275" s="13" t="str">
        <x:f>IF(OR(NOT(ISNUMBER(E275)),NOT(ISNUMBER(I275))),"",ROUND(E275-I275,2))</x:f>
      </x:c>
      <x:c r="K275" s="2" t="str">
        <x:f>IF(COUNTA(A275:F275)=0,"",IF(OR(A275="",B275="",C275="",D275="",NOT(ISNUMBER(E275))),"Missing / invalid input",IF(G275&gt;1,"Duplicate key in this source",IF(H275=0,"Missing in other source",IF(H275&gt;1,"Duplicate in other source",IF(SUMIFS('External Data'!$M$2:$M$1001,'External Data'!$L$2:$L$1001,SUBSTITUTE(SUBSTITUTE(SUBSTITUTE(L275,"~","~~"),"*","~*"),"?","~?"))&lt;&gt;1,"Other amount is invalid",IF(J275&lt;&gt;0,"Amount differs","Matched")))))))</x:f>
      </x:c>
      <x:c r="L275" t="str">
        <x:f>IF(COUNTA(A275:F275)=0,"",LEN(A275)&amp;":"&amp;A275&amp;LEN(B275)&amp;":"&amp;B275&amp;LEN(C275)&amp;":"&amp;C275&amp;LEN(D275)&amp;":"&amp;D275)</x:f>
      </x:c>
      <x:c r="M275" t="str">
        <x:f>IF(COUNTA(A275:F275)=0,"",IF(ISNUMBER(E275),1,0))</x:f>
      </x:c>
    </x:row>
    <x:row r="276">
      <x:c r="A276" s="11"/>
      <x:c r="B276" s="11"/>
      <x:c r="C276" s="11"/>
      <x:c r="D276" s="11"/>
      <x:c r="E276" s="12"/>
      <x:c r="F276" s="10"/>
      <x:c r="G276" s="2" t="str">
        <x:f>IF(COUNTA(A276:F276)=0,"",COUNTIFS('App Data'!$L$2:$L$1001,SUBSTITUTE(SUBSTITUTE(SUBSTITUTE(L276,"~","~~"),"*","~*"),"?","~?")))</x:f>
      </x:c>
      <x:c r="H276" s="2" t="str">
        <x:f>IF(COUNTA(A276:F276)=0,"",COUNTIFS('External Data'!$L$2:$L$1001,SUBSTITUTE(SUBSTITUTE(SUBSTITUTE(L276,"~","~~"),"*","~*"),"?","~?")))</x:f>
      </x:c>
      <x:c r="I276" s="13" t="str">
        <x:f>IF(OR(H276&lt;&gt;1,G276&lt;&gt;1),"",SUMIFS('External Data'!$E$2:$E$1001,'External Data'!$L$2:$L$1001,SUBSTITUTE(SUBSTITUTE(SUBSTITUTE(L276,"~","~~"),"*","~*"),"?","~?")))</x:f>
      </x:c>
      <x:c r="J276" s="13" t="str">
        <x:f>IF(OR(NOT(ISNUMBER(E276)),NOT(ISNUMBER(I276))),"",ROUND(E276-I276,2))</x:f>
      </x:c>
      <x:c r="K276" s="2" t="str">
        <x:f>IF(COUNTA(A276:F276)=0,"",IF(OR(A276="",B276="",C276="",D276="",NOT(ISNUMBER(E276))),"Missing / invalid input",IF(G276&gt;1,"Duplicate key in this source",IF(H276=0,"Missing in other source",IF(H276&gt;1,"Duplicate in other source",IF(SUMIFS('External Data'!$M$2:$M$1001,'External Data'!$L$2:$L$1001,SUBSTITUTE(SUBSTITUTE(SUBSTITUTE(L276,"~","~~"),"*","~*"),"?","~?"))&lt;&gt;1,"Other amount is invalid",IF(J276&lt;&gt;0,"Amount differs","Matched")))))))</x:f>
      </x:c>
      <x:c r="L276" t="str">
        <x:f>IF(COUNTA(A276:F276)=0,"",LEN(A276)&amp;":"&amp;A276&amp;LEN(B276)&amp;":"&amp;B276&amp;LEN(C276)&amp;":"&amp;C276&amp;LEN(D276)&amp;":"&amp;D276)</x:f>
      </x:c>
      <x:c r="M276" t="str">
        <x:f>IF(COUNTA(A276:F276)=0,"",IF(ISNUMBER(E276),1,0))</x:f>
      </x:c>
    </x:row>
    <x:row r="277">
      <x:c r="A277" s="11"/>
      <x:c r="B277" s="11"/>
      <x:c r="C277" s="11"/>
      <x:c r="D277" s="11"/>
      <x:c r="E277" s="12"/>
      <x:c r="F277" s="10"/>
      <x:c r="G277" s="2" t="str">
        <x:f>IF(COUNTA(A277:F277)=0,"",COUNTIFS('App Data'!$L$2:$L$1001,SUBSTITUTE(SUBSTITUTE(SUBSTITUTE(L277,"~","~~"),"*","~*"),"?","~?")))</x:f>
      </x:c>
      <x:c r="H277" s="2" t="str">
        <x:f>IF(COUNTA(A277:F277)=0,"",COUNTIFS('External Data'!$L$2:$L$1001,SUBSTITUTE(SUBSTITUTE(SUBSTITUTE(L277,"~","~~"),"*","~*"),"?","~?")))</x:f>
      </x:c>
      <x:c r="I277" s="13" t="str">
        <x:f>IF(OR(H277&lt;&gt;1,G277&lt;&gt;1),"",SUMIFS('External Data'!$E$2:$E$1001,'External Data'!$L$2:$L$1001,SUBSTITUTE(SUBSTITUTE(SUBSTITUTE(L277,"~","~~"),"*","~*"),"?","~?")))</x:f>
      </x:c>
      <x:c r="J277" s="13" t="str">
        <x:f>IF(OR(NOT(ISNUMBER(E277)),NOT(ISNUMBER(I277))),"",ROUND(E277-I277,2))</x:f>
      </x:c>
      <x:c r="K277" s="2" t="str">
        <x:f>IF(COUNTA(A277:F277)=0,"",IF(OR(A277="",B277="",C277="",D277="",NOT(ISNUMBER(E277))),"Missing / invalid input",IF(G277&gt;1,"Duplicate key in this source",IF(H277=0,"Missing in other source",IF(H277&gt;1,"Duplicate in other source",IF(SUMIFS('External Data'!$M$2:$M$1001,'External Data'!$L$2:$L$1001,SUBSTITUTE(SUBSTITUTE(SUBSTITUTE(L277,"~","~~"),"*","~*"),"?","~?"))&lt;&gt;1,"Other amount is invalid",IF(J277&lt;&gt;0,"Amount differs","Matched")))))))</x:f>
      </x:c>
      <x:c r="L277" t="str">
        <x:f>IF(COUNTA(A277:F277)=0,"",LEN(A277)&amp;":"&amp;A277&amp;LEN(B277)&amp;":"&amp;B277&amp;LEN(C277)&amp;":"&amp;C277&amp;LEN(D277)&amp;":"&amp;D277)</x:f>
      </x:c>
      <x:c r="M277" t="str">
        <x:f>IF(COUNTA(A277:F277)=0,"",IF(ISNUMBER(E277),1,0))</x:f>
      </x:c>
    </x:row>
    <x:row r="278">
      <x:c r="A278" s="11"/>
      <x:c r="B278" s="11"/>
      <x:c r="C278" s="11"/>
      <x:c r="D278" s="11"/>
      <x:c r="E278" s="12"/>
      <x:c r="F278" s="10"/>
      <x:c r="G278" s="2" t="str">
        <x:f>IF(COUNTA(A278:F278)=0,"",COUNTIFS('App Data'!$L$2:$L$1001,SUBSTITUTE(SUBSTITUTE(SUBSTITUTE(L278,"~","~~"),"*","~*"),"?","~?")))</x:f>
      </x:c>
      <x:c r="H278" s="2" t="str">
        <x:f>IF(COUNTA(A278:F278)=0,"",COUNTIFS('External Data'!$L$2:$L$1001,SUBSTITUTE(SUBSTITUTE(SUBSTITUTE(L278,"~","~~"),"*","~*"),"?","~?")))</x:f>
      </x:c>
      <x:c r="I278" s="13" t="str">
        <x:f>IF(OR(H278&lt;&gt;1,G278&lt;&gt;1),"",SUMIFS('External Data'!$E$2:$E$1001,'External Data'!$L$2:$L$1001,SUBSTITUTE(SUBSTITUTE(SUBSTITUTE(L278,"~","~~"),"*","~*"),"?","~?")))</x:f>
      </x:c>
      <x:c r="J278" s="13" t="str">
        <x:f>IF(OR(NOT(ISNUMBER(E278)),NOT(ISNUMBER(I278))),"",ROUND(E278-I278,2))</x:f>
      </x:c>
      <x:c r="K278" s="2" t="str">
        <x:f>IF(COUNTA(A278:F278)=0,"",IF(OR(A278="",B278="",C278="",D278="",NOT(ISNUMBER(E278))),"Missing / invalid input",IF(G278&gt;1,"Duplicate key in this source",IF(H278=0,"Missing in other source",IF(H278&gt;1,"Duplicate in other source",IF(SUMIFS('External Data'!$M$2:$M$1001,'External Data'!$L$2:$L$1001,SUBSTITUTE(SUBSTITUTE(SUBSTITUTE(L278,"~","~~"),"*","~*"),"?","~?"))&lt;&gt;1,"Other amount is invalid",IF(J278&lt;&gt;0,"Amount differs","Matched")))))))</x:f>
      </x:c>
      <x:c r="L278" t="str">
        <x:f>IF(COUNTA(A278:F278)=0,"",LEN(A278)&amp;":"&amp;A278&amp;LEN(B278)&amp;":"&amp;B278&amp;LEN(C278)&amp;":"&amp;C278&amp;LEN(D278)&amp;":"&amp;D278)</x:f>
      </x:c>
      <x:c r="M278" t="str">
        <x:f>IF(COUNTA(A278:F278)=0,"",IF(ISNUMBER(E278),1,0))</x:f>
      </x:c>
    </x:row>
    <x:row r="279">
      <x:c r="A279" s="11"/>
      <x:c r="B279" s="11"/>
      <x:c r="C279" s="11"/>
      <x:c r="D279" s="11"/>
      <x:c r="E279" s="12"/>
      <x:c r="F279" s="10"/>
      <x:c r="G279" s="2" t="str">
        <x:f>IF(COUNTA(A279:F279)=0,"",COUNTIFS('App Data'!$L$2:$L$1001,SUBSTITUTE(SUBSTITUTE(SUBSTITUTE(L279,"~","~~"),"*","~*"),"?","~?")))</x:f>
      </x:c>
      <x:c r="H279" s="2" t="str">
        <x:f>IF(COUNTA(A279:F279)=0,"",COUNTIFS('External Data'!$L$2:$L$1001,SUBSTITUTE(SUBSTITUTE(SUBSTITUTE(L279,"~","~~"),"*","~*"),"?","~?")))</x:f>
      </x:c>
      <x:c r="I279" s="13" t="str">
        <x:f>IF(OR(H279&lt;&gt;1,G279&lt;&gt;1),"",SUMIFS('External Data'!$E$2:$E$1001,'External Data'!$L$2:$L$1001,SUBSTITUTE(SUBSTITUTE(SUBSTITUTE(L279,"~","~~"),"*","~*"),"?","~?")))</x:f>
      </x:c>
      <x:c r="J279" s="13" t="str">
        <x:f>IF(OR(NOT(ISNUMBER(E279)),NOT(ISNUMBER(I279))),"",ROUND(E279-I279,2))</x:f>
      </x:c>
      <x:c r="K279" s="2" t="str">
        <x:f>IF(COUNTA(A279:F279)=0,"",IF(OR(A279="",B279="",C279="",D279="",NOT(ISNUMBER(E279))),"Missing / invalid input",IF(G279&gt;1,"Duplicate key in this source",IF(H279=0,"Missing in other source",IF(H279&gt;1,"Duplicate in other source",IF(SUMIFS('External Data'!$M$2:$M$1001,'External Data'!$L$2:$L$1001,SUBSTITUTE(SUBSTITUTE(SUBSTITUTE(L279,"~","~~"),"*","~*"),"?","~?"))&lt;&gt;1,"Other amount is invalid",IF(J279&lt;&gt;0,"Amount differs","Matched")))))))</x:f>
      </x:c>
      <x:c r="L279" t="str">
        <x:f>IF(COUNTA(A279:F279)=0,"",LEN(A279)&amp;":"&amp;A279&amp;LEN(B279)&amp;":"&amp;B279&amp;LEN(C279)&amp;":"&amp;C279&amp;LEN(D279)&amp;":"&amp;D279)</x:f>
      </x:c>
      <x:c r="M279" t="str">
        <x:f>IF(COUNTA(A279:F279)=0,"",IF(ISNUMBER(E279),1,0))</x:f>
      </x:c>
    </x:row>
    <x:row r="280">
      <x:c r="A280" s="11"/>
      <x:c r="B280" s="11"/>
      <x:c r="C280" s="11"/>
      <x:c r="D280" s="11"/>
      <x:c r="E280" s="12"/>
      <x:c r="F280" s="10"/>
      <x:c r="G280" s="2" t="str">
        <x:f>IF(COUNTA(A280:F280)=0,"",COUNTIFS('App Data'!$L$2:$L$1001,SUBSTITUTE(SUBSTITUTE(SUBSTITUTE(L280,"~","~~"),"*","~*"),"?","~?")))</x:f>
      </x:c>
      <x:c r="H280" s="2" t="str">
        <x:f>IF(COUNTA(A280:F280)=0,"",COUNTIFS('External Data'!$L$2:$L$1001,SUBSTITUTE(SUBSTITUTE(SUBSTITUTE(L280,"~","~~"),"*","~*"),"?","~?")))</x:f>
      </x:c>
      <x:c r="I280" s="13" t="str">
        <x:f>IF(OR(H280&lt;&gt;1,G280&lt;&gt;1),"",SUMIFS('External Data'!$E$2:$E$1001,'External Data'!$L$2:$L$1001,SUBSTITUTE(SUBSTITUTE(SUBSTITUTE(L280,"~","~~"),"*","~*"),"?","~?")))</x:f>
      </x:c>
      <x:c r="J280" s="13" t="str">
        <x:f>IF(OR(NOT(ISNUMBER(E280)),NOT(ISNUMBER(I280))),"",ROUND(E280-I280,2))</x:f>
      </x:c>
      <x:c r="K280" s="2" t="str">
        <x:f>IF(COUNTA(A280:F280)=0,"",IF(OR(A280="",B280="",C280="",D280="",NOT(ISNUMBER(E280))),"Missing / invalid input",IF(G280&gt;1,"Duplicate key in this source",IF(H280=0,"Missing in other source",IF(H280&gt;1,"Duplicate in other source",IF(SUMIFS('External Data'!$M$2:$M$1001,'External Data'!$L$2:$L$1001,SUBSTITUTE(SUBSTITUTE(SUBSTITUTE(L280,"~","~~"),"*","~*"),"?","~?"))&lt;&gt;1,"Other amount is invalid",IF(J280&lt;&gt;0,"Amount differs","Matched")))))))</x:f>
      </x:c>
      <x:c r="L280" t="str">
        <x:f>IF(COUNTA(A280:F280)=0,"",LEN(A280)&amp;":"&amp;A280&amp;LEN(B280)&amp;":"&amp;B280&amp;LEN(C280)&amp;":"&amp;C280&amp;LEN(D280)&amp;":"&amp;D280)</x:f>
      </x:c>
      <x:c r="M280" t="str">
        <x:f>IF(COUNTA(A280:F280)=0,"",IF(ISNUMBER(E280),1,0))</x:f>
      </x:c>
    </x:row>
    <x:row r="281">
      <x:c r="A281" s="11"/>
      <x:c r="B281" s="11"/>
      <x:c r="C281" s="11"/>
      <x:c r="D281" s="11"/>
      <x:c r="E281" s="12"/>
      <x:c r="F281" s="10"/>
      <x:c r="G281" s="2" t="str">
        <x:f>IF(COUNTA(A281:F281)=0,"",COUNTIFS('App Data'!$L$2:$L$1001,SUBSTITUTE(SUBSTITUTE(SUBSTITUTE(L281,"~","~~"),"*","~*"),"?","~?")))</x:f>
      </x:c>
      <x:c r="H281" s="2" t="str">
        <x:f>IF(COUNTA(A281:F281)=0,"",COUNTIFS('External Data'!$L$2:$L$1001,SUBSTITUTE(SUBSTITUTE(SUBSTITUTE(L281,"~","~~"),"*","~*"),"?","~?")))</x:f>
      </x:c>
      <x:c r="I281" s="13" t="str">
        <x:f>IF(OR(H281&lt;&gt;1,G281&lt;&gt;1),"",SUMIFS('External Data'!$E$2:$E$1001,'External Data'!$L$2:$L$1001,SUBSTITUTE(SUBSTITUTE(SUBSTITUTE(L281,"~","~~"),"*","~*"),"?","~?")))</x:f>
      </x:c>
      <x:c r="J281" s="13" t="str">
        <x:f>IF(OR(NOT(ISNUMBER(E281)),NOT(ISNUMBER(I281))),"",ROUND(E281-I281,2))</x:f>
      </x:c>
      <x:c r="K281" s="2" t="str">
        <x:f>IF(COUNTA(A281:F281)=0,"",IF(OR(A281="",B281="",C281="",D281="",NOT(ISNUMBER(E281))),"Missing / invalid input",IF(G281&gt;1,"Duplicate key in this source",IF(H281=0,"Missing in other source",IF(H281&gt;1,"Duplicate in other source",IF(SUMIFS('External Data'!$M$2:$M$1001,'External Data'!$L$2:$L$1001,SUBSTITUTE(SUBSTITUTE(SUBSTITUTE(L281,"~","~~"),"*","~*"),"?","~?"))&lt;&gt;1,"Other amount is invalid",IF(J281&lt;&gt;0,"Amount differs","Matched")))))))</x:f>
      </x:c>
      <x:c r="L281" t="str">
        <x:f>IF(COUNTA(A281:F281)=0,"",LEN(A281)&amp;":"&amp;A281&amp;LEN(B281)&amp;":"&amp;B281&amp;LEN(C281)&amp;":"&amp;C281&amp;LEN(D281)&amp;":"&amp;D281)</x:f>
      </x:c>
      <x:c r="M281" t="str">
        <x:f>IF(COUNTA(A281:F281)=0,"",IF(ISNUMBER(E281),1,0))</x:f>
      </x:c>
    </x:row>
    <x:row r="282">
      <x:c r="A282" s="11"/>
      <x:c r="B282" s="11"/>
      <x:c r="C282" s="11"/>
      <x:c r="D282" s="11"/>
      <x:c r="E282" s="12"/>
      <x:c r="F282" s="10"/>
      <x:c r="G282" s="2" t="str">
        <x:f>IF(COUNTA(A282:F282)=0,"",COUNTIFS('App Data'!$L$2:$L$1001,SUBSTITUTE(SUBSTITUTE(SUBSTITUTE(L282,"~","~~"),"*","~*"),"?","~?")))</x:f>
      </x:c>
      <x:c r="H282" s="2" t="str">
        <x:f>IF(COUNTA(A282:F282)=0,"",COUNTIFS('External Data'!$L$2:$L$1001,SUBSTITUTE(SUBSTITUTE(SUBSTITUTE(L282,"~","~~"),"*","~*"),"?","~?")))</x:f>
      </x:c>
      <x:c r="I282" s="13" t="str">
        <x:f>IF(OR(H282&lt;&gt;1,G282&lt;&gt;1),"",SUMIFS('External Data'!$E$2:$E$1001,'External Data'!$L$2:$L$1001,SUBSTITUTE(SUBSTITUTE(SUBSTITUTE(L282,"~","~~"),"*","~*"),"?","~?")))</x:f>
      </x:c>
      <x:c r="J282" s="13" t="str">
        <x:f>IF(OR(NOT(ISNUMBER(E282)),NOT(ISNUMBER(I282))),"",ROUND(E282-I282,2))</x:f>
      </x:c>
      <x:c r="K282" s="2" t="str">
        <x:f>IF(COUNTA(A282:F282)=0,"",IF(OR(A282="",B282="",C282="",D282="",NOT(ISNUMBER(E282))),"Missing / invalid input",IF(G282&gt;1,"Duplicate key in this source",IF(H282=0,"Missing in other source",IF(H282&gt;1,"Duplicate in other source",IF(SUMIFS('External Data'!$M$2:$M$1001,'External Data'!$L$2:$L$1001,SUBSTITUTE(SUBSTITUTE(SUBSTITUTE(L282,"~","~~"),"*","~*"),"?","~?"))&lt;&gt;1,"Other amount is invalid",IF(J282&lt;&gt;0,"Amount differs","Matched")))))))</x:f>
      </x:c>
      <x:c r="L282" t="str">
        <x:f>IF(COUNTA(A282:F282)=0,"",LEN(A282)&amp;":"&amp;A282&amp;LEN(B282)&amp;":"&amp;B282&amp;LEN(C282)&amp;":"&amp;C282&amp;LEN(D282)&amp;":"&amp;D282)</x:f>
      </x:c>
      <x:c r="M282" t="str">
        <x:f>IF(COUNTA(A282:F282)=0,"",IF(ISNUMBER(E282),1,0))</x:f>
      </x:c>
    </x:row>
    <x:row r="283">
      <x:c r="A283" s="11"/>
      <x:c r="B283" s="11"/>
      <x:c r="C283" s="11"/>
      <x:c r="D283" s="11"/>
      <x:c r="E283" s="12"/>
      <x:c r="F283" s="10"/>
      <x:c r="G283" s="2" t="str">
        <x:f>IF(COUNTA(A283:F283)=0,"",COUNTIFS('App Data'!$L$2:$L$1001,SUBSTITUTE(SUBSTITUTE(SUBSTITUTE(L283,"~","~~"),"*","~*"),"?","~?")))</x:f>
      </x:c>
      <x:c r="H283" s="2" t="str">
        <x:f>IF(COUNTA(A283:F283)=0,"",COUNTIFS('External Data'!$L$2:$L$1001,SUBSTITUTE(SUBSTITUTE(SUBSTITUTE(L283,"~","~~"),"*","~*"),"?","~?")))</x:f>
      </x:c>
      <x:c r="I283" s="13" t="str">
        <x:f>IF(OR(H283&lt;&gt;1,G283&lt;&gt;1),"",SUMIFS('External Data'!$E$2:$E$1001,'External Data'!$L$2:$L$1001,SUBSTITUTE(SUBSTITUTE(SUBSTITUTE(L283,"~","~~"),"*","~*"),"?","~?")))</x:f>
      </x:c>
      <x:c r="J283" s="13" t="str">
        <x:f>IF(OR(NOT(ISNUMBER(E283)),NOT(ISNUMBER(I283))),"",ROUND(E283-I283,2))</x:f>
      </x:c>
      <x:c r="K283" s="2" t="str">
        <x:f>IF(COUNTA(A283:F283)=0,"",IF(OR(A283="",B283="",C283="",D283="",NOT(ISNUMBER(E283))),"Missing / invalid input",IF(G283&gt;1,"Duplicate key in this source",IF(H283=0,"Missing in other source",IF(H283&gt;1,"Duplicate in other source",IF(SUMIFS('External Data'!$M$2:$M$1001,'External Data'!$L$2:$L$1001,SUBSTITUTE(SUBSTITUTE(SUBSTITUTE(L283,"~","~~"),"*","~*"),"?","~?"))&lt;&gt;1,"Other amount is invalid",IF(J283&lt;&gt;0,"Amount differs","Matched")))))))</x:f>
      </x:c>
      <x:c r="L283" t="str">
        <x:f>IF(COUNTA(A283:F283)=0,"",LEN(A283)&amp;":"&amp;A283&amp;LEN(B283)&amp;":"&amp;B283&amp;LEN(C283)&amp;":"&amp;C283&amp;LEN(D283)&amp;":"&amp;D283)</x:f>
      </x:c>
      <x:c r="M283" t="str">
        <x:f>IF(COUNTA(A283:F283)=0,"",IF(ISNUMBER(E283),1,0))</x:f>
      </x:c>
    </x:row>
    <x:row r="284">
      <x:c r="A284" s="11"/>
      <x:c r="B284" s="11"/>
      <x:c r="C284" s="11"/>
      <x:c r="D284" s="11"/>
      <x:c r="E284" s="12"/>
      <x:c r="F284" s="10"/>
      <x:c r="G284" s="2" t="str">
        <x:f>IF(COUNTA(A284:F284)=0,"",COUNTIFS('App Data'!$L$2:$L$1001,SUBSTITUTE(SUBSTITUTE(SUBSTITUTE(L284,"~","~~"),"*","~*"),"?","~?")))</x:f>
      </x:c>
      <x:c r="H284" s="2" t="str">
        <x:f>IF(COUNTA(A284:F284)=0,"",COUNTIFS('External Data'!$L$2:$L$1001,SUBSTITUTE(SUBSTITUTE(SUBSTITUTE(L284,"~","~~"),"*","~*"),"?","~?")))</x:f>
      </x:c>
      <x:c r="I284" s="13" t="str">
        <x:f>IF(OR(H284&lt;&gt;1,G284&lt;&gt;1),"",SUMIFS('External Data'!$E$2:$E$1001,'External Data'!$L$2:$L$1001,SUBSTITUTE(SUBSTITUTE(SUBSTITUTE(L284,"~","~~"),"*","~*"),"?","~?")))</x:f>
      </x:c>
      <x:c r="J284" s="13" t="str">
        <x:f>IF(OR(NOT(ISNUMBER(E284)),NOT(ISNUMBER(I284))),"",ROUND(E284-I284,2))</x:f>
      </x:c>
      <x:c r="K284" s="2" t="str">
        <x:f>IF(COUNTA(A284:F284)=0,"",IF(OR(A284="",B284="",C284="",D284="",NOT(ISNUMBER(E284))),"Missing / invalid input",IF(G284&gt;1,"Duplicate key in this source",IF(H284=0,"Missing in other source",IF(H284&gt;1,"Duplicate in other source",IF(SUMIFS('External Data'!$M$2:$M$1001,'External Data'!$L$2:$L$1001,SUBSTITUTE(SUBSTITUTE(SUBSTITUTE(L284,"~","~~"),"*","~*"),"?","~?"))&lt;&gt;1,"Other amount is invalid",IF(J284&lt;&gt;0,"Amount differs","Matched")))))))</x:f>
      </x:c>
      <x:c r="L284" t="str">
        <x:f>IF(COUNTA(A284:F284)=0,"",LEN(A284)&amp;":"&amp;A284&amp;LEN(B284)&amp;":"&amp;B284&amp;LEN(C284)&amp;":"&amp;C284&amp;LEN(D284)&amp;":"&amp;D284)</x:f>
      </x:c>
      <x:c r="M284" t="str">
        <x:f>IF(COUNTA(A284:F284)=0,"",IF(ISNUMBER(E284),1,0))</x:f>
      </x:c>
    </x:row>
    <x:row r="285">
      <x:c r="A285" s="11"/>
      <x:c r="B285" s="11"/>
      <x:c r="C285" s="11"/>
      <x:c r="D285" s="11"/>
      <x:c r="E285" s="12"/>
      <x:c r="F285" s="10"/>
      <x:c r="G285" s="2" t="str">
        <x:f>IF(COUNTA(A285:F285)=0,"",COUNTIFS('App Data'!$L$2:$L$1001,SUBSTITUTE(SUBSTITUTE(SUBSTITUTE(L285,"~","~~"),"*","~*"),"?","~?")))</x:f>
      </x:c>
      <x:c r="H285" s="2" t="str">
        <x:f>IF(COUNTA(A285:F285)=0,"",COUNTIFS('External Data'!$L$2:$L$1001,SUBSTITUTE(SUBSTITUTE(SUBSTITUTE(L285,"~","~~"),"*","~*"),"?","~?")))</x:f>
      </x:c>
      <x:c r="I285" s="13" t="str">
        <x:f>IF(OR(H285&lt;&gt;1,G285&lt;&gt;1),"",SUMIFS('External Data'!$E$2:$E$1001,'External Data'!$L$2:$L$1001,SUBSTITUTE(SUBSTITUTE(SUBSTITUTE(L285,"~","~~"),"*","~*"),"?","~?")))</x:f>
      </x:c>
      <x:c r="J285" s="13" t="str">
        <x:f>IF(OR(NOT(ISNUMBER(E285)),NOT(ISNUMBER(I285))),"",ROUND(E285-I285,2))</x:f>
      </x:c>
      <x:c r="K285" s="2" t="str">
        <x:f>IF(COUNTA(A285:F285)=0,"",IF(OR(A285="",B285="",C285="",D285="",NOT(ISNUMBER(E285))),"Missing / invalid input",IF(G285&gt;1,"Duplicate key in this source",IF(H285=0,"Missing in other source",IF(H285&gt;1,"Duplicate in other source",IF(SUMIFS('External Data'!$M$2:$M$1001,'External Data'!$L$2:$L$1001,SUBSTITUTE(SUBSTITUTE(SUBSTITUTE(L285,"~","~~"),"*","~*"),"?","~?"))&lt;&gt;1,"Other amount is invalid",IF(J285&lt;&gt;0,"Amount differs","Matched")))))))</x:f>
      </x:c>
      <x:c r="L285" t="str">
        <x:f>IF(COUNTA(A285:F285)=0,"",LEN(A285)&amp;":"&amp;A285&amp;LEN(B285)&amp;":"&amp;B285&amp;LEN(C285)&amp;":"&amp;C285&amp;LEN(D285)&amp;":"&amp;D285)</x:f>
      </x:c>
      <x:c r="M285" t="str">
        <x:f>IF(COUNTA(A285:F285)=0,"",IF(ISNUMBER(E285),1,0))</x:f>
      </x:c>
    </x:row>
    <x:row r="286">
      <x:c r="A286" s="11"/>
      <x:c r="B286" s="11"/>
      <x:c r="C286" s="11"/>
      <x:c r="D286" s="11"/>
      <x:c r="E286" s="12"/>
      <x:c r="F286" s="10"/>
      <x:c r="G286" s="2" t="str">
        <x:f>IF(COUNTA(A286:F286)=0,"",COUNTIFS('App Data'!$L$2:$L$1001,SUBSTITUTE(SUBSTITUTE(SUBSTITUTE(L286,"~","~~"),"*","~*"),"?","~?")))</x:f>
      </x:c>
      <x:c r="H286" s="2" t="str">
        <x:f>IF(COUNTA(A286:F286)=0,"",COUNTIFS('External Data'!$L$2:$L$1001,SUBSTITUTE(SUBSTITUTE(SUBSTITUTE(L286,"~","~~"),"*","~*"),"?","~?")))</x:f>
      </x:c>
      <x:c r="I286" s="13" t="str">
        <x:f>IF(OR(H286&lt;&gt;1,G286&lt;&gt;1),"",SUMIFS('External Data'!$E$2:$E$1001,'External Data'!$L$2:$L$1001,SUBSTITUTE(SUBSTITUTE(SUBSTITUTE(L286,"~","~~"),"*","~*"),"?","~?")))</x:f>
      </x:c>
      <x:c r="J286" s="13" t="str">
        <x:f>IF(OR(NOT(ISNUMBER(E286)),NOT(ISNUMBER(I286))),"",ROUND(E286-I286,2))</x:f>
      </x:c>
      <x:c r="K286" s="2" t="str">
        <x:f>IF(COUNTA(A286:F286)=0,"",IF(OR(A286="",B286="",C286="",D286="",NOT(ISNUMBER(E286))),"Missing / invalid input",IF(G286&gt;1,"Duplicate key in this source",IF(H286=0,"Missing in other source",IF(H286&gt;1,"Duplicate in other source",IF(SUMIFS('External Data'!$M$2:$M$1001,'External Data'!$L$2:$L$1001,SUBSTITUTE(SUBSTITUTE(SUBSTITUTE(L286,"~","~~"),"*","~*"),"?","~?"))&lt;&gt;1,"Other amount is invalid",IF(J286&lt;&gt;0,"Amount differs","Matched")))))))</x:f>
      </x:c>
      <x:c r="L286" t="str">
        <x:f>IF(COUNTA(A286:F286)=0,"",LEN(A286)&amp;":"&amp;A286&amp;LEN(B286)&amp;":"&amp;B286&amp;LEN(C286)&amp;":"&amp;C286&amp;LEN(D286)&amp;":"&amp;D286)</x:f>
      </x:c>
      <x:c r="M286" t="str">
        <x:f>IF(COUNTA(A286:F286)=0,"",IF(ISNUMBER(E286),1,0))</x:f>
      </x:c>
    </x:row>
    <x:row r="287">
      <x:c r="A287" s="11"/>
      <x:c r="B287" s="11"/>
      <x:c r="C287" s="11"/>
      <x:c r="D287" s="11"/>
      <x:c r="E287" s="12"/>
      <x:c r="F287" s="10"/>
      <x:c r="G287" s="2" t="str">
        <x:f>IF(COUNTA(A287:F287)=0,"",COUNTIFS('App Data'!$L$2:$L$1001,SUBSTITUTE(SUBSTITUTE(SUBSTITUTE(L287,"~","~~"),"*","~*"),"?","~?")))</x:f>
      </x:c>
      <x:c r="H287" s="2" t="str">
        <x:f>IF(COUNTA(A287:F287)=0,"",COUNTIFS('External Data'!$L$2:$L$1001,SUBSTITUTE(SUBSTITUTE(SUBSTITUTE(L287,"~","~~"),"*","~*"),"?","~?")))</x:f>
      </x:c>
      <x:c r="I287" s="13" t="str">
        <x:f>IF(OR(H287&lt;&gt;1,G287&lt;&gt;1),"",SUMIFS('External Data'!$E$2:$E$1001,'External Data'!$L$2:$L$1001,SUBSTITUTE(SUBSTITUTE(SUBSTITUTE(L287,"~","~~"),"*","~*"),"?","~?")))</x:f>
      </x:c>
      <x:c r="J287" s="13" t="str">
        <x:f>IF(OR(NOT(ISNUMBER(E287)),NOT(ISNUMBER(I287))),"",ROUND(E287-I287,2))</x:f>
      </x:c>
      <x:c r="K287" s="2" t="str">
        <x:f>IF(COUNTA(A287:F287)=0,"",IF(OR(A287="",B287="",C287="",D287="",NOT(ISNUMBER(E287))),"Missing / invalid input",IF(G287&gt;1,"Duplicate key in this source",IF(H287=0,"Missing in other source",IF(H287&gt;1,"Duplicate in other source",IF(SUMIFS('External Data'!$M$2:$M$1001,'External Data'!$L$2:$L$1001,SUBSTITUTE(SUBSTITUTE(SUBSTITUTE(L287,"~","~~"),"*","~*"),"?","~?"))&lt;&gt;1,"Other amount is invalid",IF(J287&lt;&gt;0,"Amount differs","Matched")))))))</x:f>
      </x:c>
      <x:c r="L287" t="str">
        <x:f>IF(COUNTA(A287:F287)=0,"",LEN(A287)&amp;":"&amp;A287&amp;LEN(B287)&amp;":"&amp;B287&amp;LEN(C287)&amp;":"&amp;C287&amp;LEN(D287)&amp;":"&amp;D287)</x:f>
      </x:c>
      <x:c r="M287" t="str">
        <x:f>IF(COUNTA(A287:F287)=0,"",IF(ISNUMBER(E287),1,0))</x:f>
      </x:c>
    </x:row>
    <x:row r="288">
      <x:c r="A288" s="11"/>
      <x:c r="B288" s="11"/>
      <x:c r="C288" s="11"/>
      <x:c r="D288" s="11"/>
      <x:c r="E288" s="12"/>
      <x:c r="F288" s="10"/>
      <x:c r="G288" s="2" t="str">
        <x:f>IF(COUNTA(A288:F288)=0,"",COUNTIFS('App Data'!$L$2:$L$1001,SUBSTITUTE(SUBSTITUTE(SUBSTITUTE(L288,"~","~~"),"*","~*"),"?","~?")))</x:f>
      </x:c>
      <x:c r="H288" s="2" t="str">
        <x:f>IF(COUNTA(A288:F288)=0,"",COUNTIFS('External Data'!$L$2:$L$1001,SUBSTITUTE(SUBSTITUTE(SUBSTITUTE(L288,"~","~~"),"*","~*"),"?","~?")))</x:f>
      </x:c>
      <x:c r="I288" s="13" t="str">
        <x:f>IF(OR(H288&lt;&gt;1,G288&lt;&gt;1),"",SUMIFS('External Data'!$E$2:$E$1001,'External Data'!$L$2:$L$1001,SUBSTITUTE(SUBSTITUTE(SUBSTITUTE(L288,"~","~~"),"*","~*"),"?","~?")))</x:f>
      </x:c>
      <x:c r="J288" s="13" t="str">
        <x:f>IF(OR(NOT(ISNUMBER(E288)),NOT(ISNUMBER(I288))),"",ROUND(E288-I288,2))</x:f>
      </x:c>
      <x:c r="K288" s="2" t="str">
        <x:f>IF(COUNTA(A288:F288)=0,"",IF(OR(A288="",B288="",C288="",D288="",NOT(ISNUMBER(E288))),"Missing / invalid input",IF(G288&gt;1,"Duplicate key in this source",IF(H288=0,"Missing in other source",IF(H288&gt;1,"Duplicate in other source",IF(SUMIFS('External Data'!$M$2:$M$1001,'External Data'!$L$2:$L$1001,SUBSTITUTE(SUBSTITUTE(SUBSTITUTE(L288,"~","~~"),"*","~*"),"?","~?"))&lt;&gt;1,"Other amount is invalid",IF(J288&lt;&gt;0,"Amount differs","Matched")))))))</x:f>
      </x:c>
      <x:c r="L288" t="str">
        <x:f>IF(COUNTA(A288:F288)=0,"",LEN(A288)&amp;":"&amp;A288&amp;LEN(B288)&amp;":"&amp;B288&amp;LEN(C288)&amp;":"&amp;C288&amp;LEN(D288)&amp;":"&amp;D288)</x:f>
      </x:c>
      <x:c r="M288" t="str">
        <x:f>IF(COUNTA(A288:F288)=0,"",IF(ISNUMBER(E288),1,0))</x:f>
      </x:c>
    </x:row>
    <x:row r="289">
      <x:c r="A289" s="11"/>
      <x:c r="B289" s="11"/>
      <x:c r="C289" s="11"/>
      <x:c r="D289" s="11"/>
      <x:c r="E289" s="12"/>
      <x:c r="F289" s="10"/>
      <x:c r="G289" s="2" t="str">
        <x:f>IF(COUNTA(A289:F289)=0,"",COUNTIFS('App Data'!$L$2:$L$1001,SUBSTITUTE(SUBSTITUTE(SUBSTITUTE(L289,"~","~~"),"*","~*"),"?","~?")))</x:f>
      </x:c>
      <x:c r="H289" s="2" t="str">
        <x:f>IF(COUNTA(A289:F289)=0,"",COUNTIFS('External Data'!$L$2:$L$1001,SUBSTITUTE(SUBSTITUTE(SUBSTITUTE(L289,"~","~~"),"*","~*"),"?","~?")))</x:f>
      </x:c>
      <x:c r="I289" s="13" t="str">
        <x:f>IF(OR(H289&lt;&gt;1,G289&lt;&gt;1),"",SUMIFS('External Data'!$E$2:$E$1001,'External Data'!$L$2:$L$1001,SUBSTITUTE(SUBSTITUTE(SUBSTITUTE(L289,"~","~~"),"*","~*"),"?","~?")))</x:f>
      </x:c>
      <x:c r="J289" s="13" t="str">
        <x:f>IF(OR(NOT(ISNUMBER(E289)),NOT(ISNUMBER(I289))),"",ROUND(E289-I289,2))</x:f>
      </x:c>
      <x:c r="K289" s="2" t="str">
        <x:f>IF(COUNTA(A289:F289)=0,"",IF(OR(A289="",B289="",C289="",D289="",NOT(ISNUMBER(E289))),"Missing / invalid input",IF(G289&gt;1,"Duplicate key in this source",IF(H289=0,"Missing in other source",IF(H289&gt;1,"Duplicate in other source",IF(SUMIFS('External Data'!$M$2:$M$1001,'External Data'!$L$2:$L$1001,SUBSTITUTE(SUBSTITUTE(SUBSTITUTE(L289,"~","~~"),"*","~*"),"?","~?"))&lt;&gt;1,"Other amount is invalid",IF(J289&lt;&gt;0,"Amount differs","Matched")))))))</x:f>
      </x:c>
      <x:c r="L289" t="str">
        <x:f>IF(COUNTA(A289:F289)=0,"",LEN(A289)&amp;":"&amp;A289&amp;LEN(B289)&amp;":"&amp;B289&amp;LEN(C289)&amp;":"&amp;C289&amp;LEN(D289)&amp;":"&amp;D289)</x:f>
      </x:c>
      <x:c r="M289" t="str">
        <x:f>IF(COUNTA(A289:F289)=0,"",IF(ISNUMBER(E289),1,0))</x:f>
      </x:c>
    </x:row>
    <x:row r="290">
      <x:c r="A290" s="11"/>
      <x:c r="B290" s="11"/>
      <x:c r="C290" s="11"/>
      <x:c r="D290" s="11"/>
      <x:c r="E290" s="12"/>
      <x:c r="F290" s="10"/>
      <x:c r="G290" s="2" t="str">
        <x:f>IF(COUNTA(A290:F290)=0,"",COUNTIFS('App Data'!$L$2:$L$1001,SUBSTITUTE(SUBSTITUTE(SUBSTITUTE(L290,"~","~~"),"*","~*"),"?","~?")))</x:f>
      </x:c>
      <x:c r="H290" s="2" t="str">
        <x:f>IF(COUNTA(A290:F290)=0,"",COUNTIFS('External Data'!$L$2:$L$1001,SUBSTITUTE(SUBSTITUTE(SUBSTITUTE(L290,"~","~~"),"*","~*"),"?","~?")))</x:f>
      </x:c>
      <x:c r="I290" s="13" t="str">
        <x:f>IF(OR(H290&lt;&gt;1,G290&lt;&gt;1),"",SUMIFS('External Data'!$E$2:$E$1001,'External Data'!$L$2:$L$1001,SUBSTITUTE(SUBSTITUTE(SUBSTITUTE(L290,"~","~~"),"*","~*"),"?","~?")))</x:f>
      </x:c>
      <x:c r="J290" s="13" t="str">
        <x:f>IF(OR(NOT(ISNUMBER(E290)),NOT(ISNUMBER(I290))),"",ROUND(E290-I290,2))</x:f>
      </x:c>
      <x:c r="K290" s="2" t="str">
        <x:f>IF(COUNTA(A290:F290)=0,"",IF(OR(A290="",B290="",C290="",D290="",NOT(ISNUMBER(E290))),"Missing / invalid input",IF(G290&gt;1,"Duplicate key in this source",IF(H290=0,"Missing in other source",IF(H290&gt;1,"Duplicate in other source",IF(SUMIFS('External Data'!$M$2:$M$1001,'External Data'!$L$2:$L$1001,SUBSTITUTE(SUBSTITUTE(SUBSTITUTE(L290,"~","~~"),"*","~*"),"?","~?"))&lt;&gt;1,"Other amount is invalid",IF(J290&lt;&gt;0,"Amount differs","Matched")))))))</x:f>
      </x:c>
      <x:c r="L290" t="str">
        <x:f>IF(COUNTA(A290:F290)=0,"",LEN(A290)&amp;":"&amp;A290&amp;LEN(B290)&amp;":"&amp;B290&amp;LEN(C290)&amp;":"&amp;C290&amp;LEN(D290)&amp;":"&amp;D290)</x:f>
      </x:c>
      <x:c r="M290" t="str">
        <x:f>IF(COUNTA(A290:F290)=0,"",IF(ISNUMBER(E290),1,0))</x:f>
      </x:c>
    </x:row>
    <x:row r="291">
      <x:c r="A291" s="11"/>
      <x:c r="B291" s="11"/>
      <x:c r="C291" s="11"/>
      <x:c r="D291" s="11"/>
      <x:c r="E291" s="12"/>
      <x:c r="F291" s="10"/>
      <x:c r="G291" s="2" t="str">
        <x:f>IF(COUNTA(A291:F291)=0,"",COUNTIFS('App Data'!$L$2:$L$1001,SUBSTITUTE(SUBSTITUTE(SUBSTITUTE(L291,"~","~~"),"*","~*"),"?","~?")))</x:f>
      </x:c>
      <x:c r="H291" s="2" t="str">
        <x:f>IF(COUNTA(A291:F291)=0,"",COUNTIFS('External Data'!$L$2:$L$1001,SUBSTITUTE(SUBSTITUTE(SUBSTITUTE(L291,"~","~~"),"*","~*"),"?","~?")))</x:f>
      </x:c>
      <x:c r="I291" s="13" t="str">
        <x:f>IF(OR(H291&lt;&gt;1,G291&lt;&gt;1),"",SUMIFS('External Data'!$E$2:$E$1001,'External Data'!$L$2:$L$1001,SUBSTITUTE(SUBSTITUTE(SUBSTITUTE(L291,"~","~~"),"*","~*"),"?","~?")))</x:f>
      </x:c>
      <x:c r="J291" s="13" t="str">
        <x:f>IF(OR(NOT(ISNUMBER(E291)),NOT(ISNUMBER(I291))),"",ROUND(E291-I291,2))</x:f>
      </x:c>
      <x:c r="K291" s="2" t="str">
        <x:f>IF(COUNTA(A291:F291)=0,"",IF(OR(A291="",B291="",C291="",D291="",NOT(ISNUMBER(E291))),"Missing / invalid input",IF(G291&gt;1,"Duplicate key in this source",IF(H291=0,"Missing in other source",IF(H291&gt;1,"Duplicate in other source",IF(SUMIFS('External Data'!$M$2:$M$1001,'External Data'!$L$2:$L$1001,SUBSTITUTE(SUBSTITUTE(SUBSTITUTE(L291,"~","~~"),"*","~*"),"?","~?"))&lt;&gt;1,"Other amount is invalid",IF(J291&lt;&gt;0,"Amount differs","Matched")))))))</x:f>
      </x:c>
      <x:c r="L291" t="str">
        <x:f>IF(COUNTA(A291:F291)=0,"",LEN(A291)&amp;":"&amp;A291&amp;LEN(B291)&amp;":"&amp;B291&amp;LEN(C291)&amp;":"&amp;C291&amp;LEN(D291)&amp;":"&amp;D291)</x:f>
      </x:c>
      <x:c r="M291" t="str">
        <x:f>IF(COUNTA(A291:F291)=0,"",IF(ISNUMBER(E291),1,0))</x:f>
      </x:c>
    </x:row>
    <x:row r="292">
      <x:c r="A292" s="11"/>
      <x:c r="B292" s="11"/>
      <x:c r="C292" s="11"/>
      <x:c r="D292" s="11"/>
      <x:c r="E292" s="12"/>
      <x:c r="F292" s="10"/>
      <x:c r="G292" s="2" t="str">
        <x:f>IF(COUNTA(A292:F292)=0,"",COUNTIFS('App Data'!$L$2:$L$1001,SUBSTITUTE(SUBSTITUTE(SUBSTITUTE(L292,"~","~~"),"*","~*"),"?","~?")))</x:f>
      </x:c>
      <x:c r="H292" s="2" t="str">
        <x:f>IF(COUNTA(A292:F292)=0,"",COUNTIFS('External Data'!$L$2:$L$1001,SUBSTITUTE(SUBSTITUTE(SUBSTITUTE(L292,"~","~~"),"*","~*"),"?","~?")))</x:f>
      </x:c>
      <x:c r="I292" s="13" t="str">
        <x:f>IF(OR(H292&lt;&gt;1,G292&lt;&gt;1),"",SUMIFS('External Data'!$E$2:$E$1001,'External Data'!$L$2:$L$1001,SUBSTITUTE(SUBSTITUTE(SUBSTITUTE(L292,"~","~~"),"*","~*"),"?","~?")))</x:f>
      </x:c>
      <x:c r="J292" s="13" t="str">
        <x:f>IF(OR(NOT(ISNUMBER(E292)),NOT(ISNUMBER(I292))),"",ROUND(E292-I292,2))</x:f>
      </x:c>
      <x:c r="K292" s="2" t="str">
        <x:f>IF(COUNTA(A292:F292)=0,"",IF(OR(A292="",B292="",C292="",D292="",NOT(ISNUMBER(E292))),"Missing / invalid input",IF(G292&gt;1,"Duplicate key in this source",IF(H292=0,"Missing in other source",IF(H292&gt;1,"Duplicate in other source",IF(SUMIFS('External Data'!$M$2:$M$1001,'External Data'!$L$2:$L$1001,SUBSTITUTE(SUBSTITUTE(SUBSTITUTE(L292,"~","~~"),"*","~*"),"?","~?"))&lt;&gt;1,"Other amount is invalid",IF(J292&lt;&gt;0,"Amount differs","Matched")))))))</x:f>
      </x:c>
      <x:c r="L292" t="str">
        <x:f>IF(COUNTA(A292:F292)=0,"",LEN(A292)&amp;":"&amp;A292&amp;LEN(B292)&amp;":"&amp;B292&amp;LEN(C292)&amp;":"&amp;C292&amp;LEN(D292)&amp;":"&amp;D292)</x:f>
      </x:c>
      <x:c r="M292" t="str">
        <x:f>IF(COUNTA(A292:F292)=0,"",IF(ISNUMBER(E292),1,0))</x:f>
      </x:c>
    </x:row>
    <x:row r="293">
      <x:c r="A293" s="11"/>
      <x:c r="B293" s="11"/>
      <x:c r="C293" s="11"/>
      <x:c r="D293" s="11"/>
      <x:c r="E293" s="12"/>
      <x:c r="F293" s="10"/>
      <x:c r="G293" s="2" t="str">
        <x:f>IF(COUNTA(A293:F293)=0,"",COUNTIFS('App Data'!$L$2:$L$1001,SUBSTITUTE(SUBSTITUTE(SUBSTITUTE(L293,"~","~~"),"*","~*"),"?","~?")))</x:f>
      </x:c>
      <x:c r="H293" s="2" t="str">
        <x:f>IF(COUNTA(A293:F293)=0,"",COUNTIFS('External Data'!$L$2:$L$1001,SUBSTITUTE(SUBSTITUTE(SUBSTITUTE(L293,"~","~~"),"*","~*"),"?","~?")))</x:f>
      </x:c>
      <x:c r="I293" s="13" t="str">
        <x:f>IF(OR(H293&lt;&gt;1,G293&lt;&gt;1),"",SUMIFS('External Data'!$E$2:$E$1001,'External Data'!$L$2:$L$1001,SUBSTITUTE(SUBSTITUTE(SUBSTITUTE(L293,"~","~~"),"*","~*"),"?","~?")))</x:f>
      </x:c>
      <x:c r="J293" s="13" t="str">
        <x:f>IF(OR(NOT(ISNUMBER(E293)),NOT(ISNUMBER(I293))),"",ROUND(E293-I293,2))</x:f>
      </x:c>
      <x:c r="K293" s="2" t="str">
        <x:f>IF(COUNTA(A293:F293)=0,"",IF(OR(A293="",B293="",C293="",D293="",NOT(ISNUMBER(E293))),"Missing / invalid input",IF(G293&gt;1,"Duplicate key in this source",IF(H293=0,"Missing in other source",IF(H293&gt;1,"Duplicate in other source",IF(SUMIFS('External Data'!$M$2:$M$1001,'External Data'!$L$2:$L$1001,SUBSTITUTE(SUBSTITUTE(SUBSTITUTE(L293,"~","~~"),"*","~*"),"?","~?"))&lt;&gt;1,"Other amount is invalid",IF(J293&lt;&gt;0,"Amount differs","Matched")))))))</x:f>
      </x:c>
      <x:c r="L293" t="str">
        <x:f>IF(COUNTA(A293:F293)=0,"",LEN(A293)&amp;":"&amp;A293&amp;LEN(B293)&amp;":"&amp;B293&amp;LEN(C293)&amp;":"&amp;C293&amp;LEN(D293)&amp;":"&amp;D293)</x:f>
      </x:c>
      <x:c r="M293" t="str">
        <x:f>IF(COUNTA(A293:F293)=0,"",IF(ISNUMBER(E293),1,0))</x:f>
      </x:c>
    </x:row>
    <x:row r="294">
      <x:c r="A294" s="11"/>
      <x:c r="B294" s="11"/>
      <x:c r="C294" s="11"/>
      <x:c r="D294" s="11"/>
      <x:c r="E294" s="12"/>
      <x:c r="F294" s="10"/>
      <x:c r="G294" s="2" t="str">
        <x:f>IF(COUNTA(A294:F294)=0,"",COUNTIFS('App Data'!$L$2:$L$1001,SUBSTITUTE(SUBSTITUTE(SUBSTITUTE(L294,"~","~~"),"*","~*"),"?","~?")))</x:f>
      </x:c>
      <x:c r="H294" s="2" t="str">
        <x:f>IF(COUNTA(A294:F294)=0,"",COUNTIFS('External Data'!$L$2:$L$1001,SUBSTITUTE(SUBSTITUTE(SUBSTITUTE(L294,"~","~~"),"*","~*"),"?","~?")))</x:f>
      </x:c>
      <x:c r="I294" s="13" t="str">
        <x:f>IF(OR(H294&lt;&gt;1,G294&lt;&gt;1),"",SUMIFS('External Data'!$E$2:$E$1001,'External Data'!$L$2:$L$1001,SUBSTITUTE(SUBSTITUTE(SUBSTITUTE(L294,"~","~~"),"*","~*"),"?","~?")))</x:f>
      </x:c>
      <x:c r="J294" s="13" t="str">
        <x:f>IF(OR(NOT(ISNUMBER(E294)),NOT(ISNUMBER(I294))),"",ROUND(E294-I294,2))</x:f>
      </x:c>
      <x:c r="K294" s="2" t="str">
        <x:f>IF(COUNTA(A294:F294)=0,"",IF(OR(A294="",B294="",C294="",D294="",NOT(ISNUMBER(E294))),"Missing / invalid input",IF(G294&gt;1,"Duplicate key in this source",IF(H294=0,"Missing in other source",IF(H294&gt;1,"Duplicate in other source",IF(SUMIFS('External Data'!$M$2:$M$1001,'External Data'!$L$2:$L$1001,SUBSTITUTE(SUBSTITUTE(SUBSTITUTE(L294,"~","~~"),"*","~*"),"?","~?"))&lt;&gt;1,"Other amount is invalid",IF(J294&lt;&gt;0,"Amount differs","Matched")))))))</x:f>
      </x:c>
      <x:c r="L294" t="str">
        <x:f>IF(COUNTA(A294:F294)=0,"",LEN(A294)&amp;":"&amp;A294&amp;LEN(B294)&amp;":"&amp;B294&amp;LEN(C294)&amp;":"&amp;C294&amp;LEN(D294)&amp;":"&amp;D294)</x:f>
      </x:c>
      <x:c r="M294" t="str">
        <x:f>IF(COUNTA(A294:F294)=0,"",IF(ISNUMBER(E294),1,0))</x:f>
      </x:c>
    </x:row>
    <x:row r="295">
      <x:c r="A295" s="11"/>
      <x:c r="B295" s="11"/>
      <x:c r="C295" s="11"/>
      <x:c r="D295" s="11"/>
      <x:c r="E295" s="12"/>
      <x:c r="F295" s="10"/>
      <x:c r="G295" s="2" t="str">
        <x:f>IF(COUNTA(A295:F295)=0,"",COUNTIFS('App Data'!$L$2:$L$1001,SUBSTITUTE(SUBSTITUTE(SUBSTITUTE(L295,"~","~~"),"*","~*"),"?","~?")))</x:f>
      </x:c>
      <x:c r="H295" s="2" t="str">
        <x:f>IF(COUNTA(A295:F295)=0,"",COUNTIFS('External Data'!$L$2:$L$1001,SUBSTITUTE(SUBSTITUTE(SUBSTITUTE(L295,"~","~~"),"*","~*"),"?","~?")))</x:f>
      </x:c>
      <x:c r="I295" s="13" t="str">
        <x:f>IF(OR(H295&lt;&gt;1,G295&lt;&gt;1),"",SUMIFS('External Data'!$E$2:$E$1001,'External Data'!$L$2:$L$1001,SUBSTITUTE(SUBSTITUTE(SUBSTITUTE(L295,"~","~~"),"*","~*"),"?","~?")))</x:f>
      </x:c>
      <x:c r="J295" s="13" t="str">
        <x:f>IF(OR(NOT(ISNUMBER(E295)),NOT(ISNUMBER(I295))),"",ROUND(E295-I295,2))</x:f>
      </x:c>
      <x:c r="K295" s="2" t="str">
        <x:f>IF(COUNTA(A295:F295)=0,"",IF(OR(A295="",B295="",C295="",D295="",NOT(ISNUMBER(E295))),"Missing / invalid input",IF(G295&gt;1,"Duplicate key in this source",IF(H295=0,"Missing in other source",IF(H295&gt;1,"Duplicate in other source",IF(SUMIFS('External Data'!$M$2:$M$1001,'External Data'!$L$2:$L$1001,SUBSTITUTE(SUBSTITUTE(SUBSTITUTE(L295,"~","~~"),"*","~*"),"?","~?"))&lt;&gt;1,"Other amount is invalid",IF(J295&lt;&gt;0,"Amount differs","Matched")))))))</x:f>
      </x:c>
      <x:c r="L295" t="str">
        <x:f>IF(COUNTA(A295:F295)=0,"",LEN(A295)&amp;":"&amp;A295&amp;LEN(B295)&amp;":"&amp;B295&amp;LEN(C295)&amp;":"&amp;C295&amp;LEN(D295)&amp;":"&amp;D295)</x:f>
      </x:c>
      <x:c r="M295" t="str">
        <x:f>IF(COUNTA(A295:F295)=0,"",IF(ISNUMBER(E295),1,0))</x:f>
      </x:c>
    </x:row>
    <x:row r="296">
      <x:c r="A296" s="11"/>
      <x:c r="B296" s="11"/>
      <x:c r="C296" s="11"/>
      <x:c r="D296" s="11"/>
      <x:c r="E296" s="12"/>
      <x:c r="F296" s="10"/>
      <x:c r="G296" s="2" t="str">
        <x:f>IF(COUNTA(A296:F296)=0,"",COUNTIFS('App Data'!$L$2:$L$1001,SUBSTITUTE(SUBSTITUTE(SUBSTITUTE(L296,"~","~~"),"*","~*"),"?","~?")))</x:f>
      </x:c>
      <x:c r="H296" s="2" t="str">
        <x:f>IF(COUNTA(A296:F296)=0,"",COUNTIFS('External Data'!$L$2:$L$1001,SUBSTITUTE(SUBSTITUTE(SUBSTITUTE(L296,"~","~~"),"*","~*"),"?","~?")))</x:f>
      </x:c>
      <x:c r="I296" s="13" t="str">
        <x:f>IF(OR(H296&lt;&gt;1,G296&lt;&gt;1),"",SUMIFS('External Data'!$E$2:$E$1001,'External Data'!$L$2:$L$1001,SUBSTITUTE(SUBSTITUTE(SUBSTITUTE(L296,"~","~~"),"*","~*"),"?","~?")))</x:f>
      </x:c>
      <x:c r="J296" s="13" t="str">
        <x:f>IF(OR(NOT(ISNUMBER(E296)),NOT(ISNUMBER(I296))),"",ROUND(E296-I296,2))</x:f>
      </x:c>
      <x:c r="K296" s="2" t="str">
        <x:f>IF(COUNTA(A296:F296)=0,"",IF(OR(A296="",B296="",C296="",D296="",NOT(ISNUMBER(E296))),"Missing / invalid input",IF(G296&gt;1,"Duplicate key in this source",IF(H296=0,"Missing in other source",IF(H296&gt;1,"Duplicate in other source",IF(SUMIFS('External Data'!$M$2:$M$1001,'External Data'!$L$2:$L$1001,SUBSTITUTE(SUBSTITUTE(SUBSTITUTE(L296,"~","~~"),"*","~*"),"?","~?"))&lt;&gt;1,"Other amount is invalid",IF(J296&lt;&gt;0,"Amount differs","Matched")))))))</x:f>
      </x:c>
      <x:c r="L296" t="str">
        <x:f>IF(COUNTA(A296:F296)=0,"",LEN(A296)&amp;":"&amp;A296&amp;LEN(B296)&amp;":"&amp;B296&amp;LEN(C296)&amp;":"&amp;C296&amp;LEN(D296)&amp;":"&amp;D296)</x:f>
      </x:c>
      <x:c r="M296" t="str">
        <x:f>IF(COUNTA(A296:F296)=0,"",IF(ISNUMBER(E296),1,0))</x:f>
      </x:c>
    </x:row>
    <x:row r="297">
      <x:c r="A297" s="11"/>
      <x:c r="B297" s="11"/>
      <x:c r="C297" s="11"/>
      <x:c r="D297" s="11"/>
      <x:c r="E297" s="12"/>
      <x:c r="F297" s="10"/>
      <x:c r="G297" s="2" t="str">
        <x:f>IF(COUNTA(A297:F297)=0,"",COUNTIFS('App Data'!$L$2:$L$1001,SUBSTITUTE(SUBSTITUTE(SUBSTITUTE(L297,"~","~~"),"*","~*"),"?","~?")))</x:f>
      </x:c>
      <x:c r="H297" s="2" t="str">
        <x:f>IF(COUNTA(A297:F297)=0,"",COUNTIFS('External Data'!$L$2:$L$1001,SUBSTITUTE(SUBSTITUTE(SUBSTITUTE(L297,"~","~~"),"*","~*"),"?","~?")))</x:f>
      </x:c>
      <x:c r="I297" s="13" t="str">
        <x:f>IF(OR(H297&lt;&gt;1,G297&lt;&gt;1),"",SUMIFS('External Data'!$E$2:$E$1001,'External Data'!$L$2:$L$1001,SUBSTITUTE(SUBSTITUTE(SUBSTITUTE(L297,"~","~~"),"*","~*"),"?","~?")))</x:f>
      </x:c>
      <x:c r="J297" s="13" t="str">
        <x:f>IF(OR(NOT(ISNUMBER(E297)),NOT(ISNUMBER(I297))),"",ROUND(E297-I297,2))</x:f>
      </x:c>
      <x:c r="K297" s="2" t="str">
        <x:f>IF(COUNTA(A297:F297)=0,"",IF(OR(A297="",B297="",C297="",D297="",NOT(ISNUMBER(E297))),"Missing / invalid input",IF(G297&gt;1,"Duplicate key in this source",IF(H297=0,"Missing in other source",IF(H297&gt;1,"Duplicate in other source",IF(SUMIFS('External Data'!$M$2:$M$1001,'External Data'!$L$2:$L$1001,SUBSTITUTE(SUBSTITUTE(SUBSTITUTE(L297,"~","~~"),"*","~*"),"?","~?"))&lt;&gt;1,"Other amount is invalid",IF(J297&lt;&gt;0,"Amount differs","Matched")))))))</x:f>
      </x:c>
      <x:c r="L297" t="str">
        <x:f>IF(COUNTA(A297:F297)=0,"",LEN(A297)&amp;":"&amp;A297&amp;LEN(B297)&amp;":"&amp;B297&amp;LEN(C297)&amp;":"&amp;C297&amp;LEN(D297)&amp;":"&amp;D297)</x:f>
      </x:c>
      <x:c r="M297" t="str">
        <x:f>IF(COUNTA(A297:F297)=0,"",IF(ISNUMBER(E297),1,0))</x:f>
      </x:c>
    </x:row>
    <x:row r="298">
      <x:c r="A298" s="11"/>
      <x:c r="B298" s="11"/>
      <x:c r="C298" s="11"/>
      <x:c r="D298" s="11"/>
      <x:c r="E298" s="12"/>
      <x:c r="F298" s="10"/>
      <x:c r="G298" s="2" t="str">
        <x:f>IF(COUNTA(A298:F298)=0,"",COUNTIFS('App Data'!$L$2:$L$1001,SUBSTITUTE(SUBSTITUTE(SUBSTITUTE(L298,"~","~~"),"*","~*"),"?","~?")))</x:f>
      </x:c>
      <x:c r="H298" s="2" t="str">
        <x:f>IF(COUNTA(A298:F298)=0,"",COUNTIFS('External Data'!$L$2:$L$1001,SUBSTITUTE(SUBSTITUTE(SUBSTITUTE(L298,"~","~~"),"*","~*"),"?","~?")))</x:f>
      </x:c>
      <x:c r="I298" s="13" t="str">
        <x:f>IF(OR(H298&lt;&gt;1,G298&lt;&gt;1),"",SUMIFS('External Data'!$E$2:$E$1001,'External Data'!$L$2:$L$1001,SUBSTITUTE(SUBSTITUTE(SUBSTITUTE(L298,"~","~~"),"*","~*"),"?","~?")))</x:f>
      </x:c>
      <x:c r="J298" s="13" t="str">
        <x:f>IF(OR(NOT(ISNUMBER(E298)),NOT(ISNUMBER(I298))),"",ROUND(E298-I298,2))</x:f>
      </x:c>
      <x:c r="K298" s="2" t="str">
        <x:f>IF(COUNTA(A298:F298)=0,"",IF(OR(A298="",B298="",C298="",D298="",NOT(ISNUMBER(E298))),"Missing / invalid input",IF(G298&gt;1,"Duplicate key in this source",IF(H298=0,"Missing in other source",IF(H298&gt;1,"Duplicate in other source",IF(SUMIFS('External Data'!$M$2:$M$1001,'External Data'!$L$2:$L$1001,SUBSTITUTE(SUBSTITUTE(SUBSTITUTE(L298,"~","~~"),"*","~*"),"?","~?"))&lt;&gt;1,"Other amount is invalid",IF(J298&lt;&gt;0,"Amount differs","Matched")))))))</x:f>
      </x:c>
      <x:c r="L298" t="str">
        <x:f>IF(COUNTA(A298:F298)=0,"",LEN(A298)&amp;":"&amp;A298&amp;LEN(B298)&amp;":"&amp;B298&amp;LEN(C298)&amp;":"&amp;C298&amp;LEN(D298)&amp;":"&amp;D298)</x:f>
      </x:c>
      <x:c r="M298" t="str">
        <x:f>IF(COUNTA(A298:F298)=0,"",IF(ISNUMBER(E298),1,0))</x:f>
      </x:c>
    </x:row>
    <x:row r="299">
      <x:c r="A299" s="11"/>
      <x:c r="B299" s="11"/>
      <x:c r="C299" s="11"/>
      <x:c r="D299" s="11"/>
      <x:c r="E299" s="12"/>
      <x:c r="F299" s="10"/>
      <x:c r="G299" s="2" t="str">
        <x:f>IF(COUNTA(A299:F299)=0,"",COUNTIFS('App Data'!$L$2:$L$1001,SUBSTITUTE(SUBSTITUTE(SUBSTITUTE(L299,"~","~~"),"*","~*"),"?","~?")))</x:f>
      </x:c>
      <x:c r="H299" s="2" t="str">
        <x:f>IF(COUNTA(A299:F299)=0,"",COUNTIFS('External Data'!$L$2:$L$1001,SUBSTITUTE(SUBSTITUTE(SUBSTITUTE(L299,"~","~~"),"*","~*"),"?","~?")))</x:f>
      </x:c>
      <x:c r="I299" s="13" t="str">
        <x:f>IF(OR(H299&lt;&gt;1,G299&lt;&gt;1),"",SUMIFS('External Data'!$E$2:$E$1001,'External Data'!$L$2:$L$1001,SUBSTITUTE(SUBSTITUTE(SUBSTITUTE(L299,"~","~~"),"*","~*"),"?","~?")))</x:f>
      </x:c>
      <x:c r="J299" s="13" t="str">
        <x:f>IF(OR(NOT(ISNUMBER(E299)),NOT(ISNUMBER(I299))),"",ROUND(E299-I299,2))</x:f>
      </x:c>
      <x:c r="K299" s="2" t="str">
        <x:f>IF(COUNTA(A299:F299)=0,"",IF(OR(A299="",B299="",C299="",D299="",NOT(ISNUMBER(E299))),"Missing / invalid input",IF(G299&gt;1,"Duplicate key in this source",IF(H299=0,"Missing in other source",IF(H299&gt;1,"Duplicate in other source",IF(SUMIFS('External Data'!$M$2:$M$1001,'External Data'!$L$2:$L$1001,SUBSTITUTE(SUBSTITUTE(SUBSTITUTE(L299,"~","~~"),"*","~*"),"?","~?"))&lt;&gt;1,"Other amount is invalid",IF(J299&lt;&gt;0,"Amount differs","Matched")))))))</x:f>
      </x:c>
      <x:c r="L299" t="str">
        <x:f>IF(COUNTA(A299:F299)=0,"",LEN(A299)&amp;":"&amp;A299&amp;LEN(B299)&amp;":"&amp;B299&amp;LEN(C299)&amp;":"&amp;C299&amp;LEN(D299)&amp;":"&amp;D299)</x:f>
      </x:c>
      <x:c r="M299" t="str">
        <x:f>IF(COUNTA(A299:F299)=0,"",IF(ISNUMBER(E299),1,0))</x:f>
      </x:c>
    </x:row>
    <x:row r="300">
      <x:c r="A300" s="11"/>
      <x:c r="B300" s="11"/>
      <x:c r="C300" s="11"/>
      <x:c r="D300" s="11"/>
      <x:c r="E300" s="12"/>
      <x:c r="F300" s="10"/>
      <x:c r="G300" s="2" t="str">
        <x:f>IF(COUNTA(A300:F300)=0,"",COUNTIFS('App Data'!$L$2:$L$1001,SUBSTITUTE(SUBSTITUTE(SUBSTITUTE(L300,"~","~~"),"*","~*"),"?","~?")))</x:f>
      </x:c>
      <x:c r="H300" s="2" t="str">
        <x:f>IF(COUNTA(A300:F300)=0,"",COUNTIFS('External Data'!$L$2:$L$1001,SUBSTITUTE(SUBSTITUTE(SUBSTITUTE(L300,"~","~~"),"*","~*"),"?","~?")))</x:f>
      </x:c>
      <x:c r="I300" s="13" t="str">
        <x:f>IF(OR(H300&lt;&gt;1,G300&lt;&gt;1),"",SUMIFS('External Data'!$E$2:$E$1001,'External Data'!$L$2:$L$1001,SUBSTITUTE(SUBSTITUTE(SUBSTITUTE(L300,"~","~~"),"*","~*"),"?","~?")))</x:f>
      </x:c>
      <x:c r="J300" s="13" t="str">
        <x:f>IF(OR(NOT(ISNUMBER(E300)),NOT(ISNUMBER(I300))),"",ROUND(E300-I300,2))</x:f>
      </x:c>
      <x:c r="K300" s="2" t="str">
        <x:f>IF(COUNTA(A300:F300)=0,"",IF(OR(A300="",B300="",C300="",D300="",NOT(ISNUMBER(E300))),"Missing / invalid input",IF(G300&gt;1,"Duplicate key in this source",IF(H300=0,"Missing in other source",IF(H300&gt;1,"Duplicate in other source",IF(SUMIFS('External Data'!$M$2:$M$1001,'External Data'!$L$2:$L$1001,SUBSTITUTE(SUBSTITUTE(SUBSTITUTE(L300,"~","~~"),"*","~*"),"?","~?"))&lt;&gt;1,"Other amount is invalid",IF(J300&lt;&gt;0,"Amount differs","Matched")))))))</x:f>
      </x:c>
      <x:c r="L300" t="str">
        <x:f>IF(COUNTA(A300:F300)=0,"",LEN(A300)&amp;":"&amp;A300&amp;LEN(B300)&amp;":"&amp;B300&amp;LEN(C300)&amp;":"&amp;C300&amp;LEN(D300)&amp;":"&amp;D300)</x:f>
      </x:c>
      <x:c r="M300" t="str">
        <x:f>IF(COUNTA(A300:F300)=0,"",IF(ISNUMBER(E300),1,0))</x:f>
      </x:c>
    </x:row>
    <x:row r="301">
      <x:c r="A301" s="11"/>
      <x:c r="B301" s="11"/>
      <x:c r="C301" s="11"/>
      <x:c r="D301" s="11"/>
      <x:c r="E301" s="12"/>
      <x:c r="F301" s="10"/>
      <x:c r="G301" s="2" t="str">
        <x:f>IF(COUNTA(A301:F301)=0,"",COUNTIFS('App Data'!$L$2:$L$1001,SUBSTITUTE(SUBSTITUTE(SUBSTITUTE(L301,"~","~~"),"*","~*"),"?","~?")))</x:f>
      </x:c>
      <x:c r="H301" s="2" t="str">
        <x:f>IF(COUNTA(A301:F301)=0,"",COUNTIFS('External Data'!$L$2:$L$1001,SUBSTITUTE(SUBSTITUTE(SUBSTITUTE(L301,"~","~~"),"*","~*"),"?","~?")))</x:f>
      </x:c>
      <x:c r="I301" s="13" t="str">
        <x:f>IF(OR(H301&lt;&gt;1,G301&lt;&gt;1),"",SUMIFS('External Data'!$E$2:$E$1001,'External Data'!$L$2:$L$1001,SUBSTITUTE(SUBSTITUTE(SUBSTITUTE(L301,"~","~~"),"*","~*"),"?","~?")))</x:f>
      </x:c>
      <x:c r="J301" s="13" t="str">
        <x:f>IF(OR(NOT(ISNUMBER(E301)),NOT(ISNUMBER(I301))),"",ROUND(E301-I301,2))</x:f>
      </x:c>
      <x:c r="K301" s="2" t="str">
        <x:f>IF(COUNTA(A301:F301)=0,"",IF(OR(A301="",B301="",C301="",D301="",NOT(ISNUMBER(E301))),"Missing / invalid input",IF(G301&gt;1,"Duplicate key in this source",IF(H301=0,"Missing in other source",IF(H301&gt;1,"Duplicate in other source",IF(SUMIFS('External Data'!$M$2:$M$1001,'External Data'!$L$2:$L$1001,SUBSTITUTE(SUBSTITUTE(SUBSTITUTE(L301,"~","~~"),"*","~*"),"?","~?"))&lt;&gt;1,"Other amount is invalid",IF(J301&lt;&gt;0,"Amount differs","Matched")))))))</x:f>
      </x:c>
      <x:c r="L301" t="str">
        <x:f>IF(COUNTA(A301:F301)=0,"",LEN(A301)&amp;":"&amp;A301&amp;LEN(B301)&amp;":"&amp;B301&amp;LEN(C301)&amp;":"&amp;C301&amp;LEN(D301)&amp;":"&amp;D301)</x:f>
      </x:c>
      <x:c r="M301" t="str">
        <x:f>IF(COUNTA(A301:F301)=0,"",IF(ISNUMBER(E301),1,0))</x:f>
      </x:c>
    </x:row>
    <x:row r="302">
      <x:c r="A302" s="11"/>
      <x:c r="B302" s="11"/>
      <x:c r="C302" s="11"/>
      <x:c r="D302" s="11"/>
      <x:c r="E302" s="12"/>
      <x:c r="F302" s="10"/>
      <x:c r="G302" s="2" t="str">
        <x:f>IF(COUNTA(A302:F302)=0,"",COUNTIFS('App Data'!$L$2:$L$1001,SUBSTITUTE(SUBSTITUTE(SUBSTITUTE(L302,"~","~~"),"*","~*"),"?","~?")))</x:f>
      </x:c>
      <x:c r="H302" s="2" t="str">
        <x:f>IF(COUNTA(A302:F302)=0,"",COUNTIFS('External Data'!$L$2:$L$1001,SUBSTITUTE(SUBSTITUTE(SUBSTITUTE(L302,"~","~~"),"*","~*"),"?","~?")))</x:f>
      </x:c>
      <x:c r="I302" s="13" t="str">
        <x:f>IF(OR(H302&lt;&gt;1,G302&lt;&gt;1),"",SUMIFS('External Data'!$E$2:$E$1001,'External Data'!$L$2:$L$1001,SUBSTITUTE(SUBSTITUTE(SUBSTITUTE(L302,"~","~~"),"*","~*"),"?","~?")))</x:f>
      </x:c>
      <x:c r="J302" s="13" t="str">
        <x:f>IF(OR(NOT(ISNUMBER(E302)),NOT(ISNUMBER(I302))),"",ROUND(E302-I302,2))</x:f>
      </x:c>
      <x:c r="K302" s="2" t="str">
        <x:f>IF(COUNTA(A302:F302)=0,"",IF(OR(A302="",B302="",C302="",D302="",NOT(ISNUMBER(E302))),"Missing / invalid input",IF(G302&gt;1,"Duplicate key in this source",IF(H302=0,"Missing in other source",IF(H302&gt;1,"Duplicate in other source",IF(SUMIFS('External Data'!$M$2:$M$1001,'External Data'!$L$2:$L$1001,SUBSTITUTE(SUBSTITUTE(SUBSTITUTE(L302,"~","~~"),"*","~*"),"?","~?"))&lt;&gt;1,"Other amount is invalid",IF(J302&lt;&gt;0,"Amount differs","Matched")))))))</x:f>
      </x:c>
      <x:c r="L302" t="str">
        <x:f>IF(COUNTA(A302:F302)=0,"",LEN(A302)&amp;":"&amp;A302&amp;LEN(B302)&amp;":"&amp;B302&amp;LEN(C302)&amp;":"&amp;C302&amp;LEN(D302)&amp;":"&amp;D302)</x:f>
      </x:c>
      <x:c r="M302" t="str">
        <x:f>IF(COUNTA(A302:F302)=0,"",IF(ISNUMBER(E302),1,0))</x:f>
      </x:c>
    </x:row>
    <x:row r="303">
      <x:c r="A303" s="11"/>
      <x:c r="B303" s="11"/>
      <x:c r="C303" s="11"/>
      <x:c r="D303" s="11"/>
      <x:c r="E303" s="12"/>
      <x:c r="F303" s="10"/>
      <x:c r="G303" s="2" t="str">
        <x:f>IF(COUNTA(A303:F303)=0,"",COUNTIFS('App Data'!$L$2:$L$1001,SUBSTITUTE(SUBSTITUTE(SUBSTITUTE(L303,"~","~~"),"*","~*"),"?","~?")))</x:f>
      </x:c>
      <x:c r="H303" s="2" t="str">
        <x:f>IF(COUNTA(A303:F303)=0,"",COUNTIFS('External Data'!$L$2:$L$1001,SUBSTITUTE(SUBSTITUTE(SUBSTITUTE(L303,"~","~~"),"*","~*"),"?","~?")))</x:f>
      </x:c>
      <x:c r="I303" s="13" t="str">
        <x:f>IF(OR(H303&lt;&gt;1,G303&lt;&gt;1),"",SUMIFS('External Data'!$E$2:$E$1001,'External Data'!$L$2:$L$1001,SUBSTITUTE(SUBSTITUTE(SUBSTITUTE(L303,"~","~~"),"*","~*"),"?","~?")))</x:f>
      </x:c>
      <x:c r="J303" s="13" t="str">
        <x:f>IF(OR(NOT(ISNUMBER(E303)),NOT(ISNUMBER(I303))),"",ROUND(E303-I303,2))</x:f>
      </x:c>
      <x:c r="K303" s="2" t="str">
        <x:f>IF(COUNTA(A303:F303)=0,"",IF(OR(A303="",B303="",C303="",D303="",NOT(ISNUMBER(E303))),"Missing / invalid input",IF(G303&gt;1,"Duplicate key in this source",IF(H303=0,"Missing in other source",IF(H303&gt;1,"Duplicate in other source",IF(SUMIFS('External Data'!$M$2:$M$1001,'External Data'!$L$2:$L$1001,SUBSTITUTE(SUBSTITUTE(SUBSTITUTE(L303,"~","~~"),"*","~*"),"?","~?"))&lt;&gt;1,"Other amount is invalid",IF(J303&lt;&gt;0,"Amount differs","Matched")))))))</x:f>
      </x:c>
      <x:c r="L303" t="str">
        <x:f>IF(COUNTA(A303:F303)=0,"",LEN(A303)&amp;":"&amp;A303&amp;LEN(B303)&amp;":"&amp;B303&amp;LEN(C303)&amp;":"&amp;C303&amp;LEN(D303)&amp;":"&amp;D303)</x:f>
      </x:c>
      <x:c r="M303" t="str">
        <x:f>IF(COUNTA(A303:F303)=0,"",IF(ISNUMBER(E303),1,0))</x:f>
      </x:c>
    </x:row>
    <x:row r="304">
      <x:c r="A304" s="11"/>
      <x:c r="B304" s="11"/>
      <x:c r="C304" s="11"/>
      <x:c r="D304" s="11"/>
      <x:c r="E304" s="12"/>
      <x:c r="F304" s="10"/>
      <x:c r="G304" s="2" t="str">
        <x:f>IF(COUNTA(A304:F304)=0,"",COUNTIFS('App Data'!$L$2:$L$1001,SUBSTITUTE(SUBSTITUTE(SUBSTITUTE(L304,"~","~~"),"*","~*"),"?","~?")))</x:f>
      </x:c>
      <x:c r="H304" s="2" t="str">
        <x:f>IF(COUNTA(A304:F304)=0,"",COUNTIFS('External Data'!$L$2:$L$1001,SUBSTITUTE(SUBSTITUTE(SUBSTITUTE(L304,"~","~~"),"*","~*"),"?","~?")))</x:f>
      </x:c>
      <x:c r="I304" s="13" t="str">
        <x:f>IF(OR(H304&lt;&gt;1,G304&lt;&gt;1),"",SUMIFS('External Data'!$E$2:$E$1001,'External Data'!$L$2:$L$1001,SUBSTITUTE(SUBSTITUTE(SUBSTITUTE(L304,"~","~~"),"*","~*"),"?","~?")))</x:f>
      </x:c>
      <x:c r="J304" s="13" t="str">
        <x:f>IF(OR(NOT(ISNUMBER(E304)),NOT(ISNUMBER(I304))),"",ROUND(E304-I304,2))</x:f>
      </x:c>
      <x:c r="K304" s="2" t="str">
        <x:f>IF(COUNTA(A304:F304)=0,"",IF(OR(A304="",B304="",C304="",D304="",NOT(ISNUMBER(E304))),"Missing / invalid input",IF(G304&gt;1,"Duplicate key in this source",IF(H304=0,"Missing in other source",IF(H304&gt;1,"Duplicate in other source",IF(SUMIFS('External Data'!$M$2:$M$1001,'External Data'!$L$2:$L$1001,SUBSTITUTE(SUBSTITUTE(SUBSTITUTE(L304,"~","~~"),"*","~*"),"?","~?"))&lt;&gt;1,"Other amount is invalid",IF(J304&lt;&gt;0,"Amount differs","Matched")))))))</x:f>
      </x:c>
      <x:c r="L304" t="str">
        <x:f>IF(COUNTA(A304:F304)=0,"",LEN(A304)&amp;":"&amp;A304&amp;LEN(B304)&amp;":"&amp;B304&amp;LEN(C304)&amp;":"&amp;C304&amp;LEN(D304)&amp;":"&amp;D304)</x:f>
      </x:c>
      <x:c r="M304" t="str">
        <x:f>IF(COUNTA(A304:F304)=0,"",IF(ISNUMBER(E304),1,0))</x:f>
      </x:c>
    </x:row>
    <x:row r="305">
      <x:c r="A305" s="11"/>
      <x:c r="B305" s="11"/>
      <x:c r="C305" s="11"/>
      <x:c r="D305" s="11"/>
      <x:c r="E305" s="12"/>
      <x:c r="F305" s="10"/>
      <x:c r="G305" s="2" t="str">
        <x:f>IF(COUNTA(A305:F305)=0,"",COUNTIFS('App Data'!$L$2:$L$1001,SUBSTITUTE(SUBSTITUTE(SUBSTITUTE(L305,"~","~~"),"*","~*"),"?","~?")))</x:f>
      </x:c>
      <x:c r="H305" s="2" t="str">
        <x:f>IF(COUNTA(A305:F305)=0,"",COUNTIFS('External Data'!$L$2:$L$1001,SUBSTITUTE(SUBSTITUTE(SUBSTITUTE(L305,"~","~~"),"*","~*"),"?","~?")))</x:f>
      </x:c>
      <x:c r="I305" s="13" t="str">
        <x:f>IF(OR(H305&lt;&gt;1,G305&lt;&gt;1),"",SUMIFS('External Data'!$E$2:$E$1001,'External Data'!$L$2:$L$1001,SUBSTITUTE(SUBSTITUTE(SUBSTITUTE(L305,"~","~~"),"*","~*"),"?","~?")))</x:f>
      </x:c>
      <x:c r="J305" s="13" t="str">
        <x:f>IF(OR(NOT(ISNUMBER(E305)),NOT(ISNUMBER(I305))),"",ROUND(E305-I305,2))</x:f>
      </x:c>
      <x:c r="K305" s="2" t="str">
        <x:f>IF(COUNTA(A305:F305)=0,"",IF(OR(A305="",B305="",C305="",D305="",NOT(ISNUMBER(E305))),"Missing / invalid input",IF(G305&gt;1,"Duplicate key in this source",IF(H305=0,"Missing in other source",IF(H305&gt;1,"Duplicate in other source",IF(SUMIFS('External Data'!$M$2:$M$1001,'External Data'!$L$2:$L$1001,SUBSTITUTE(SUBSTITUTE(SUBSTITUTE(L305,"~","~~"),"*","~*"),"?","~?"))&lt;&gt;1,"Other amount is invalid",IF(J305&lt;&gt;0,"Amount differs","Matched")))))))</x:f>
      </x:c>
      <x:c r="L305" t="str">
        <x:f>IF(COUNTA(A305:F305)=0,"",LEN(A305)&amp;":"&amp;A305&amp;LEN(B305)&amp;":"&amp;B305&amp;LEN(C305)&amp;":"&amp;C305&amp;LEN(D305)&amp;":"&amp;D305)</x:f>
      </x:c>
      <x:c r="M305" t="str">
        <x:f>IF(COUNTA(A305:F305)=0,"",IF(ISNUMBER(E305),1,0))</x:f>
      </x:c>
    </x:row>
    <x:row r="306">
      <x:c r="A306" s="11"/>
      <x:c r="B306" s="11"/>
      <x:c r="C306" s="11"/>
      <x:c r="D306" s="11"/>
      <x:c r="E306" s="12"/>
      <x:c r="F306" s="10"/>
      <x:c r="G306" s="2" t="str">
        <x:f>IF(COUNTA(A306:F306)=0,"",COUNTIFS('App Data'!$L$2:$L$1001,SUBSTITUTE(SUBSTITUTE(SUBSTITUTE(L306,"~","~~"),"*","~*"),"?","~?")))</x:f>
      </x:c>
      <x:c r="H306" s="2" t="str">
        <x:f>IF(COUNTA(A306:F306)=0,"",COUNTIFS('External Data'!$L$2:$L$1001,SUBSTITUTE(SUBSTITUTE(SUBSTITUTE(L306,"~","~~"),"*","~*"),"?","~?")))</x:f>
      </x:c>
      <x:c r="I306" s="13" t="str">
        <x:f>IF(OR(H306&lt;&gt;1,G306&lt;&gt;1),"",SUMIFS('External Data'!$E$2:$E$1001,'External Data'!$L$2:$L$1001,SUBSTITUTE(SUBSTITUTE(SUBSTITUTE(L306,"~","~~"),"*","~*"),"?","~?")))</x:f>
      </x:c>
      <x:c r="J306" s="13" t="str">
        <x:f>IF(OR(NOT(ISNUMBER(E306)),NOT(ISNUMBER(I306))),"",ROUND(E306-I306,2))</x:f>
      </x:c>
      <x:c r="K306" s="2" t="str">
        <x:f>IF(COUNTA(A306:F306)=0,"",IF(OR(A306="",B306="",C306="",D306="",NOT(ISNUMBER(E306))),"Missing / invalid input",IF(G306&gt;1,"Duplicate key in this source",IF(H306=0,"Missing in other source",IF(H306&gt;1,"Duplicate in other source",IF(SUMIFS('External Data'!$M$2:$M$1001,'External Data'!$L$2:$L$1001,SUBSTITUTE(SUBSTITUTE(SUBSTITUTE(L306,"~","~~"),"*","~*"),"?","~?"))&lt;&gt;1,"Other amount is invalid",IF(J306&lt;&gt;0,"Amount differs","Matched")))))))</x:f>
      </x:c>
      <x:c r="L306" t="str">
        <x:f>IF(COUNTA(A306:F306)=0,"",LEN(A306)&amp;":"&amp;A306&amp;LEN(B306)&amp;":"&amp;B306&amp;LEN(C306)&amp;":"&amp;C306&amp;LEN(D306)&amp;":"&amp;D306)</x:f>
      </x:c>
      <x:c r="M306" t="str">
        <x:f>IF(COUNTA(A306:F306)=0,"",IF(ISNUMBER(E306),1,0))</x:f>
      </x:c>
    </x:row>
    <x:row r="307">
      <x:c r="A307" s="11"/>
      <x:c r="B307" s="11"/>
      <x:c r="C307" s="11"/>
      <x:c r="D307" s="11"/>
      <x:c r="E307" s="12"/>
      <x:c r="F307" s="10"/>
      <x:c r="G307" s="2" t="str">
        <x:f>IF(COUNTA(A307:F307)=0,"",COUNTIFS('App Data'!$L$2:$L$1001,SUBSTITUTE(SUBSTITUTE(SUBSTITUTE(L307,"~","~~"),"*","~*"),"?","~?")))</x:f>
      </x:c>
      <x:c r="H307" s="2" t="str">
        <x:f>IF(COUNTA(A307:F307)=0,"",COUNTIFS('External Data'!$L$2:$L$1001,SUBSTITUTE(SUBSTITUTE(SUBSTITUTE(L307,"~","~~"),"*","~*"),"?","~?")))</x:f>
      </x:c>
      <x:c r="I307" s="13" t="str">
        <x:f>IF(OR(H307&lt;&gt;1,G307&lt;&gt;1),"",SUMIFS('External Data'!$E$2:$E$1001,'External Data'!$L$2:$L$1001,SUBSTITUTE(SUBSTITUTE(SUBSTITUTE(L307,"~","~~"),"*","~*"),"?","~?")))</x:f>
      </x:c>
      <x:c r="J307" s="13" t="str">
        <x:f>IF(OR(NOT(ISNUMBER(E307)),NOT(ISNUMBER(I307))),"",ROUND(E307-I307,2))</x:f>
      </x:c>
      <x:c r="K307" s="2" t="str">
        <x:f>IF(COUNTA(A307:F307)=0,"",IF(OR(A307="",B307="",C307="",D307="",NOT(ISNUMBER(E307))),"Missing / invalid input",IF(G307&gt;1,"Duplicate key in this source",IF(H307=0,"Missing in other source",IF(H307&gt;1,"Duplicate in other source",IF(SUMIFS('External Data'!$M$2:$M$1001,'External Data'!$L$2:$L$1001,SUBSTITUTE(SUBSTITUTE(SUBSTITUTE(L307,"~","~~"),"*","~*"),"?","~?"))&lt;&gt;1,"Other amount is invalid",IF(J307&lt;&gt;0,"Amount differs","Matched")))))))</x:f>
      </x:c>
      <x:c r="L307" t="str">
        <x:f>IF(COUNTA(A307:F307)=0,"",LEN(A307)&amp;":"&amp;A307&amp;LEN(B307)&amp;":"&amp;B307&amp;LEN(C307)&amp;":"&amp;C307&amp;LEN(D307)&amp;":"&amp;D307)</x:f>
      </x:c>
      <x:c r="M307" t="str">
        <x:f>IF(COUNTA(A307:F307)=0,"",IF(ISNUMBER(E307),1,0))</x:f>
      </x:c>
    </x:row>
    <x:row r="308">
      <x:c r="A308" s="11"/>
      <x:c r="B308" s="11"/>
      <x:c r="C308" s="11"/>
      <x:c r="D308" s="11"/>
      <x:c r="E308" s="12"/>
      <x:c r="F308" s="10"/>
      <x:c r="G308" s="2" t="str">
        <x:f>IF(COUNTA(A308:F308)=0,"",COUNTIFS('App Data'!$L$2:$L$1001,SUBSTITUTE(SUBSTITUTE(SUBSTITUTE(L308,"~","~~"),"*","~*"),"?","~?")))</x:f>
      </x:c>
      <x:c r="H308" s="2" t="str">
        <x:f>IF(COUNTA(A308:F308)=0,"",COUNTIFS('External Data'!$L$2:$L$1001,SUBSTITUTE(SUBSTITUTE(SUBSTITUTE(L308,"~","~~"),"*","~*"),"?","~?")))</x:f>
      </x:c>
      <x:c r="I308" s="13" t="str">
        <x:f>IF(OR(H308&lt;&gt;1,G308&lt;&gt;1),"",SUMIFS('External Data'!$E$2:$E$1001,'External Data'!$L$2:$L$1001,SUBSTITUTE(SUBSTITUTE(SUBSTITUTE(L308,"~","~~"),"*","~*"),"?","~?")))</x:f>
      </x:c>
      <x:c r="J308" s="13" t="str">
        <x:f>IF(OR(NOT(ISNUMBER(E308)),NOT(ISNUMBER(I308))),"",ROUND(E308-I308,2))</x:f>
      </x:c>
      <x:c r="K308" s="2" t="str">
        <x:f>IF(COUNTA(A308:F308)=0,"",IF(OR(A308="",B308="",C308="",D308="",NOT(ISNUMBER(E308))),"Missing / invalid input",IF(G308&gt;1,"Duplicate key in this source",IF(H308=0,"Missing in other source",IF(H308&gt;1,"Duplicate in other source",IF(SUMIFS('External Data'!$M$2:$M$1001,'External Data'!$L$2:$L$1001,SUBSTITUTE(SUBSTITUTE(SUBSTITUTE(L308,"~","~~"),"*","~*"),"?","~?"))&lt;&gt;1,"Other amount is invalid",IF(J308&lt;&gt;0,"Amount differs","Matched")))))))</x:f>
      </x:c>
      <x:c r="L308" t="str">
        <x:f>IF(COUNTA(A308:F308)=0,"",LEN(A308)&amp;":"&amp;A308&amp;LEN(B308)&amp;":"&amp;B308&amp;LEN(C308)&amp;":"&amp;C308&amp;LEN(D308)&amp;":"&amp;D308)</x:f>
      </x:c>
      <x:c r="M308" t="str">
        <x:f>IF(COUNTA(A308:F308)=0,"",IF(ISNUMBER(E308),1,0))</x:f>
      </x:c>
    </x:row>
    <x:row r="309">
      <x:c r="A309" s="11"/>
      <x:c r="B309" s="11"/>
      <x:c r="C309" s="11"/>
      <x:c r="D309" s="11"/>
      <x:c r="E309" s="12"/>
      <x:c r="F309" s="10"/>
      <x:c r="G309" s="2" t="str">
        <x:f>IF(COUNTA(A309:F309)=0,"",COUNTIFS('App Data'!$L$2:$L$1001,SUBSTITUTE(SUBSTITUTE(SUBSTITUTE(L309,"~","~~"),"*","~*"),"?","~?")))</x:f>
      </x:c>
      <x:c r="H309" s="2" t="str">
        <x:f>IF(COUNTA(A309:F309)=0,"",COUNTIFS('External Data'!$L$2:$L$1001,SUBSTITUTE(SUBSTITUTE(SUBSTITUTE(L309,"~","~~"),"*","~*"),"?","~?")))</x:f>
      </x:c>
      <x:c r="I309" s="13" t="str">
        <x:f>IF(OR(H309&lt;&gt;1,G309&lt;&gt;1),"",SUMIFS('External Data'!$E$2:$E$1001,'External Data'!$L$2:$L$1001,SUBSTITUTE(SUBSTITUTE(SUBSTITUTE(L309,"~","~~"),"*","~*"),"?","~?")))</x:f>
      </x:c>
      <x:c r="J309" s="13" t="str">
        <x:f>IF(OR(NOT(ISNUMBER(E309)),NOT(ISNUMBER(I309))),"",ROUND(E309-I309,2))</x:f>
      </x:c>
      <x:c r="K309" s="2" t="str">
        <x:f>IF(COUNTA(A309:F309)=0,"",IF(OR(A309="",B309="",C309="",D309="",NOT(ISNUMBER(E309))),"Missing / invalid input",IF(G309&gt;1,"Duplicate key in this source",IF(H309=0,"Missing in other source",IF(H309&gt;1,"Duplicate in other source",IF(SUMIFS('External Data'!$M$2:$M$1001,'External Data'!$L$2:$L$1001,SUBSTITUTE(SUBSTITUTE(SUBSTITUTE(L309,"~","~~"),"*","~*"),"?","~?"))&lt;&gt;1,"Other amount is invalid",IF(J309&lt;&gt;0,"Amount differs","Matched")))))))</x:f>
      </x:c>
      <x:c r="L309" t="str">
        <x:f>IF(COUNTA(A309:F309)=0,"",LEN(A309)&amp;":"&amp;A309&amp;LEN(B309)&amp;":"&amp;B309&amp;LEN(C309)&amp;":"&amp;C309&amp;LEN(D309)&amp;":"&amp;D309)</x:f>
      </x:c>
      <x:c r="M309" t="str">
        <x:f>IF(COUNTA(A309:F309)=0,"",IF(ISNUMBER(E309),1,0))</x:f>
      </x:c>
    </x:row>
    <x:row r="310">
      <x:c r="A310" s="11"/>
      <x:c r="B310" s="11"/>
      <x:c r="C310" s="11"/>
      <x:c r="D310" s="11"/>
      <x:c r="E310" s="12"/>
      <x:c r="F310" s="10"/>
      <x:c r="G310" s="2" t="str">
        <x:f>IF(COUNTA(A310:F310)=0,"",COUNTIFS('App Data'!$L$2:$L$1001,SUBSTITUTE(SUBSTITUTE(SUBSTITUTE(L310,"~","~~"),"*","~*"),"?","~?")))</x:f>
      </x:c>
      <x:c r="H310" s="2" t="str">
        <x:f>IF(COUNTA(A310:F310)=0,"",COUNTIFS('External Data'!$L$2:$L$1001,SUBSTITUTE(SUBSTITUTE(SUBSTITUTE(L310,"~","~~"),"*","~*"),"?","~?")))</x:f>
      </x:c>
      <x:c r="I310" s="13" t="str">
        <x:f>IF(OR(H310&lt;&gt;1,G310&lt;&gt;1),"",SUMIFS('External Data'!$E$2:$E$1001,'External Data'!$L$2:$L$1001,SUBSTITUTE(SUBSTITUTE(SUBSTITUTE(L310,"~","~~"),"*","~*"),"?","~?")))</x:f>
      </x:c>
      <x:c r="J310" s="13" t="str">
        <x:f>IF(OR(NOT(ISNUMBER(E310)),NOT(ISNUMBER(I310))),"",ROUND(E310-I310,2))</x:f>
      </x:c>
      <x:c r="K310" s="2" t="str">
        <x:f>IF(COUNTA(A310:F310)=0,"",IF(OR(A310="",B310="",C310="",D310="",NOT(ISNUMBER(E310))),"Missing / invalid input",IF(G310&gt;1,"Duplicate key in this source",IF(H310=0,"Missing in other source",IF(H310&gt;1,"Duplicate in other source",IF(SUMIFS('External Data'!$M$2:$M$1001,'External Data'!$L$2:$L$1001,SUBSTITUTE(SUBSTITUTE(SUBSTITUTE(L310,"~","~~"),"*","~*"),"?","~?"))&lt;&gt;1,"Other amount is invalid",IF(J310&lt;&gt;0,"Amount differs","Matched")))))))</x:f>
      </x:c>
      <x:c r="L310" t="str">
        <x:f>IF(COUNTA(A310:F310)=0,"",LEN(A310)&amp;":"&amp;A310&amp;LEN(B310)&amp;":"&amp;B310&amp;LEN(C310)&amp;":"&amp;C310&amp;LEN(D310)&amp;":"&amp;D310)</x:f>
      </x:c>
      <x:c r="M310" t="str">
        <x:f>IF(COUNTA(A310:F310)=0,"",IF(ISNUMBER(E310),1,0))</x:f>
      </x:c>
    </x:row>
    <x:row r="311">
      <x:c r="A311" s="11"/>
      <x:c r="B311" s="11"/>
      <x:c r="C311" s="11"/>
      <x:c r="D311" s="11"/>
      <x:c r="E311" s="12"/>
      <x:c r="F311" s="10"/>
      <x:c r="G311" s="2" t="str">
        <x:f>IF(COUNTA(A311:F311)=0,"",COUNTIFS('App Data'!$L$2:$L$1001,SUBSTITUTE(SUBSTITUTE(SUBSTITUTE(L311,"~","~~"),"*","~*"),"?","~?")))</x:f>
      </x:c>
      <x:c r="H311" s="2" t="str">
        <x:f>IF(COUNTA(A311:F311)=0,"",COUNTIFS('External Data'!$L$2:$L$1001,SUBSTITUTE(SUBSTITUTE(SUBSTITUTE(L311,"~","~~"),"*","~*"),"?","~?")))</x:f>
      </x:c>
      <x:c r="I311" s="13" t="str">
        <x:f>IF(OR(H311&lt;&gt;1,G311&lt;&gt;1),"",SUMIFS('External Data'!$E$2:$E$1001,'External Data'!$L$2:$L$1001,SUBSTITUTE(SUBSTITUTE(SUBSTITUTE(L311,"~","~~"),"*","~*"),"?","~?")))</x:f>
      </x:c>
      <x:c r="J311" s="13" t="str">
        <x:f>IF(OR(NOT(ISNUMBER(E311)),NOT(ISNUMBER(I311))),"",ROUND(E311-I311,2))</x:f>
      </x:c>
      <x:c r="K311" s="2" t="str">
        <x:f>IF(COUNTA(A311:F311)=0,"",IF(OR(A311="",B311="",C311="",D311="",NOT(ISNUMBER(E311))),"Missing / invalid input",IF(G311&gt;1,"Duplicate key in this source",IF(H311=0,"Missing in other source",IF(H311&gt;1,"Duplicate in other source",IF(SUMIFS('External Data'!$M$2:$M$1001,'External Data'!$L$2:$L$1001,SUBSTITUTE(SUBSTITUTE(SUBSTITUTE(L311,"~","~~"),"*","~*"),"?","~?"))&lt;&gt;1,"Other amount is invalid",IF(J311&lt;&gt;0,"Amount differs","Matched")))))))</x:f>
      </x:c>
      <x:c r="L311" t="str">
        <x:f>IF(COUNTA(A311:F311)=0,"",LEN(A311)&amp;":"&amp;A311&amp;LEN(B311)&amp;":"&amp;B311&amp;LEN(C311)&amp;":"&amp;C311&amp;LEN(D311)&amp;":"&amp;D311)</x:f>
      </x:c>
      <x:c r="M311" t="str">
        <x:f>IF(COUNTA(A311:F311)=0,"",IF(ISNUMBER(E311),1,0))</x:f>
      </x:c>
    </x:row>
    <x:row r="312">
      <x:c r="A312" s="11"/>
      <x:c r="B312" s="11"/>
      <x:c r="C312" s="11"/>
      <x:c r="D312" s="11"/>
      <x:c r="E312" s="12"/>
      <x:c r="F312" s="10"/>
      <x:c r="G312" s="2" t="str">
        <x:f>IF(COUNTA(A312:F312)=0,"",COUNTIFS('App Data'!$L$2:$L$1001,SUBSTITUTE(SUBSTITUTE(SUBSTITUTE(L312,"~","~~"),"*","~*"),"?","~?")))</x:f>
      </x:c>
      <x:c r="H312" s="2" t="str">
        <x:f>IF(COUNTA(A312:F312)=0,"",COUNTIFS('External Data'!$L$2:$L$1001,SUBSTITUTE(SUBSTITUTE(SUBSTITUTE(L312,"~","~~"),"*","~*"),"?","~?")))</x:f>
      </x:c>
      <x:c r="I312" s="13" t="str">
        <x:f>IF(OR(H312&lt;&gt;1,G312&lt;&gt;1),"",SUMIFS('External Data'!$E$2:$E$1001,'External Data'!$L$2:$L$1001,SUBSTITUTE(SUBSTITUTE(SUBSTITUTE(L312,"~","~~"),"*","~*"),"?","~?")))</x:f>
      </x:c>
      <x:c r="J312" s="13" t="str">
        <x:f>IF(OR(NOT(ISNUMBER(E312)),NOT(ISNUMBER(I312))),"",ROUND(E312-I312,2))</x:f>
      </x:c>
      <x:c r="K312" s="2" t="str">
        <x:f>IF(COUNTA(A312:F312)=0,"",IF(OR(A312="",B312="",C312="",D312="",NOT(ISNUMBER(E312))),"Missing / invalid input",IF(G312&gt;1,"Duplicate key in this source",IF(H312=0,"Missing in other source",IF(H312&gt;1,"Duplicate in other source",IF(SUMIFS('External Data'!$M$2:$M$1001,'External Data'!$L$2:$L$1001,SUBSTITUTE(SUBSTITUTE(SUBSTITUTE(L312,"~","~~"),"*","~*"),"?","~?"))&lt;&gt;1,"Other amount is invalid",IF(J312&lt;&gt;0,"Amount differs","Matched")))))))</x:f>
      </x:c>
      <x:c r="L312" t="str">
        <x:f>IF(COUNTA(A312:F312)=0,"",LEN(A312)&amp;":"&amp;A312&amp;LEN(B312)&amp;":"&amp;B312&amp;LEN(C312)&amp;":"&amp;C312&amp;LEN(D312)&amp;":"&amp;D312)</x:f>
      </x:c>
      <x:c r="M312" t="str">
        <x:f>IF(COUNTA(A312:F312)=0,"",IF(ISNUMBER(E312),1,0))</x:f>
      </x:c>
    </x:row>
    <x:row r="313">
      <x:c r="A313" s="11"/>
      <x:c r="B313" s="11"/>
      <x:c r="C313" s="11"/>
      <x:c r="D313" s="11"/>
      <x:c r="E313" s="12"/>
      <x:c r="F313" s="10"/>
      <x:c r="G313" s="2" t="str">
        <x:f>IF(COUNTA(A313:F313)=0,"",COUNTIFS('App Data'!$L$2:$L$1001,SUBSTITUTE(SUBSTITUTE(SUBSTITUTE(L313,"~","~~"),"*","~*"),"?","~?")))</x:f>
      </x:c>
      <x:c r="H313" s="2" t="str">
        <x:f>IF(COUNTA(A313:F313)=0,"",COUNTIFS('External Data'!$L$2:$L$1001,SUBSTITUTE(SUBSTITUTE(SUBSTITUTE(L313,"~","~~"),"*","~*"),"?","~?")))</x:f>
      </x:c>
      <x:c r="I313" s="13" t="str">
        <x:f>IF(OR(H313&lt;&gt;1,G313&lt;&gt;1),"",SUMIFS('External Data'!$E$2:$E$1001,'External Data'!$L$2:$L$1001,SUBSTITUTE(SUBSTITUTE(SUBSTITUTE(L313,"~","~~"),"*","~*"),"?","~?")))</x:f>
      </x:c>
      <x:c r="J313" s="13" t="str">
        <x:f>IF(OR(NOT(ISNUMBER(E313)),NOT(ISNUMBER(I313))),"",ROUND(E313-I313,2))</x:f>
      </x:c>
      <x:c r="K313" s="2" t="str">
        <x:f>IF(COUNTA(A313:F313)=0,"",IF(OR(A313="",B313="",C313="",D313="",NOT(ISNUMBER(E313))),"Missing / invalid input",IF(G313&gt;1,"Duplicate key in this source",IF(H313=0,"Missing in other source",IF(H313&gt;1,"Duplicate in other source",IF(SUMIFS('External Data'!$M$2:$M$1001,'External Data'!$L$2:$L$1001,SUBSTITUTE(SUBSTITUTE(SUBSTITUTE(L313,"~","~~"),"*","~*"),"?","~?"))&lt;&gt;1,"Other amount is invalid",IF(J313&lt;&gt;0,"Amount differs","Matched")))))))</x:f>
      </x:c>
      <x:c r="L313" t="str">
        <x:f>IF(COUNTA(A313:F313)=0,"",LEN(A313)&amp;":"&amp;A313&amp;LEN(B313)&amp;":"&amp;B313&amp;LEN(C313)&amp;":"&amp;C313&amp;LEN(D313)&amp;":"&amp;D313)</x:f>
      </x:c>
      <x:c r="M313" t="str">
        <x:f>IF(COUNTA(A313:F313)=0,"",IF(ISNUMBER(E313),1,0))</x:f>
      </x:c>
    </x:row>
    <x:row r="314">
      <x:c r="A314" s="11"/>
      <x:c r="B314" s="11"/>
      <x:c r="C314" s="11"/>
      <x:c r="D314" s="11"/>
      <x:c r="E314" s="12"/>
      <x:c r="F314" s="10"/>
      <x:c r="G314" s="2" t="str">
        <x:f>IF(COUNTA(A314:F314)=0,"",COUNTIFS('App Data'!$L$2:$L$1001,SUBSTITUTE(SUBSTITUTE(SUBSTITUTE(L314,"~","~~"),"*","~*"),"?","~?")))</x:f>
      </x:c>
      <x:c r="H314" s="2" t="str">
        <x:f>IF(COUNTA(A314:F314)=0,"",COUNTIFS('External Data'!$L$2:$L$1001,SUBSTITUTE(SUBSTITUTE(SUBSTITUTE(L314,"~","~~"),"*","~*"),"?","~?")))</x:f>
      </x:c>
      <x:c r="I314" s="13" t="str">
        <x:f>IF(OR(H314&lt;&gt;1,G314&lt;&gt;1),"",SUMIFS('External Data'!$E$2:$E$1001,'External Data'!$L$2:$L$1001,SUBSTITUTE(SUBSTITUTE(SUBSTITUTE(L314,"~","~~"),"*","~*"),"?","~?")))</x:f>
      </x:c>
      <x:c r="J314" s="13" t="str">
        <x:f>IF(OR(NOT(ISNUMBER(E314)),NOT(ISNUMBER(I314))),"",ROUND(E314-I314,2))</x:f>
      </x:c>
      <x:c r="K314" s="2" t="str">
        <x:f>IF(COUNTA(A314:F314)=0,"",IF(OR(A314="",B314="",C314="",D314="",NOT(ISNUMBER(E314))),"Missing / invalid input",IF(G314&gt;1,"Duplicate key in this source",IF(H314=0,"Missing in other source",IF(H314&gt;1,"Duplicate in other source",IF(SUMIFS('External Data'!$M$2:$M$1001,'External Data'!$L$2:$L$1001,SUBSTITUTE(SUBSTITUTE(SUBSTITUTE(L314,"~","~~"),"*","~*"),"?","~?"))&lt;&gt;1,"Other amount is invalid",IF(J314&lt;&gt;0,"Amount differs","Matched")))))))</x:f>
      </x:c>
      <x:c r="L314" t="str">
        <x:f>IF(COUNTA(A314:F314)=0,"",LEN(A314)&amp;":"&amp;A314&amp;LEN(B314)&amp;":"&amp;B314&amp;LEN(C314)&amp;":"&amp;C314&amp;LEN(D314)&amp;":"&amp;D314)</x:f>
      </x:c>
      <x:c r="M314" t="str">
        <x:f>IF(COUNTA(A314:F314)=0,"",IF(ISNUMBER(E314),1,0))</x:f>
      </x:c>
    </x:row>
    <x:row r="315">
      <x:c r="A315" s="11"/>
      <x:c r="B315" s="11"/>
      <x:c r="C315" s="11"/>
      <x:c r="D315" s="11"/>
      <x:c r="E315" s="12"/>
      <x:c r="F315" s="10"/>
      <x:c r="G315" s="2" t="str">
        <x:f>IF(COUNTA(A315:F315)=0,"",COUNTIFS('App Data'!$L$2:$L$1001,SUBSTITUTE(SUBSTITUTE(SUBSTITUTE(L315,"~","~~"),"*","~*"),"?","~?")))</x:f>
      </x:c>
      <x:c r="H315" s="2" t="str">
        <x:f>IF(COUNTA(A315:F315)=0,"",COUNTIFS('External Data'!$L$2:$L$1001,SUBSTITUTE(SUBSTITUTE(SUBSTITUTE(L315,"~","~~"),"*","~*"),"?","~?")))</x:f>
      </x:c>
      <x:c r="I315" s="13" t="str">
        <x:f>IF(OR(H315&lt;&gt;1,G315&lt;&gt;1),"",SUMIFS('External Data'!$E$2:$E$1001,'External Data'!$L$2:$L$1001,SUBSTITUTE(SUBSTITUTE(SUBSTITUTE(L315,"~","~~"),"*","~*"),"?","~?")))</x:f>
      </x:c>
      <x:c r="J315" s="13" t="str">
        <x:f>IF(OR(NOT(ISNUMBER(E315)),NOT(ISNUMBER(I315))),"",ROUND(E315-I315,2))</x:f>
      </x:c>
      <x:c r="K315" s="2" t="str">
        <x:f>IF(COUNTA(A315:F315)=0,"",IF(OR(A315="",B315="",C315="",D315="",NOT(ISNUMBER(E315))),"Missing / invalid input",IF(G315&gt;1,"Duplicate key in this source",IF(H315=0,"Missing in other source",IF(H315&gt;1,"Duplicate in other source",IF(SUMIFS('External Data'!$M$2:$M$1001,'External Data'!$L$2:$L$1001,SUBSTITUTE(SUBSTITUTE(SUBSTITUTE(L315,"~","~~"),"*","~*"),"?","~?"))&lt;&gt;1,"Other amount is invalid",IF(J315&lt;&gt;0,"Amount differs","Matched")))))))</x:f>
      </x:c>
      <x:c r="L315" t="str">
        <x:f>IF(COUNTA(A315:F315)=0,"",LEN(A315)&amp;":"&amp;A315&amp;LEN(B315)&amp;":"&amp;B315&amp;LEN(C315)&amp;":"&amp;C315&amp;LEN(D315)&amp;":"&amp;D315)</x:f>
      </x:c>
      <x:c r="M315" t="str">
        <x:f>IF(COUNTA(A315:F315)=0,"",IF(ISNUMBER(E315),1,0))</x:f>
      </x:c>
    </x:row>
    <x:row r="316">
      <x:c r="A316" s="11"/>
      <x:c r="B316" s="11"/>
      <x:c r="C316" s="11"/>
      <x:c r="D316" s="11"/>
      <x:c r="E316" s="12"/>
      <x:c r="F316" s="10"/>
      <x:c r="G316" s="2" t="str">
        <x:f>IF(COUNTA(A316:F316)=0,"",COUNTIFS('App Data'!$L$2:$L$1001,SUBSTITUTE(SUBSTITUTE(SUBSTITUTE(L316,"~","~~"),"*","~*"),"?","~?")))</x:f>
      </x:c>
      <x:c r="H316" s="2" t="str">
        <x:f>IF(COUNTA(A316:F316)=0,"",COUNTIFS('External Data'!$L$2:$L$1001,SUBSTITUTE(SUBSTITUTE(SUBSTITUTE(L316,"~","~~"),"*","~*"),"?","~?")))</x:f>
      </x:c>
      <x:c r="I316" s="13" t="str">
        <x:f>IF(OR(H316&lt;&gt;1,G316&lt;&gt;1),"",SUMIFS('External Data'!$E$2:$E$1001,'External Data'!$L$2:$L$1001,SUBSTITUTE(SUBSTITUTE(SUBSTITUTE(L316,"~","~~"),"*","~*"),"?","~?")))</x:f>
      </x:c>
      <x:c r="J316" s="13" t="str">
        <x:f>IF(OR(NOT(ISNUMBER(E316)),NOT(ISNUMBER(I316))),"",ROUND(E316-I316,2))</x:f>
      </x:c>
      <x:c r="K316" s="2" t="str">
        <x:f>IF(COUNTA(A316:F316)=0,"",IF(OR(A316="",B316="",C316="",D316="",NOT(ISNUMBER(E316))),"Missing / invalid input",IF(G316&gt;1,"Duplicate key in this source",IF(H316=0,"Missing in other source",IF(H316&gt;1,"Duplicate in other source",IF(SUMIFS('External Data'!$M$2:$M$1001,'External Data'!$L$2:$L$1001,SUBSTITUTE(SUBSTITUTE(SUBSTITUTE(L316,"~","~~"),"*","~*"),"?","~?"))&lt;&gt;1,"Other amount is invalid",IF(J316&lt;&gt;0,"Amount differs","Matched")))))))</x:f>
      </x:c>
      <x:c r="L316" t="str">
        <x:f>IF(COUNTA(A316:F316)=0,"",LEN(A316)&amp;":"&amp;A316&amp;LEN(B316)&amp;":"&amp;B316&amp;LEN(C316)&amp;":"&amp;C316&amp;LEN(D316)&amp;":"&amp;D316)</x:f>
      </x:c>
      <x:c r="M316" t="str">
        <x:f>IF(COUNTA(A316:F316)=0,"",IF(ISNUMBER(E316),1,0))</x:f>
      </x:c>
    </x:row>
    <x:row r="317">
      <x:c r="A317" s="11"/>
      <x:c r="B317" s="11"/>
      <x:c r="C317" s="11"/>
      <x:c r="D317" s="11"/>
      <x:c r="E317" s="12"/>
      <x:c r="F317" s="10"/>
      <x:c r="G317" s="2" t="str">
        <x:f>IF(COUNTA(A317:F317)=0,"",COUNTIFS('App Data'!$L$2:$L$1001,SUBSTITUTE(SUBSTITUTE(SUBSTITUTE(L317,"~","~~"),"*","~*"),"?","~?")))</x:f>
      </x:c>
      <x:c r="H317" s="2" t="str">
        <x:f>IF(COUNTA(A317:F317)=0,"",COUNTIFS('External Data'!$L$2:$L$1001,SUBSTITUTE(SUBSTITUTE(SUBSTITUTE(L317,"~","~~"),"*","~*"),"?","~?")))</x:f>
      </x:c>
      <x:c r="I317" s="13" t="str">
        <x:f>IF(OR(H317&lt;&gt;1,G317&lt;&gt;1),"",SUMIFS('External Data'!$E$2:$E$1001,'External Data'!$L$2:$L$1001,SUBSTITUTE(SUBSTITUTE(SUBSTITUTE(L317,"~","~~"),"*","~*"),"?","~?")))</x:f>
      </x:c>
      <x:c r="J317" s="13" t="str">
        <x:f>IF(OR(NOT(ISNUMBER(E317)),NOT(ISNUMBER(I317))),"",ROUND(E317-I317,2))</x:f>
      </x:c>
      <x:c r="K317" s="2" t="str">
        <x:f>IF(COUNTA(A317:F317)=0,"",IF(OR(A317="",B317="",C317="",D317="",NOT(ISNUMBER(E317))),"Missing / invalid input",IF(G317&gt;1,"Duplicate key in this source",IF(H317=0,"Missing in other source",IF(H317&gt;1,"Duplicate in other source",IF(SUMIFS('External Data'!$M$2:$M$1001,'External Data'!$L$2:$L$1001,SUBSTITUTE(SUBSTITUTE(SUBSTITUTE(L317,"~","~~"),"*","~*"),"?","~?"))&lt;&gt;1,"Other amount is invalid",IF(J317&lt;&gt;0,"Amount differs","Matched")))))))</x:f>
      </x:c>
      <x:c r="L317" t="str">
        <x:f>IF(COUNTA(A317:F317)=0,"",LEN(A317)&amp;":"&amp;A317&amp;LEN(B317)&amp;":"&amp;B317&amp;LEN(C317)&amp;":"&amp;C317&amp;LEN(D317)&amp;":"&amp;D317)</x:f>
      </x:c>
      <x:c r="M317" t="str">
        <x:f>IF(COUNTA(A317:F317)=0,"",IF(ISNUMBER(E317),1,0))</x:f>
      </x:c>
    </x:row>
    <x:row r="318">
      <x:c r="A318" s="11"/>
      <x:c r="B318" s="11"/>
      <x:c r="C318" s="11"/>
      <x:c r="D318" s="11"/>
      <x:c r="E318" s="12"/>
      <x:c r="F318" s="10"/>
      <x:c r="G318" s="2" t="str">
        <x:f>IF(COUNTA(A318:F318)=0,"",COUNTIFS('App Data'!$L$2:$L$1001,SUBSTITUTE(SUBSTITUTE(SUBSTITUTE(L318,"~","~~"),"*","~*"),"?","~?")))</x:f>
      </x:c>
      <x:c r="H318" s="2" t="str">
        <x:f>IF(COUNTA(A318:F318)=0,"",COUNTIFS('External Data'!$L$2:$L$1001,SUBSTITUTE(SUBSTITUTE(SUBSTITUTE(L318,"~","~~"),"*","~*"),"?","~?")))</x:f>
      </x:c>
      <x:c r="I318" s="13" t="str">
        <x:f>IF(OR(H318&lt;&gt;1,G318&lt;&gt;1),"",SUMIFS('External Data'!$E$2:$E$1001,'External Data'!$L$2:$L$1001,SUBSTITUTE(SUBSTITUTE(SUBSTITUTE(L318,"~","~~"),"*","~*"),"?","~?")))</x:f>
      </x:c>
      <x:c r="J318" s="13" t="str">
        <x:f>IF(OR(NOT(ISNUMBER(E318)),NOT(ISNUMBER(I318))),"",ROUND(E318-I318,2))</x:f>
      </x:c>
      <x:c r="K318" s="2" t="str">
        <x:f>IF(COUNTA(A318:F318)=0,"",IF(OR(A318="",B318="",C318="",D318="",NOT(ISNUMBER(E318))),"Missing / invalid input",IF(G318&gt;1,"Duplicate key in this source",IF(H318=0,"Missing in other source",IF(H318&gt;1,"Duplicate in other source",IF(SUMIFS('External Data'!$M$2:$M$1001,'External Data'!$L$2:$L$1001,SUBSTITUTE(SUBSTITUTE(SUBSTITUTE(L318,"~","~~"),"*","~*"),"?","~?"))&lt;&gt;1,"Other amount is invalid",IF(J318&lt;&gt;0,"Amount differs","Matched")))))))</x:f>
      </x:c>
      <x:c r="L318" t="str">
        <x:f>IF(COUNTA(A318:F318)=0,"",LEN(A318)&amp;":"&amp;A318&amp;LEN(B318)&amp;":"&amp;B318&amp;LEN(C318)&amp;":"&amp;C318&amp;LEN(D318)&amp;":"&amp;D318)</x:f>
      </x:c>
      <x:c r="M318" t="str">
        <x:f>IF(COUNTA(A318:F318)=0,"",IF(ISNUMBER(E318),1,0))</x:f>
      </x:c>
    </x:row>
    <x:row r="319">
      <x:c r="A319" s="11"/>
      <x:c r="B319" s="11"/>
      <x:c r="C319" s="11"/>
      <x:c r="D319" s="11"/>
      <x:c r="E319" s="12"/>
      <x:c r="F319" s="10"/>
      <x:c r="G319" s="2" t="str">
        <x:f>IF(COUNTA(A319:F319)=0,"",COUNTIFS('App Data'!$L$2:$L$1001,SUBSTITUTE(SUBSTITUTE(SUBSTITUTE(L319,"~","~~"),"*","~*"),"?","~?")))</x:f>
      </x:c>
      <x:c r="H319" s="2" t="str">
        <x:f>IF(COUNTA(A319:F319)=0,"",COUNTIFS('External Data'!$L$2:$L$1001,SUBSTITUTE(SUBSTITUTE(SUBSTITUTE(L319,"~","~~"),"*","~*"),"?","~?")))</x:f>
      </x:c>
      <x:c r="I319" s="13" t="str">
        <x:f>IF(OR(H319&lt;&gt;1,G319&lt;&gt;1),"",SUMIFS('External Data'!$E$2:$E$1001,'External Data'!$L$2:$L$1001,SUBSTITUTE(SUBSTITUTE(SUBSTITUTE(L319,"~","~~"),"*","~*"),"?","~?")))</x:f>
      </x:c>
      <x:c r="J319" s="13" t="str">
        <x:f>IF(OR(NOT(ISNUMBER(E319)),NOT(ISNUMBER(I319))),"",ROUND(E319-I319,2))</x:f>
      </x:c>
      <x:c r="K319" s="2" t="str">
        <x:f>IF(COUNTA(A319:F319)=0,"",IF(OR(A319="",B319="",C319="",D319="",NOT(ISNUMBER(E319))),"Missing / invalid input",IF(G319&gt;1,"Duplicate key in this source",IF(H319=0,"Missing in other source",IF(H319&gt;1,"Duplicate in other source",IF(SUMIFS('External Data'!$M$2:$M$1001,'External Data'!$L$2:$L$1001,SUBSTITUTE(SUBSTITUTE(SUBSTITUTE(L319,"~","~~"),"*","~*"),"?","~?"))&lt;&gt;1,"Other amount is invalid",IF(J319&lt;&gt;0,"Amount differs","Matched")))))))</x:f>
      </x:c>
      <x:c r="L319" t="str">
        <x:f>IF(COUNTA(A319:F319)=0,"",LEN(A319)&amp;":"&amp;A319&amp;LEN(B319)&amp;":"&amp;B319&amp;LEN(C319)&amp;":"&amp;C319&amp;LEN(D319)&amp;":"&amp;D319)</x:f>
      </x:c>
      <x:c r="M319" t="str">
        <x:f>IF(COUNTA(A319:F319)=0,"",IF(ISNUMBER(E319),1,0))</x:f>
      </x:c>
    </x:row>
    <x:row r="320">
      <x:c r="A320" s="11"/>
      <x:c r="B320" s="11"/>
      <x:c r="C320" s="11"/>
      <x:c r="D320" s="11"/>
      <x:c r="E320" s="12"/>
      <x:c r="F320" s="10"/>
      <x:c r="G320" s="2" t="str">
        <x:f>IF(COUNTA(A320:F320)=0,"",COUNTIFS('App Data'!$L$2:$L$1001,SUBSTITUTE(SUBSTITUTE(SUBSTITUTE(L320,"~","~~"),"*","~*"),"?","~?")))</x:f>
      </x:c>
      <x:c r="H320" s="2" t="str">
        <x:f>IF(COUNTA(A320:F320)=0,"",COUNTIFS('External Data'!$L$2:$L$1001,SUBSTITUTE(SUBSTITUTE(SUBSTITUTE(L320,"~","~~"),"*","~*"),"?","~?")))</x:f>
      </x:c>
      <x:c r="I320" s="13" t="str">
        <x:f>IF(OR(H320&lt;&gt;1,G320&lt;&gt;1),"",SUMIFS('External Data'!$E$2:$E$1001,'External Data'!$L$2:$L$1001,SUBSTITUTE(SUBSTITUTE(SUBSTITUTE(L320,"~","~~"),"*","~*"),"?","~?")))</x:f>
      </x:c>
      <x:c r="J320" s="13" t="str">
        <x:f>IF(OR(NOT(ISNUMBER(E320)),NOT(ISNUMBER(I320))),"",ROUND(E320-I320,2))</x:f>
      </x:c>
      <x:c r="K320" s="2" t="str">
        <x:f>IF(COUNTA(A320:F320)=0,"",IF(OR(A320="",B320="",C320="",D320="",NOT(ISNUMBER(E320))),"Missing / invalid input",IF(G320&gt;1,"Duplicate key in this source",IF(H320=0,"Missing in other source",IF(H320&gt;1,"Duplicate in other source",IF(SUMIFS('External Data'!$M$2:$M$1001,'External Data'!$L$2:$L$1001,SUBSTITUTE(SUBSTITUTE(SUBSTITUTE(L320,"~","~~"),"*","~*"),"?","~?"))&lt;&gt;1,"Other amount is invalid",IF(J320&lt;&gt;0,"Amount differs","Matched")))))))</x:f>
      </x:c>
      <x:c r="L320" t="str">
        <x:f>IF(COUNTA(A320:F320)=0,"",LEN(A320)&amp;":"&amp;A320&amp;LEN(B320)&amp;":"&amp;B320&amp;LEN(C320)&amp;":"&amp;C320&amp;LEN(D320)&amp;":"&amp;D320)</x:f>
      </x:c>
      <x:c r="M320" t="str">
        <x:f>IF(COUNTA(A320:F320)=0,"",IF(ISNUMBER(E320),1,0))</x:f>
      </x:c>
    </x:row>
    <x:row r="321">
      <x:c r="A321" s="11"/>
      <x:c r="B321" s="11"/>
      <x:c r="C321" s="11"/>
      <x:c r="D321" s="11"/>
      <x:c r="E321" s="12"/>
      <x:c r="F321" s="10"/>
      <x:c r="G321" s="2" t="str">
        <x:f>IF(COUNTA(A321:F321)=0,"",COUNTIFS('App Data'!$L$2:$L$1001,SUBSTITUTE(SUBSTITUTE(SUBSTITUTE(L321,"~","~~"),"*","~*"),"?","~?")))</x:f>
      </x:c>
      <x:c r="H321" s="2" t="str">
        <x:f>IF(COUNTA(A321:F321)=0,"",COUNTIFS('External Data'!$L$2:$L$1001,SUBSTITUTE(SUBSTITUTE(SUBSTITUTE(L321,"~","~~"),"*","~*"),"?","~?")))</x:f>
      </x:c>
      <x:c r="I321" s="13" t="str">
        <x:f>IF(OR(H321&lt;&gt;1,G321&lt;&gt;1),"",SUMIFS('External Data'!$E$2:$E$1001,'External Data'!$L$2:$L$1001,SUBSTITUTE(SUBSTITUTE(SUBSTITUTE(L321,"~","~~"),"*","~*"),"?","~?")))</x:f>
      </x:c>
      <x:c r="J321" s="13" t="str">
        <x:f>IF(OR(NOT(ISNUMBER(E321)),NOT(ISNUMBER(I321))),"",ROUND(E321-I321,2))</x:f>
      </x:c>
      <x:c r="K321" s="2" t="str">
        <x:f>IF(COUNTA(A321:F321)=0,"",IF(OR(A321="",B321="",C321="",D321="",NOT(ISNUMBER(E321))),"Missing / invalid input",IF(G321&gt;1,"Duplicate key in this source",IF(H321=0,"Missing in other source",IF(H321&gt;1,"Duplicate in other source",IF(SUMIFS('External Data'!$M$2:$M$1001,'External Data'!$L$2:$L$1001,SUBSTITUTE(SUBSTITUTE(SUBSTITUTE(L321,"~","~~"),"*","~*"),"?","~?"))&lt;&gt;1,"Other amount is invalid",IF(J321&lt;&gt;0,"Amount differs","Matched")))))))</x:f>
      </x:c>
      <x:c r="L321" t="str">
        <x:f>IF(COUNTA(A321:F321)=0,"",LEN(A321)&amp;":"&amp;A321&amp;LEN(B321)&amp;":"&amp;B321&amp;LEN(C321)&amp;":"&amp;C321&amp;LEN(D321)&amp;":"&amp;D321)</x:f>
      </x:c>
      <x:c r="M321" t="str">
        <x:f>IF(COUNTA(A321:F321)=0,"",IF(ISNUMBER(E321),1,0))</x:f>
      </x:c>
    </x:row>
    <x:row r="322">
      <x:c r="A322" s="11"/>
      <x:c r="B322" s="11"/>
      <x:c r="C322" s="11"/>
      <x:c r="D322" s="11"/>
      <x:c r="E322" s="12"/>
      <x:c r="F322" s="10"/>
      <x:c r="G322" s="2" t="str">
        <x:f>IF(COUNTA(A322:F322)=0,"",COUNTIFS('App Data'!$L$2:$L$1001,SUBSTITUTE(SUBSTITUTE(SUBSTITUTE(L322,"~","~~"),"*","~*"),"?","~?")))</x:f>
      </x:c>
      <x:c r="H322" s="2" t="str">
        <x:f>IF(COUNTA(A322:F322)=0,"",COUNTIFS('External Data'!$L$2:$L$1001,SUBSTITUTE(SUBSTITUTE(SUBSTITUTE(L322,"~","~~"),"*","~*"),"?","~?")))</x:f>
      </x:c>
      <x:c r="I322" s="13" t="str">
        <x:f>IF(OR(H322&lt;&gt;1,G322&lt;&gt;1),"",SUMIFS('External Data'!$E$2:$E$1001,'External Data'!$L$2:$L$1001,SUBSTITUTE(SUBSTITUTE(SUBSTITUTE(L322,"~","~~"),"*","~*"),"?","~?")))</x:f>
      </x:c>
      <x:c r="J322" s="13" t="str">
        <x:f>IF(OR(NOT(ISNUMBER(E322)),NOT(ISNUMBER(I322))),"",ROUND(E322-I322,2))</x:f>
      </x:c>
      <x:c r="K322" s="2" t="str">
        <x:f>IF(COUNTA(A322:F322)=0,"",IF(OR(A322="",B322="",C322="",D322="",NOT(ISNUMBER(E322))),"Missing / invalid input",IF(G322&gt;1,"Duplicate key in this source",IF(H322=0,"Missing in other source",IF(H322&gt;1,"Duplicate in other source",IF(SUMIFS('External Data'!$M$2:$M$1001,'External Data'!$L$2:$L$1001,SUBSTITUTE(SUBSTITUTE(SUBSTITUTE(L322,"~","~~"),"*","~*"),"?","~?"))&lt;&gt;1,"Other amount is invalid",IF(J322&lt;&gt;0,"Amount differs","Matched")))))))</x:f>
      </x:c>
      <x:c r="L322" t="str">
        <x:f>IF(COUNTA(A322:F322)=0,"",LEN(A322)&amp;":"&amp;A322&amp;LEN(B322)&amp;":"&amp;B322&amp;LEN(C322)&amp;":"&amp;C322&amp;LEN(D322)&amp;":"&amp;D322)</x:f>
      </x:c>
      <x:c r="M322" t="str">
        <x:f>IF(COUNTA(A322:F322)=0,"",IF(ISNUMBER(E322),1,0))</x:f>
      </x:c>
    </x:row>
    <x:row r="323">
      <x:c r="A323" s="11"/>
      <x:c r="B323" s="11"/>
      <x:c r="C323" s="11"/>
      <x:c r="D323" s="11"/>
      <x:c r="E323" s="12"/>
      <x:c r="F323" s="10"/>
      <x:c r="G323" s="2" t="str">
        <x:f>IF(COUNTA(A323:F323)=0,"",COUNTIFS('App Data'!$L$2:$L$1001,SUBSTITUTE(SUBSTITUTE(SUBSTITUTE(L323,"~","~~"),"*","~*"),"?","~?")))</x:f>
      </x:c>
      <x:c r="H323" s="2" t="str">
        <x:f>IF(COUNTA(A323:F323)=0,"",COUNTIFS('External Data'!$L$2:$L$1001,SUBSTITUTE(SUBSTITUTE(SUBSTITUTE(L323,"~","~~"),"*","~*"),"?","~?")))</x:f>
      </x:c>
      <x:c r="I323" s="13" t="str">
        <x:f>IF(OR(H323&lt;&gt;1,G323&lt;&gt;1),"",SUMIFS('External Data'!$E$2:$E$1001,'External Data'!$L$2:$L$1001,SUBSTITUTE(SUBSTITUTE(SUBSTITUTE(L323,"~","~~"),"*","~*"),"?","~?")))</x:f>
      </x:c>
      <x:c r="J323" s="13" t="str">
        <x:f>IF(OR(NOT(ISNUMBER(E323)),NOT(ISNUMBER(I323))),"",ROUND(E323-I323,2))</x:f>
      </x:c>
      <x:c r="K323" s="2" t="str">
        <x:f>IF(COUNTA(A323:F323)=0,"",IF(OR(A323="",B323="",C323="",D323="",NOT(ISNUMBER(E323))),"Missing / invalid input",IF(G323&gt;1,"Duplicate key in this source",IF(H323=0,"Missing in other source",IF(H323&gt;1,"Duplicate in other source",IF(SUMIFS('External Data'!$M$2:$M$1001,'External Data'!$L$2:$L$1001,SUBSTITUTE(SUBSTITUTE(SUBSTITUTE(L323,"~","~~"),"*","~*"),"?","~?"))&lt;&gt;1,"Other amount is invalid",IF(J323&lt;&gt;0,"Amount differs","Matched")))))))</x:f>
      </x:c>
      <x:c r="L323" t="str">
        <x:f>IF(COUNTA(A323:F323)=0,"",LEN(A323)&amp;":"&amp;A323&amp;LEN(B323)&amp;":"&amp;B323&amp;LEN(C323)&amp;":"&amp;C323&amp;LEN(D323)&amp;":"&amp;D323)</x:f>
      </x:c>
      <x:c r="M323" t="str">
        <x:f>IF(COUNTA(A323:F323)=0,"",IF(ISNUMBER(E323),1,0))</x:f>
      </x:c>
    </x:row>
    <x:row r="324">
      <x:c r="A324" s="11"/>
      <x:c r="B324" s="11"/>
      <x:c r="C324" s="11"/>
      <x:c r="D324" s="11"/>
      <x:c r="E324" s="12"/>
      <x:c r="F324" s="10"/>
      <x:c r="G324" s="2" t="str">
        <x:f>IF(COUNTA(A324:F324)=0,"",COUNTIFS('App Data'!$L$2:$L$1001,SUBSTITUTE(SUBSTITUTE(SUBSTITUTE(L324,"~","~~"),"*","~*"),"?","~?")))</x:f>
      </x:c>
      <x:c r="H324" s="2" t="str">
        <x:f>IF(COUNTA(A324:F324)=0,"",COUNTIFS('External Data'!$L$2:$L$1001,SUBSTITUTE(SUBSTITUTE(SUBSTITUTE(L324,"~","~~"),"*","~*"),"?","~?")))</x:f>
      </x:c>
      <x:c r="I324" s="13" t="str">
        <x:f>IF(OR(H324&lt;&gt;1,G324&lt;&gt;1),"",SUMIFS('External Data'!$E$2:$E$1001,'External Data'!$L$2:$L$1001,SUBSTITUTE(SUBSTITUTE(SUBSTITUTE(L324,"~","~~"),"*","~*"),"?","~?")))</x:f>
      </x:c>
      <x:c r="J324" s="13" t="str">
        <x:f>IF(OR(NOT(ISNUMBER(E324)),NOT(ISNUMBER(I324))),"",ROUND(E324-I324,2))</x:f>
      </x:c>
      <x:c r="K324" s="2" t="str">
        <x:f>IF(COUNTA(A324:F324)=0,"",IF(OR(A324="",B324="",C324="",D324="",NOT(ISNUMBER(E324))),"Missing / invalid input",IF(G324&gt;1,"Duplicate key in this source",IF(H324=0,"Missing in other source",IF(H324&gt;1,"Duplicate in other source",IF(SUMIFS('External Data'!$M$2:$M$1001,'External Data'!$L$2:$L$1001,SUBSTITUTE(SUBSTITUTE(SUBSTITUTE(L324,"~","~~"),"*","~*"),"?","~?"))&lt;&gt;1,"Other amount is invalid",IF(J324&lt;&gt;0,"Amount differs","Matched")))))))</x:f>
      </x:c>
      <x:c r="L324" t="str">
        <x:f>IF(COUNTA(A324:F324)=0,"",LEN(A324)&amp;":"&amp;A324&amp;LEN(B324)&amp;":"&amp;B324&amp;LEN(C324)&amp;":"&amp;C324&amp;LEN(D324)&amp;":"&amp;D324)</x:f>
      </x:c>
      <x:c r="M324" t="str">
        <x:f>IF(COUNTA(A324:F324)=0,"",IF(ISNUMBER(E324),1,0))</x:f>
      </x:c>
    </x:row>
    <x:row r="325">
      <x:c r="A325" s="11"/>
      <x:c r="B325" s="11"/>
      <x:c r="C325" s="11"/>
      <x:c r="D325" s="11"/>
      <x:c r="E325" s="12"/>
      <x:c r="F325" s="10"/>
      <x:c r="G325" s="2" t="str">
        <x:f>IF(COUNTA(A325:F325)=0,"",COUNTIFS('App Data'!$L$2:$L$1001,SUBSTITUTE(SUBSTITUTE(SUBSTITUTE(L325,"~","~~"),"*","~*"),"?","~?")))</x:f>
      </x:c>
      <x:c r="H325" s="2" t="str">
        <x:f>IF(COUNTA(A325:F325)=0,"",COUNTIFS('External Data'!$L$2:$L$1001,SUBSTITUTE(SUBSTITUTE(SUBSTITUTE(L325,"~","~~"),"*","~*"),"?","~?")))</x:f>
      </x:c>
      <x:c r="I325" s="13" t="str">
        <x:f>IF(OR(H325&lt;&gt;1,G325&lt;&gt;1),"",SUMIFS('External Data'!$E$2:$E$1001,'External Data'!$L$2:$L$1001,SUBSTITUTE(SUBSTITUTE(SUBSTITUTE(L325,"~","~~"),"*","~*"),"?","~?")))</x:f>
      </x:c>
      <x:c r="J325" s="13" t="str">
        <x:f>IF(OR(NOT(ISNUMBER(E325)),NOT(ISNUMBER(I325))),"",ROUND(E325-I325,2))</x:f>
      </x:c>
      <x:c r="K325" s="2" t="str">
        <x:f>IF(COUNTA(A325:F325)=0,"",IF(OR(A325="",B325="",C325="",D325="",NOT(ISNUMBER(E325))),"Missing / invalid input",IF(G325&gt;1,"Duplicate key in this source",IF(H325=0,"Missing in other source",IF(H325&gt;1,"Duplicate in other source",IF(SUMIFS('External Data'!$M$2:$M$1001,'External Data'!$L$2:$L$1001,SUBSTITUTE(SUBSTITUTE(SUBSTITUTE(L325,"~","~~"),"*","~*"),"?","~?"))&lt;&gt;1,"Other amount is invalid",IF(J325&lt;&gt;0,"Amount differs","Matched")))))))</x:f>
      </x:c>
      <x:c r="L325" t="str">
        <x:f>IF(COUNTA(A325:F325)=0,"",LEN(A325)&amp;":"&amp;A325&amp;LEN(B325)&amp;":"&amp;B325&amp;LEN(C325)&amp;":"&amp;C325&amp;LEN(D325)&amp;":"&amp;D325)</x:f>
      </x:c>
      <x:c r="M325" t="str">
        <x:f>IF(COUNTA(A325:F325)=0,"",IF(ISNUMBER(E325),1,0))</x:f>
      </x:c>
    </x:row>
    <x:row r="326">
      <x:c r="A326" s="11"/>
      <x:c r="B326" s="11"/>
      <x:c r="C326" s="11"/>
      <x:c r="D326" s="11"/>
      <x:c r="E326" s="12"/>
      <x:c r="F326" s="10"/>
      <x:c r="G326" s="2" t="str">
        <x:f>IF(COUNTA(A326:F326)=0,"",COUNTIFS('App Data'!$L$2:$L$1001,SUBSTITUTE(SUBSTITUTE(SUBSTITUTE(L326,"~","~~"),"*","~*"),"?","~?")))</x:f>
      </x:c>
      <x:c r="H326" s="2" t="str">
        <x:f>IF(COUNTA(A326:F326)=0,"",COUNTIFS('External Data'!$L$2:$L$1001,SUBSTITUTE(SUBSTITUTE(SUBSTITUTE(L326,"~","~~"),"*","~*"),"?","~?")))</x:f>
      </x:c>
      <x:c r="I326" s="13" t="str">
        <x:f>IF(OR(H326&lt;&gt;1,G326&lt;&gt;1),"",SUMIFS('External Data'!$E$2:$E$1001,'External Data'!$L$2:$L$1001,SUBSTITUTE(SUBSTITUTE(SUBSTITUTE(L326,"~","~~"),"*","~*"),"?","~?")))</x:f>
      </x:c>
      <x:c r="J326" s="13" t="str">
        <x:f>IF(OR(NOT(ISNUMBER(E326)),NOT(ISNUMBER(I326))),"",ROUND(E326-I326,2))</x:f>
      </x:c>
      <x:c r="K326" s="2" t="str">
        <x:f>IF(COUNTA(A326:F326)=0,"",IF(OR(A326="",B326="",C326="",D326="",NOT(ISNUMBER(E326))),"Missing / invalid input",IF(G326&gt;1,"Duplicate key in this source",IF(H326=0,"Missing in other source",IF(H326&gt;1,"Duplicate in other source",IF(SUMIFS('External Data'!$M$2:$M$1001,'External Data'!$L$2:$L$1001,SUBSTITUTE(SUBSTITUTE(SUBSTITUTE(L326,"~","~~"),"*","~*"),"?","~?"))&lt;&gt;1,"Other amount is invalid",IF(J326&lt;&gt;0,"Amount differs","Matched")))))))</x:f>
      </x:c>
      <x:c r="L326" t="str">
        <x:f>IF(COUNTA(A326:F326)=0,"",LEN(A326)&amp;":"&amp;A326&amp;LEN(B326)&amp;":"&amp;B326&amp;LEN(C326)&amp;":"&amp;C326&amp;LEN(D326)&amp;":"&amp;D326)</x:f>
      </x:c>
      <x:c r="M326" t="str">
        <x:f>IF(COUNTA(A326:F326)=0,"",IF(ISNUMBER(E326),1,0))</x:f>
      </x:c>
    </x:row>
    <x:row r="327">
      <x:c r="A327" s="11"/>
      <x:c r="B327" s="11"/>
      <x:c r="C327" s="11"/>
      <x:c r="D327" s="11"/>
      <x:c r="E327" s="12"/>
      <x:c r="F327" s="10"/>
      <x:c r="G327" s="2" t="str">
        <x:f>IF(COUNTA(A327:F327)=0,"",COUNTIFS('App Data'!$L$2:$L$1001,SUBSTITUTE(SUBSTITUTE(SUBSTITUTE(L327,"~","~~"),"*","~*"),"?","~?")))</x:f>
      </x:c>
      <x:c r="H327" s="2" t="str">
        <x:f>IF(COUNTA(A327:F327)=0,"",COUNTIFS('External Data'!$L$2:$L$1001,SUBSTITUTE(SUBSTITUTE(SUBSTITUTE(L327,"~","~~"),"*","~*"),"?","~?")))</x:f>
      </x:c>
      <x:c r="I327" s="13" t="str">
        <x:f>IF(OR(H327&lt;&gt;1,G327&lt;&gt;1),"",SUMIFS('External Data'!$E$2:$E$1001,'External Data'!$L$2:$L$1001,SUBSTITUTE(SUBSTITUTE(SUBSTITUTE(L327,"~","~~"),"*","~*"),"?","~?")))</x:f>
      </x:c>
      <x:c r="J327" s="13" t="str">
        <x:f>IF(OR(NOT(ISNUMBER(E327)),NOT(ISNUMBER(I327))),"",ROUND(E327-I327,2))</x:f>
      </x:c>
      <x:c r="K327" s="2" t="str">
        <x:f>IF(COUNTA(A327:F327)=0,"",IF(OR(A327="",B327="",C327="",D327="",NOT(ISNUMBER(E327))),"Missing / invalid input",IF(G327&gt;1,"Duplicate key in this source",IF(H327=0,"Missing in other source",IF(H327&gt;1,"Duplicate in other source",IF(SUMIFS('External Data'!$M$2:$M$1001,'External Data'!$L$2:$L$1001,SUBSTITUTE(SUBSTITUTE(SUBSTITUTE(L327,"~","~~"),"*","~*"),"?","~?"))&lt;&gt;1,"Other amount is invalid",IF(J327&lt;&gt;0,"Amount differs","Matched")))))))</x:f>
      </x:c>
      <x:c r="L327" t="str">
        <x:f>IF(COUNTA(A327:F327)=0,"",LEN(A327)&amp;":"&amp;A327&amp;LEN(B327)&amp;":"&amp;B327&amp;LEN(C327)&amp;":"&amp;C327&amp;LEN(D327)&amp;":"&amp;D327)</x:f>
      </x:c>
      <x:c r="M327" t="str">
        <x:f>IF(COUNTA(A327:F327)=0,"",IF(ISNUMBER(E327),1,0))</x:f>
      </x:c>
    </x:row>
    <x:row r="328">
      <x:c r="A328" s="11"/>
      <x:c r="B328" s="11"/>
      <x:c r="C328" s="11"/>
      <x:c r="D328" s="11"/>
      <x:c r="E328" s="12"/>
      <x:c r="F328" s="10"/>
      <x:c r="G328" s="2" t="str">
        <x:f>IF(COUNTA(A328:F328)=0,"",COUNTIFS('App Data'!$L$2:$L$1001,SUBSTITUTE(SUBSTITUTE(SUBSTITUTE(L328,"~","~~"),"*","~*"),"?","~?")))</x:f>
      </x:c>
      <x:c r="H328" s="2" t="str">
        <x:f>IF(COUNTA(A328:F328)=0,"",COUNTIFS('External Data'!$L$2:$L$1001,SUBSTITUTE(SUBSTITUTE(SUBSTITUTE(L328,"~","~~"),"*","~*"),"?","~?")))</x:f>
      </x:c>
      <x:c r="I328" s="13" t="str">
        <x:f>IF(OR(H328&lt;&gt;1,G328&lt;&gt;1),"",SUMIFS('External Data'!$E$2:$E$1001,'External Data'!$L$2:$L$1001,SUBSTITUTE(SUBSTITUTE(SUBSTITUTE(L328,"~","~~"),"*","~*"),"?","~?")))</x:f>
      </x:c>
      <x:c r="J328" s="13" t="str">
        <x:f>IF(OR(NOT(ISNUMBER(E328)),NOT(ISNUMBER(I328))),"",ROUND(E328-I328,2))</x:f>
      </x:c>
      <x:c r="K328" s="2" t="str">
        <x:f>IF(COUNTA(A328:F328)=0,"",IF(OR(A328="",B328="",C328="",D328="",NOT(ISNUMBER(E328))),"Missing / invalid input",IF(G328&gt;1,"Duplicate key in this source",IF(H328=0,"Missing in other source",IF(H328&gt;1,"Duplicate in other source",IF(SUMIFS('External Data'!$M$2:$M$1001,'External Data'!$L$2:$L$1001,SUBSTITUTE(SUBSTITUTE(SUBSTITUTE(L328,"~","~~"),"*","~*"),"?","~?"))&lt;&gt;1,"Other amount is invalid",IF(J328&lt;&gt;0,"Amount differs","Matched")))))))</x:f>
      </x:c>
      <x:c r="L328" t="str">
        <x:f>IF(COUNTA(A328:F328)=0,"",LEN(A328)&amp;":"&amp;A328&amp;LEN(B328)&amp;":"&amp;B328&amp;LEN(C328)&amp;":"&amp;C328&amp;LEN(D328)&amp;":"&amp;D328)</x:f>
      </x:c>
      <x:c r="M328" t="str">
        <x:f>IF(COUNTA(A328:F328)=0,"",IF(ISNUMBER(E328),1,0))</x:f>
      </x:c>
    </x:row>
    <x:row r="329">
      <x:c r="A329" s="11"/>
      <x:c r="B329" s="11"/>
      <x:c r="C329" s="11"/>
      <x:c r="D329" s="11"/>
      <x:c r="E329" s="12"/>
      <x:c r="F329" s="10"/>
      <x:c r="G329" s="2" t="str">
        <x:f>IF(COUNTA(A329:F329)=0,"",COUNTIFS('App Data'!$L$2:$L$1001,SUBSTITUTE(SUBSTITUTE(SUBSTITUTE(L329,"~","~~"),"*","~*"),"?","~?")))</x:f>
      </x:c>
      <x:c r="H329" s="2" t="str">
        <x:f>IF(COUNTA(A329:F329)=0,"",COUNTIFS('External Data'!$L$2:$L$1001,SUBSTITUTE(SUBSTITUTE(SUBSTITUTE(L329,"~","~~"),"*","~*"),"?","~?")))</x:f>
      </x:c>
      <x:c r="I329" s="13" t="str">
        <x:f>IF(OR(H329&lt;&gt;1,G329&lt;&gt;1),"",SUMIFS('External Data'!$E$2:$E$1001,'External Data'!$L$2:$L$1001,SUBSTITUTE(SUBSTITUTE(SUBSTITUTE(L329,"~","~~"),"*","~*"),"?","~?")))</x:f>
      </x:c>
      <x:c r="J329" s="13" t="str">
        <x:f>IF(OR(NOT(ISNUMBER(E329)),NOT(ISNUMBER(I329))),"",ROUND(E329-I329,2))</x:f>
      </x:c>
      <x:c r="K329" s="2" t="str">
        <x:f>IF(COUNTA(A329:F329)=0,"",IF(OR(A329="",B329="",C329="",D329="",NOT(ISNUMBER(E329))),"Missing / invalid input",IF(G329&gt;1,"Duplicate key in this source",IF(H329=0,"Missing in other source",IF(H329&gt;1,"Duplicate in other source",IF(SUMIFS('External Data'!$M$2:$M$1001,'External Data'!$L$2:$L$1001,SUBSTITUTE(SUBSTITUTE(SUBSTITUTE(L329,"~","~~"),"*","~*"),"?","~?"))&lt;&gt;1,"Other amount is invalid",IF(J329&lt;&gt;0,"Amount differs","Matched")))))))</x:f>
      </x:c>
      <x:c r="L329" t="str">
        <x:f>IF(COUNTA(A329:F329)=0,"",LEN(A329)&amp;":"&amp;A329&amp;LEN(B329)&amp;":"&amp;B329&amp;LEN(C329)&amp;":"&amp;C329&amp;LEN(D329)&amp;":"&amp;D329)</x:f>
      </x:c>
      <x:c r="M329" t="str">
        <x:f>IF(COUNTA(A329:F329)=0,"",IF(ISNUMBER(E329),1,0))</x:f>
      </x:c>
    </x:row>
    <x:row r="330">
      <x:c r="A330" s="11"/>
      <x:c r="B330" s="11"/>
      <x:c r="C330" s="11"/>
      <x:c r="D330" s="11"/>
      <x:c r="E330" s="12"/>
      <x:c r="F330" s="10"/>
      <x:c r="G330" s="2" t="str">
        <x:f>IF(COUNTA(A330:F330)=0,"",COUNTIFS('App Data'!$L$2:$L$1001,SUBSTITUTE(SUBSTITUTE(SUBSTITUTE(L330,"~","~~"),"*","~*"),"?","~?")))</x:f>
      </x:c>
      <x:c r="H330" s="2" t="str">
        <x:f>IF(COUNTA(A330:F330)=0,"",COUNTIFS('External Data'!$L$2:$L$1001,SUBSTITUTE(SUBSTITUTE(SUBSTITUTE(L330,"~","~~"),"*","~*"),"?","~?")))</x:f>
      </x:c>
      <x:c r="I330" s="13" t="str">
        <x:f>IF(OR(H330&lt;&gt;1,G330&lt;&gt;1),"",SUMIFS('External Data'!$E$2:$E$1001,'External Data'!$L$2:$L$1001,SUBSTITUTE(SUBSTITUTE(SUBSTITUTE(L330,"~","~~"),"*","~*"),"?","~?")))</x:f>
      </x:c>
      <x:c r="J330" s="13" t="str">
        <x:f>IF(OR(NOT(ISNUMBER(E330)),NOT(ISNUMBER(I330))),"",ROUND(E330-I330,2))</x:f>
      </x:c>
      <x:c r="K330" s="2" t="str">
        <x:f>IF(COUNTA(A330:F330)=0,"",IF(OR(A330="",B330="",C330="",D330="",NOT(ISNUMBER(E330))),"Missing / invalid input",IF(G330&gt;1,"Duplicate key in this source",IF(H330=0,"Missing in other source",IF(H330&gt;1,"Duplicate in other source",IF(SUMIFS('External Data'!$M$2:$M$1001,'External Data'!$L$2:$L$1001,SUBSTITUTE(SUBSTITUTE(SUBSTITUTE(L330,"~","~~"),"*","~*"),"?","~?"))&lt;&gt;1,"Other amount is invalid",IF(J330&lt;&gt;0,"Amount differs","Matched")))))))</x:f>
      </x:c>
      <x:c r="L330" t="str">
        <x:f>IF(COUNTA(A330:F330)=0,"",LEN(A330)&amp;":"&amp;A330&amp;LEN(B330)&amp;":"&amp;B330&amp;LEN(C330)&amp;":"&amp;C330&amp;LEN(D330)&amp;":"&amp;D330)</x:f>
      </x:c>
      <x:c r="M330" t="str">
        <x:f>IF(COUNTA(A330:F330)=0,"",IF(ISNUMBER(E330),1,0))</x:f>
      </x:c>
    </x:row>
    <x:row r="331">
      <x:c r="A331" s="11"/>
      <x:c r="B331" s="11"/>
      <x:c r="C331" s="11"/>
      <x:c r="D331" s="11"/>
      <x:c r="E331" s="12"/>
      <x:c r="F331" s="10"/>
      <x:c r="G331" s="2" t="str">
        <x:f>IF(COUNTA(A331:F331)=0,"",COUNTIFS('App Data'!$L$2:$L$1001,SUBSTITUTE(SUBSTITUTE(SUBSTITUTE(L331,"~","~~"),"*","~*"),"?","~?")))</x:f>
      </x:c>
      <x:c r="H331" s="2" t="str">
        <x:f>IF(COUNTA(A331:F331)=0,"",COUNTIFS('External Data'!$L$2:$L$1001,SUBSTITUTE(SUBSTITUTE(SUBSTITUTE(L331,"~","~~"),"*","~*"),"?","~?")))</x:f>
      </x:c>
      <x:c r="I331" s="13" t="str">
        <x:f>IF(OR(H331&lt;&gt;1,G331&lt;&gt;1),"",SUMIFS('External Data'!$E$2:$E$1001,'External Data'!$L$2:$L$1001,SUBSTITUTE(SUBSTITUTE(SUBSTITUTE(L331,"~","~~"),"*","~*"),"?","~?")))</x:f>
      </x:c>
      <x:c r="J331" s="13" t="str">
        <x:f>IF(OR(NOT(ISNUMBER(E331)),NOT(ISNUMBER(I331))),"",ROUND(E331-I331,2))</x:f>
      </x:c>
      <x:c r="K331" s="2" t="str">
        <x:f>IF(COUNTA(A331:F331)=0,"",IF(OR(A331="",B331="",C331="",D331="",NOT(ISNUMBER(E331))),"Missing / invalid input",IF(G331&gt;1,"Duplicate key in this source",IF(H331=0,"Missing in other source",IF(H331&gt;1,"Duplicate in other source",IF(SUMIFS('External Data'!$M$2:$M$1001,'External Data'!$L$2:$L$1001,SUBSTITUTE(SUBSTITUTE(SUBSTITUTE(L331,"~","~~"),"*","~*"),"?","~?"))&lt;&gt;1,"Other amount is invalid",IF(J331&lt;&gt;0,"Amount differs","Matched")))))))</x:f>
      </x:c>
      <x:c r="L331" t="str">
        <x:f>IF(COUNTA(A331:F331)=0,"",LEN(A331)&amp;":"&amp;A331&amp;LEN(B331)&amp;":"&amp;B331&amp;LEN(C331)&amp;":"&amp;C331&amp;LEN(D331)&amp;":"&amp;D331)</x:f>
      </x:c>
      <x:c r="M331" t="str">
        <x:f>IF(COUNTA(A331:F331)=0,"",IF(ISNUMBER(E331),1,0))</x:f>
      </x:c>
    </x:row>
    <x:row r="332">
      <x:c r="A332" s="11"/>
      <x:c r="B332" s="11"/>
      <x:c r="C332" s="11"/>
      <x:c r="D332" s="11"/>
      <x:c r="E332" s="12"/>
      <x:c r="F332" s="10"/>
      <x:c r="G332" s="2" t="str">
        <x:f>IF(COUNTA(A332:F332)=0,"",COUNTIFS('App Data'!$L$2:$L$1001,SUBSTITUTE(SUBSTITUTE(SUBSTITUTE(L332,"~","~~"),"*","~*"),"?","~?")))</x:f>
      </x:c>
      <x:c r="H332" s="2" t="str">
        <x:f>IF(COUNTA(A332:F332)=0,"",COUNTIFS('External Data'!$L$2:$L$1001,SUBSTITUTE(SUBSTITUTE(SUBSTITUTE(L332,"~","~~"),"*","~*"),"?","~?")))</x:f>
      </x:c>
      <x:c r="I332" s="13" t="str">
        <x:f>IF(OR(H332&lt;&gt;1,G332&lt;&gt;1),"",SUMIFS('External Data'!$E$2:$E$1001,'External Data'!$L$2:$L$1001,SUBSTITUTE(SUBSTITUTE(SUBSTITUTE(L332,"~","~~"),"*","~*"),"?","~?")))</x:f>
      </x:c>
      <x:c r="J332" s="13" t="str">
        <x:f>IF(OR(NOT(ISNUMBER(E332)),NOT(ISNUMBER(I332))),"",ROUND(E332-I332,2))</x:f>
      </x:c>
      <x:c r="K332" s="2" t="str">
        <x:f>IF(COUNTA(A332:F332)=0,"",IF(OR(A332="",B332="",C332="",D332="",NOT(ISNUMBER(E332))),"Missing / invalid input",IF(G332&gt;1,"Duplicate key in this source",IF(H332=0,"Missing in other source",IF(H332&gt;1,"Duplicate in other source",IF(SUMIFS('External Data'!$M$2:$M$1001,'External Data'!$L$2:$L$1001,SUBSTITUTE(SUBSTITUTE(SUBSTITUTE(L332,"~","~~"),"*","~*"),"?","~?"))&lt;&gt;1,"Other amount is invalid",IF(J332&lt;&gt;0,"Amount differs","Matched")))))))</x:f>
      </x:c>
      <x:c r="L332" t="str">
        <x:f>IF(COUNTA(A332:F332)=0,"",LEN(A332)&amp;":"&amp;A332&amp;LEN(B332)&amp;":"&amp;B332&amp;LEN(C332)&amp;":"&amp;C332&amp;LEN(D332)&amp;":"&amp;D332)</x:f>
      </x:c>
      <x:c r="M332" t="str">
        <x:f>IF(COUNTA(A332:F332)=0,"",IF(ISNUMBER(E332),1,0))</x:f>
      </x:c>
    </x:row>
    <x:row r="333">
      <x:c r="A333" s="11"/>
      <x:c r="B333" s="11"/>
      <x:c r="C333" s="11"/>
      <x:c r="D333" s="11"/>
      <x:c r="E333" s="12"/>
      <x:c r="F333" s="10"/>
      <x:c r="G333" s="2" t="str">
        <x:f>IF(COUNTA(A333:F333)=0,"",COUNTIFS('App Data'!$L$2:$L$1001,SUBSTITUTE(SUBSTITUTE(SUBSTITUTE(L333,"~","~~"),"*","~*"),"?","~?")))</x:f>
      </x:c>
      <x:c r="H333" s="2" t="str">
        <x:f>IF(COUNTA(A333:F333)=0,"",COUNTIFS('External Data'!$L$2:$L$1001,SUBSTITUTE(SUBSTITUTE(SUBSTITUTE(L333,"~","~~"),"*","~*"),"?","~?")))</x:f>
      </x:c>
      <x:c r="I333" s="13" t="str">
        <x:f>IF(OR(H333&lt;&gt;1,G333&lt;&gt;1),"",SUMIFS('External Data'!$E$2:$E$1001,'External Data'!$L$2:$L$1001,SUBSTITUTE(SUBSTITUTE(SUBSTITUTE(L333,"~","~~"),"*","~*"),"?","~?")))</x:f>
      </x:c>
      <x:c r="J333" s="13" t="str">
        <x:f>IF(OR(NOT(ISNUMBER(E333)),NOT(ISNUMBER(I333))),"",ROUND(E333-I333,2))</x:f>
      </x:c>
      <x:c r="K333" s="2" t="str">
        <x:f>IF(COUNTA(A333:F333)=0,"",IF(OR(A333="",B333="",C333="",D333="",NOT(ISNUMBER(E333))),"Missing / invalid input",IF(G333&gt;1,"Duplicate key in this source",IF(H333=0,"Missing in other source",IF(H333&gt;1,"Duplicate in other source",IF(SUMIFS('External Data'!$M$2:$M$1001,'External Data'!$L$2:$L$1001,SUBSTITUTE(SUBSTITUTE(SUBSTITUTE(L333,"~","~~"),"*","~*"),"?","~?"))&lt;&gt;1,"Other amount is invalid",IF(J333&lt;&gt;0,"Amount differs","Matched")))))))</x:f>
      </x:c>
      <x:c r="L333" t="str">
        <x:f>IF(COUNTA(A333:F333)=0,"",LEN(A333)&amp;":"&amp;A333&amp;LEN(B333)&amp;":"&amp;B333&amp;LEN(C333)&amp;":"&amp;C333&amp;LEN(D333)&amp;":"&amp;D333)</x:f>
      </x:c>
      <x:c r="M333" t="str">
        <x:f>IF(COUNTA(A333:F333)=0,"",IF(ISNUMBER(E333),1,0))</x:f>
      </x:c>
    </x:row>
    <x:row r="334">
      <x:c r="A334" s="11"/>
      <x:c r="B334" s="11"/>
      <x:c r="C334" s="11"/>
      <x:c r="D334" s="11"/>
      <x:c r="E334" s="12"/>
      <x:c r="F334" s="10"/>
      <x:c r="G334" s="2" t="str">
        <x:f>IF(COUNTA(A334:F334)=0,"",COUNTIFS('App Data'!$L$2:$L$1001,SUBSTITUTE(SUBSTITUTE(SUBSTITUTE(L334,"~","~~"),"*","~*"),"?","~?")))</x:f>
      </x:c>
      <x:c r="H334" s="2" t="str">
        <x:f>IF(COUNTA(A334:F334)=0,"",COUNTIFS('External Data'!$L$2:$L$1001,SUBSTITUTE(SUBSTITUTE(SUBSTITUTE(L334,"~","~~"),"*","~*"),"?","~?")))</x:f>
      </x:c>
      <x:c r="I334" s="13" t="str">
        <x:f>IF(OR(H334&lt;&gt;1,G334&lt;&gt;1),"",SUMIFS('External Data'!$E$2:$E$1001,'External Data'!$L$2:$L$1001,SUBSTITUTE(SUBSTITUTE(SUBSTITUTE(L334,"~","~~"),"*","~*"),"?","~?")))</x:f>
      </x:c>
      <x:c r="J334" s="13" t="str">
        <x:f>IF(OR(NOT(ISNUMBER(E334)),NOT(ISNUMBER(I334))),"",ROUND(E334-I334,2))</x:f>
      </x:c>
      <x:c r="K334" s="2" t="str">
        <x:f>IF(COUNTA(A334:F334)=0,"",IF(OR(A334="",B334="",C334="",D334="",NOT(ISNUMBER(E334))),"Missing / invalid input",IF(G334&gt;1,"Duplicate key in this source",IF(H334=0,"Missing in other source",IF(H334&gt;1,"Duplicate in other source",IF(SUMIFS('External Data'!$M$2:$M$1001,'External Data'!$L$2:$L$1001,SUBSTITUTE(SUBSTITUTE(SUBSTITUTE(L334,"~","~~"),"*","~*"),"?","~?"))&lt;&gt;1,"Other amount is invalid",IF(J334&lt;&gt;0,"Amount differs","Matched")))))))</x:f>
      </x:c>
      <x:c r="L334" t="str">
        <x:f>IF(COUNTA(A334:F334)=0,"",LEN(A334)&amp;":"&amp;A334&amp;LEN(B334)&amp;":"&amp;B334&amp;LEN(C334)&amp;":"&amp;C334&amp;LEN(D334)&amp;":"&amp;D334)</x:f>
      </x:c>
      <x:c r="M334" t="str">
        <x:f>IF(COUNTA(A334:F334)=0,"",IF(ISNUMBER(E334),1,0))</x:f>
      </x:c>
    </x:row>
    <x:row r="335">
      <x:c r="A335" s="11"/>
      <x:c r="B335" s="11"/>
      <x:c r="C335" s="11"/>
      <x:c r="D335" s="11"/>
      <x:c r="E335" s="12"/>
      <x:c r="F335" s="10"/>
      <x:c r="G335" s="2" t="str">
        <x:f>IF(COUNTA(A335:F335)=0,"",COUNTIFS('App Data'!$L$2:$L$1001,SUBSTITUTE(SUBSTITUTE(SUBSTITUTE(L335,"~","~~"),"*","~*"),"?","~?")))</x:f>
      </x:c>
      <x:c r="H335" s="2" t="str">
        <x:f>IF(COUNTA(A335:F335)=0,"",COUNTIFS('External Data'!$L$2:$L$1001,SUBSTITUTE(SUBSTITUTE(SUBSTITUTE(L335,"~","~~"),"*","~*"),"?","~?")))</x:f>
      </x:c>
      <x:c r="I335" s="13" t="str">
        <x:f>IF(OR(H335&lt;&gt;1,G335&lt;&gt;1),"",SUMIFS('External Data'!$E$2:$E$1001,'External Data'!$L$2:$L$1001,SUBSTITUTE(SUBSTITUTE(SUBSTITUTE(L335,"~","~~"),"*","~*"),"?","~?")))</x:f>
      </x:c>
      <x:c r="J335" s="13" t="str">
        <x:f>IF(OR(NOT(ISNUMBER(E335)),NOT(ISNUMBER(I335))),"",ROUND(E335-I335,2))</x:f>
      </x:c>
      <x:c r="K335" s="2" t="str">
        <x:f>IF(COUNTA(A335:F335)=0,"",IF(OR(A335="",B335="",C335="",D335="",NOT(ISNUMBER(E335))),"Missing / invalid input",IF(G335&gt;1,"Duplicate key in this source",IF(H335=0,"Missing in other source",IF(H335&gt;1,"Duplicate in other source",IF(SUMIFS('External Data'!$M$2:$M$1001,'External Data'!$L$2:$L$1001,SUBSTITUTE(SUBSTITUTE(SUBSTITUTE(L335,"~","~~"),"*","~*"),"?","~?"))&lt;&gt;1,"Other amount is invalid",IF(J335&lt;&gt;0,"Amount differs","Matched")))))))</x:f>
      </x:c>
      <x:c r="L335" t="str">
        <x:f>IF(COUNTA(A335:F335)=0,"",LEN(A335)&amp;":"&amp;A335&amp;LEN(B335)&amp;":"&amp;B335&amp;LEN(C335)&amp;":"&amp;C335&amp;LEN(D335)&amp;":"&amp;D335)</x:f>
      </x:c>
      <x:c r="M335" t="str">
        <x:f>IF(COUNTA(A335:F335)=0,"",IF(ISNUMBER(E335),1,0))</x:f>
      </x:c>
    </x:row>
    <x:row r="336">
      <x:c r="A336" s="11"/>
      <x:c r="B336" s="11"/>
      <x:c r="C336" s="11"/>
      <x:c r="D336" s="11"/>
      <x:c r="E336" s="12"/>
      <x:c r="F336" s="10"/>
      <x:c r="G336" s="2" t="str">
        <x:f>IF(COUNTA(A336:F336)=0,"",COUNTIFS('App Data'!$L$2:$L$1001,SUBSTITUTE(SUBSTITUTE(SUBSTITUTE(L336,"~","~~"),"*","~*"),"?","~?")))</x:f>
      </x:c>
      <x:c r="H336" s="2" t="str">
        <x:f>IF(COUNTA(A336:F336)=0,"",COUNTIFS('External Data'!$L$2:$L$1001,SUBSTITUTE(SUBSTITUTE(SUBSTITUTE(L336,"~","~~"),"*","~*"),"?","~?")))</x:f>
      </x:c>
      <x:c r="I336" s="13" t="str">
        <x:f>IF(OR(H336&lt;&gt;1,G336&lt;&gt;1),"",SUMIFS('External Data'!$E$2:$E$1001,'External Data'!$L$2:$L$1001,SUBSTITUTE(SUBSTITUTE(SUBSTITUTE(L336,"~","~~"),"*","~*"),"?","~?")))</x:f>
      </x:c>
      <x:c r="J336" s="13" t="str">
        <x:f>IF(OR(NOT(ISNUMBER(E336)),NOT(ISNUMBER(I336))),"",ROUND(E336-I336,2))</x:f>
      </x:c>
      <x:c r="K336" s="2" t="str">
        <x:f>IF(COUNTA(A336:F336)=0,"",IF(OR(A336="",B336="",C336="",D336="",NOT(ISNUMBER(E336))),"Missing / invalid input",IF(G336&gt;1,"Duplicate key in this source",IF(H336=0,"Missing in other source",IF(H336&gt;1,"Duplicate in other source",IF(SUMIFS('External Data'!$M$2:$M$1001,'External Data'!$L$2:$L$1001,SUBSTITUTE(SUBSTITUTE(SUBSTITUTE(L336,"~","~~"),"*","~*"),"?","~?"))&lt;&gt;1,"Other amount is invalid",IF(J336&lt;&gt;0,"Amount differs","Matched")))))))</x:f>
      </x:c>
      <x:c r="L336" t="str">
        <x:f>IF(COUNTA(A336:F336)=0,"",LEN(A336)&amp;":"&amp;A336&amp;LEN(B336)&amp;":"&amp;B336&amp;LEN(C336)&amp;":"&amp;C336&amp;LEN(D336)&amp;":"&amp;D336)</x:f>
      </x:c>
      <x:c r="M336" t="str">
        <x:f>IF(COUNTA(A336:F336)=0,"",IF(ISNUMBER(E336),1,0))</x:f>
      </x:c>
    </x:row>
    <x:row r="337">
      <x:c r="A337" s="11"/>
      <x:c r="B337" s="11"/>
      <x:c r="C337" s="11"/>
      <x:c r="D337" s="11"/>
      <x:c r="E337" s="12"/>
      <x:c r="F337" s="10"/>
      <x:c r="G337" s="2" t="str">
        <x:f>IF(COUNTA(A337:F337)=0,"",COUNTIFS('App Data'!$L$2:$L$1001,SUBSTITUTE(SUBSTITUTE(SUBSTITUTE(L337,"~","~~"),"*","~*"),"?","~?")))</x:f>
      </x:c>
      <x:c r="H337" s="2" t="str">
        <x:f>IF(COUNTA(A337:F337)=0,"",COUNTIFS('External Data'!$L$2:$L$1001,SUBSTITUTE(SUBSTITUTE(SUBSTITUTE(L337,"~","~~"),"*","~*"),"?","~?")))</x:f>
      </x:c>
      <x:c r="I337" s="13" t="str">
        <x:f>IF(OR(H337&lt;&gt;1,G337&lt;&gt;1),"",SUMIFS('External Data'!$E$2:$E$1001,'External Data'!$L$2:$L$1001,SUBSTITUTE(SUBSTITUTE(SUBSTITUTE(L337,"~","~~"),"*","~*"),"?","~?")))</x:f>
      </x:c>
      <x:c r="J337" s="13" t="str">
        <x:f>IF(OR(NOT(ISNUMBER(E337)),NOT(ISNUMBER(I337))),"",ROUND(E337-I337,2))</x:f>
      </x:c>
      <x:c r="K337" s="2" t="str">
        <x:f>IF(COUNTA(A337:F337)=0,"",IF(OR(A337="",B337="",C337="",D337="",NOT(ISNUMBER(E337))),"Missing / invalid input",IF(G337&gt;1,"Duplicate key in this source",IF(H337=0,"Missing in other source",IF(H337&gt;1,"Duplicate in other source",IF(SUMIFS('External Data'!$M$2:$M$1001,'External Data'!$L$2:$L$1001,SUBSTITUTE(SUBSTITUTE(SUBSTITUTE(L337,"~","~~"),"*","~*"),"?","~?"))&lt;&gt;1,"Other amount is invalid",IF(J337&lt;&gt;0,"Amount differs","Matched")))))))</x:f>
      </x:c>
      <x:c r="L337" t="str">
        <x:f>IF(COUNTA(A337:F337)=0,"",LEN(A337)&amp;":"&amp;A337&amp;LEN(B337)&amp;":"&amp;B337&amp;LEN(C337)&amp;":"&amp;C337&amp;LEN(D337)&amp;":"&amp;D337)</x:f>
      </x:c>
      <x:c r="M337" t="str">
        <x:f>IF(COUNTA(A337:F337)=0,"",IF(ISNUMBER(E337),1,0))</x:f>
      </x:c>
    </x:row>
    <x:row r="338">
      <x:c r="A338" s="11"/>
      <x:c r="B338" s="11"/>
      <x:c r="C338" s="11"/>
      <x:c r="D338" s="11"/>
      <x:c r="E338" s="12"/>
      <x:c r="F338" s="10"/>
      <x:c r="G338" s="2" t="str">
        <x:f>IF(COUNTA(A338:F338)=0,"",COUNTIFS('App Data'!$L$2:$L$1001,SUBSTITUTE(SUBSTITUTE(SUBSTITUTE(L338,"~","~~"),"*","~*"),"?","~?")))</x:f>
      </x:c>
      <x:c r="H338" s="2" t="str">
        <x:f>IF(COUNTA(A338:F338)=0,"",COUNTIFS('External Data'!$L$2:$L$1001,SUBSTITUTE(SUBSTITUTE(SUBSTITUTE(L338,"~","~~"),"*","~*"),"?","~?")))</x:f>
      </x:c>
      <x:c r="I338" s="13" t="str">
        <x:f>IF(OR(H338&lt;&gt;1,G338&lt;&gt;1),"",SUMIFS('External Data'!$E$2:$E$1001,'External Data'!$L$2:$L$1001,SUBSTITUTE(SUBSTITUTE(SUBSTITUTE(L338,"~","~~"),"*","~*"),"?","~?")))</x:f>
      </x:c>
      <x:c r="J338" s="13" t="str">
        <x:f>IF(OR(NOT(ISNUMBER(E338)),NOT(ISNUMBER(I338))),"",ROUND(E338-I338,2))</x:f>
      </x:c>
      <x:c r="K338" s="2" t="str">
        <x:f>IF(COUNTA(A338:F338)=0,"",IF(OR(A338="",B338="",C338="",D338="",NOT(ISNUMBER(E338))),"Missing / invalid input",IF(G338&gt;1,"Duplicate key in this source",IF(H338=0,"Missing in other source",IF(H338&gt;1,"Duplicate in other source",IF(SUMIFS('External Data'!$M$2:$M$1001,'External Data'!$L$2:$L$1001,SUBSTITUTE(SUBSTITUTE(SUBSTITUTE(L338,"~","~~"),"*","~*"),"?","~?"))&lt;&gt;1,"Other amount is invalid",IF(J338&lt;&gt;0,"Amount differs","Matched")))))))</x:f>
      </x:c>
      <x:c r="L338" t="str">
        <x:f>IF(COUNTA(A338:F338)=0,"",LEN(A338)&amp;":"&amp;A338&amp;LEN(B338)&amp;":"&amp;B338&amp;LEN(C338)&amp;":"&amp;C338&amp;LEN(D338)&amp;":"&amp;D338)</x:f>
      </x:c>
      <x:c r="M338" t="str">
        <x:f>IF(COUNTA(A338:F338)=0,"",IF(ISNUMBER(E338),1,0))</x:f>
      </x:c>
    </x:row>
    <x:row r="339">
      <x:c r="A339" s="11"/>
      <x:c r="B339" s="11"/>
      <x:c r="C339" s="11"/>
      <x:c r="D339" s="11"/>
      <x:c r="E339" s="12"/>
      <x:c r="F339" s="10"/>
      <x:c r="G339" s="2" t="str">
        <x:f>IF(COUNTA(A339:F339)=0,"",COUNTIFS('App Data'!$L$2:$L$1001,SUBSTITUTE(SUBSTITUTE(SUBSTITUTE(L339,"~","~~"),"*","~*"),"?","~?")))</x:f>
      </x:c>
      <x:c r="H339" s="2" t="str">
        <x:f>IF(COUNTA(A339:F339)=0,"",COUNTIFS('External Data'!$L$2:$L$1001,SUBSTITUTE(SUBSTITUTE(SUBSTITUTE(L339,"~","~~"),"*","~*"),"?","~?")))</x:f>
      </x:c>
      <x:c r="I339" s="13" t="str">
        <x:f>IF(OR(H339&lt;&gt;1,G339&lt;&gt;1),"",SUMIFS('External Data'!$E$2:$E$1001,'External Data'!$L$2:$L$1001,SUBSTITUTE(SUBSTITUTE(SUBSTITUTE(L339,"~","~~"),"*","~*"),"?","~?")))</x:f>
      </x:c>
      <x:c r="J339" s="13" t="str">
        <x:f>IF(OR(NOT(ISNUMBER(E339)),NOT(ISNUMBER(I339))),"",ROUND(E339-I339,2))</x:f>
      </x:c>
      <x:c r="K339" s="2" t="str">
        <x:f>IF(COUNTA(A339:F339)=0,"",IF(OR(A339="",B339="",C339="",D339="",NOT(ISNUMBER(E339))),"Missing / invalid input",IF(G339&gt;1,"Duplicate key in this source",IF(H339=0,"Missing in other source",IF(H339&gt;1,"Duplicate in other source",IF(SUMIFS('External Data'!$M$2:$M$1001,'External Data'!$L$2:$L$1001,SUBSTITUTE(SUBSTITUTE(SUBSTITUTE(L339,"~","~~"),"*","~*"),"?","~?"))&lt;&gt;1,"Other amount is invalid",IF(J339&lt;&gt;0,"Amount differs","Matched")))))))</x:f>
      </x:c>
      <x:c r="L339" t="str">
        <x:f>IF(COUNTA(A339:F339)=0,"",LEN(A339)&amp;":"&amp;A339&amp;LEN(B339)&amp;":"&amp;B339&amp;LEN(C339)&amp;":"&amp;C339&amp;LEN(D339)&amp;":"&amp;D339)</x:f>
      </x:c>
      <x:c r="M339" t="str">
        <x:f>IF(COUNTA(A339:F339)=0,"",IF(ISNUMBER(E339),1,0))</x:f>
      </x:c>
    </x:row>
    <x:row r="340">
      <x:c r="A340" s="11"/>
      <x:c r="B340" s="11"/>
      <x:c r="C340" s="11"/>
      <x:c r="D340" s="11"/>
      <x:c r="E340" s="12"/>
      <x:c r="F340" s="10"/>
      <x:c r="G340" s="2" t="str">
        <x:f>IF(COUNTA(A340:F340)=0,"",COUNTIFS('App Data'!$L$2:$L$1001,SUBSTITUTE(SUBSTITUTE(SUBSTITUTE(L340,"~","~~"),"*","~*"),"?","~?")))</x:f>
      </x:c>
      <x:c r="H340" s="2" t="str">
        <x:f>IF(COUNTA(A340:F340)=0,"",COUNTIFS('External Data'!$L$2:$L$1001,SUBSTITUTE(SUBSTITUTE(SUBSTITUTE(L340,"~","~~"),"*","~*"),"?","~?")))</x:f>
      </x:c>
      <x:c r="I340" s="13" t="str">
        <x:f>IF(OR(H340&lt;&gt;1,G340&lt;&gt;1),"",SUMIFS('External Data'!$E$2:$E$1001,'External Data'!$L$2:$L$1001,SUBSTITUTE(SUBSTITUTE(SUBSTITUTE(L340,"~","~~"),"*","~*"),"?","~?")))</x:f>
      </x:c>
      <x:c r="J340" s="13" t="str">
        <x:f>IF(OR(NOT(ISNUMBER(E340)),NOT(ISNUMBER(I340))),"",ROUND(E340-I340,2))</x:f>
      </x:c>
      <x:c r="K340" s="2" t="str">
        <x:f>IF(COUNTA(A340:F340)=0,"",IF(OR(A340="",B340="",C340="",D340="",NOT(ISNUMBER(E340))),"Missing / invalid input",IF(G340&gt;1,"Duplicate key in this source",IF(H340=0,"Missing in other source",IF(H340&gt;1,"Duplicate in other source",IF(SUMIFS('External Data'!$M$2:$M$1001,'External Data'!$L$2:$L$1001,SUBSTITUTE(SUBSTITUTE(SUBSTITUTE(L340,"~","~~"),"*","~*"),"?","~?"))&lt;&gt;1,"Other amount is invalid",IF(J340&lt;&gt;0,"Amount differs","Matched")))))))</x:f>
      </x:c>
      <x:c r="L340" t="str">
        <x:f>IF(COUNTA(A340:F340)=0,"",LEN(A340)&amp;":"&amp;A340&amp;LEN(B340)&amp;":"&amp;B340&amp;LEN(C340)&amp;":"&amp;C340&amp;LEN(D340)&amp;":"&amp;D340)</x:f>
      </x:c>
      <x:c r="M340" t="str">
        <x:f>IF(COUNTA(A340:F340)=0,"",IF(ISNUMBER(E340),1,0))</x:f>
      </x:c>
    </x:row>
    <x:row r="341">
      <x:c r="A341" s="11"/>
      <x:c r="B341" s="11"/>
      <x:c r="C341" s="11"/>
      <x:c r="D341" s="11"/>
      <x:c r="E341" s="12"/>
      <x:c r="F341" s="10"/>
      <x:c r="G341" s="2" t="str">
        <x:f>IF(COUNTA(A341:F341)=0,"",COUNTIFS('App Data'!$L$2:$L$1001,SUBSTITUTE(SUBSTITUTE(SUBSTITUTE(L341,"~","~~"),"*","~*"),"?","~?")))</x:f>
      </x:c>
      <x:c r="H341" s="2" t="str">
        <x:f>IF(COUNTA(A341:F341)=0,"",COUNTIFS('External Data'!$L$2:$L$1001,SUBSTITUTE(SUBSTITUTE(SUBSTITUTE(L341,"~","~~"),"*","~*"),"?","~?")))</x:f>
      </x:c>
      <x:c r="I341" s="13" t="str">
        <x:f>IF(OR(H341&lt;&gt;1,G341&lt;&gt;1),"",SUMIFS('External Data'!$E$2:$E$1001,'External Data'!$L$2:$L$1001,SUBSTITUTE(SUBSTITUTE(SUBSTITUTE(L341,"~","~~"),"*","~*"),"?","~?")))</x:f>
      </x:c>
      <x:c r="J341" s="13" t="str">
        <x:f>IF(OR(NOT(ISNUMBER(E341)),NOT(ISNUMBER(I341))),"",ROUND(E341-I341,2))</x:f>
      </x:c>
      <x:c r="K341" s="2" t="str">
        <x:f>IF(COUNTA(A341:F341)=0,"",IF(OR(A341="",B341="",C341="",D341="",NOT(ISNUMBER(E341))),"Missing / invalid input",IF(G341&gt;1,"Duplicate key in this source",IF(H341=0,"Missing in other source",IF(H341&gt;1,"Duplicate in other source",IF(SUMIFS('External Data'!$M$2:$M$1001,'External Data'!$L$2:$L$1001,SUBSTITUTE(SUBSTITUTE(SUBSTITUTE(L341,"~","~~"),"*","~*"),"?","~?"))&lt;&gt;1,"Other amount is invalid",IF(J341&lt;&gt;0,"Amount differs","Matched")))))))</x:f>
      </x:c>
      <x:c r="L341" t="str">
        <x:f>IF(COUNTA(A341:F341)=0,"",LEN(A341)&amp;":"&amp;A341&amp;LEN(B341)&amp;":"&amp;B341&amp;LEN(C341)&amp;":"&amp;C341&amp;LEN(D341)&amp;":"&amp;D341)</x:f>
      </x:c>
      <x:c r="M341" t="str">
        <x:f>IF(COUNTA(A341:F341)=0,"",IF(ISNUMBER(E341),1,0))</x:f>
      </x:c>
    </x:row>
    <x:row r="342">
      <x:c r="A342" s="11"/>
      <x:c r="B342" s="11"/>
      <x:c r="C342" s="11"/>
      <x:c r="D342" s="11"/>
      <x:c r="E342" s="12"/>
      <x:c r="F342" s="10"/>
      <x:c r="G342" s="2" t="str">
        <x:f>IF(COUNTA(A342:F342)=0,"",COUNTIFS('App Data'!$L$2:$L$1001,SUBSTITUTE(SUBSTITUTE(SUBSTITUTE(L342,"~","~~"),"*","~*"),"?","~?")))</x:f>
      </x:c>
      <x:c r="H342" s="2" t="str">
        <x:f>IF(COUNTA(A342:F342)=0,"",COUNTIFS('External Data'!$L$2:$L$1001,SUBSTITUTE(SUBSTITUTE(SUBSTITUTE(L342,"~","~~"),"*","~*"),"?","~?")))</x:f>
      </x:c>
      <x:c r="I342" s="13" t="str">
        <x:f>IF(OR(H342&lt;&gt;1,G342&lt;&gt;1),"",SUMIFS('External Data'!$E$2:$E$1001,'External Data'!$L$2:$L$1001,SUBSTITUTE(SUBSTITUTE(SUBSTITUTE(L342,"~","~~"),"*","~*"),"?","~?")))</x:f>
      </x:c>
      <x:c r="J342" s="13" t="str">
        <x:f>IF(OR(NOT(ISNUMBER(E342)),NOT(ISNUMBER(I342))),"",ROUND(E342-I342,2))</x:f>
      </x:c>
      <x:c r="K342" s="2" t="str">
        <x:f>IF(COUNTA(A342:F342)=0,"",IF(OR(A342="",B342="",C342="",D342="",NOT(ISNUMBER(E342))),"Missing / invalid input",IF(G342&gt;1,"Duplicate key in this source",IF(H342=0,"Missing in other source",IF(H342&gt;1,"Duplicate in other source",IF(SUMIFS('External Data'!$M$2:$M$1001,'External Data'!$L$2:$L$1001,SUBSTITUTE(SUBSTITUTE(SUBSTITUTE(L342,"~","~~"),"*","~*"),"?","~?"))&lt;&gt;1,"Other amount is invalid",IF(J342&lt;&gt;0,"Amount differs","Matched")))))))</x:f>
      </x:c>
      <x:c r="L342" t="str">
        <x:f>IF(COUNTA(A342:F342)=0,"",LEN(A342)&amp;":"&amp;A342&amp;LEN(B342)&amp;":"&amp;B342&amp;LEN(C342)&amp;":"&amp;C342&amp;LEN(D342)&amp;":"&amp;D342)</x:f>
      </x:c>
      <x:c r="M342" t="str">
        <x:f>IF(COUNTA(A342:F342)=0,"",IF(ISNUMBER(E342),1,0))</x:f>
      </x:c>
    </x:row>
    <x:row r="343">
      <x:c r="A343" s="11"/>
      <x:c r="B343" s="11"/>
      <x:c r="C343" s="11"/>
      <x:c r="D343" s="11"/>
      <x:c r="E343" s="12"/>
      <x:c r="F343" s="10"/>
      <x:c r="G343" s="2" t="str">
        <x:f>IF(COUNTA(A343:F343)=0,"",COUNTIFS('App Data'!$L$2:$L$1001,SUBSTITUTE(SUBSTITUTE(SUBSTITUTE(L343,"~","~~"),"*","~*"),"?","~?")))</x:f>
      </x:c>
      <x:c r="H343" s="2" t="str">
        <x:f>IF(COUNTA(A343:F343)=0,"",COUNTIFS('External Data'!$L$2:$L$1001,SUBSTITUTE(SUBSTITUTE(SUBSTITUTE(L343,"~","~~"),"*","~*"),"?","~?")))</x:f>
      </x:c>
      <x:c r="I343" s="13" t="str">
        <x:f>IF(OR(H343&lt;&gt;1,G343&lt;&gt;1),"",SUMIFS('External Data'!$E$2:$E$1001,'External Data'!$L$2:$L$1001,SUBSTITUTE(SUBSTITUTE(SUBSTITUTE(L343,"~","~~"),"*","~*"),"?","~?")))</x:f>
      </x:c>
      <x:c r="J343" s="13" t="str">
        <x:f>IF(OR(NOT(ISNUMBER(E343)),NOT(ISNUMBER(I343))),"",ROUND(E343-I343,2))</x:f>
      </x:c>
      <x:c r="K343" s="2" t="str">
        <x:f>IF(COUNTA(A343:F343)=0,"",IF(OR(A343="",B343="",C343="",D343="",NOT(ISNUMBER(E343))),"Missing / invalid input",IF(G343&gt;1,"Duplicate key in this source",IF(H343=0,"Missing in other source",IF(H343&gt;1,"Duplicate in other source",IF(SUMIFS('External Data'!$M$2:$M$1001,'External Data'!$L$2:$L$1001,SUBSTITUTE(SUBSTITUTE(SUBSTITUTE(L343,"~","~~"),"*","~*"),"?","~?"))&lt;&gt;1,"Other amount is invalid",IF(J343&lt;&gt;0,"Amount differs","Matched")))))))</x:f>
      </x:c>
      <x:c r="L343" t="str">
        <x:f>IF(COUNTA(A343:F343)=0,"",LEN(A343)&amp;":"&amp;A343&amp;LEN(B343)&amp;":"&amp;B343&amp;LEN(C343)&amp;":"&amp;C343&amp;LEN(D343)&amp;":"&amp;D343)</x:f>
      </x:c>
      <x:c r="M343" t="str">
        <x:f>IF(COUNTA(A343:F343)=0,"",IF(ISNUMBER(E343),1,0))</x:f>
      </x:c>
    </x:row>
    <x:row r="344">
      <x:c r="A344" s="11"/>
      <x:c r="B344" s="11"/>
      <x:c r="C344" s="11"/>
      <x:c r="D344" s="11"/>
      <x:c r="E344" s="12"/>
      <x:c r="F344" s="10"/>
      <x:c r="G344" s="2" t="str">
        <x:f>IF(COUNTA(A344:F344)=0,"",COUNTIFS('App Data'!$L$2:$L$1001,SUBSTITUTE(SUBSTITUTE(SUBSTITUTE(L344,"~","~~"),"*","~*"),"?","~?")))</x:f>
      </x:c>
      <x:c r="H344" s="2" t="str">
        <x:f>IF(COUNTA(A344:F344)=0,"",COUNTIFS('External Data'!$L$2:$L$1001,SUBSTITUTE(SUBSTITUTE(SUBSTITUTE(L344,"~","~~"),"*","~*"),"?","~?")))</x:f>
      </x:c>
      <x:c r="I344" s="13" t="str">
        <x:f>IF(OR(H344&lt;&gt;1,G344&lt;&gt;1),"",SUMIFS('External Data'!$E$2:$E$1001,'External Data'!$L$2:$L$1001,SUBSTITUTE(SUBSTITUTE(SUBSTITUTE(L344,"~","~~"),"*","~*"),"?","~?")))</x:f>
      </x:c>
      <x:c r="J344" s="13" t="str">
        <x:f>IF(OR(NOT(ISNUMBER(E344)),NOT(ISNUMBER(I344))),"",ROUND(E344-I344,2))</x:f>
      </x:c>
      <x:c r="K344" s="2" t="str">
        <x:f>IF(COUNTA(A344:F344)=0,"",IF(OR(A344="",B344="",C344="",D344="",NOT(ISNUMBER(E344))),"Missing / invalid input",IF(G344&gt;1,"Duplicate key in this source",IF(H344=0,"Missing in other source",IF(H344&gt;1,"Duplicate in other source",IF(SUMIFS('External Data'!$M$2:$M$1001,'External Data'!$L$2:$L$1001,SUBSTITUTE(SUBSTITUTE(SUBSTITUTE(L344,"~","~~"),"*","~*"),"?","~?"))&lt;&gt;1,"Other amount is invalid",IF(J344&lt;&gt;0,"Amount differs","Matched")))))))</x:f>
      </x:c>
      <x:c r="L344" t="str">
        <x:f>IF(COUNTA(A344:F344)=0,"",LEN(A344)&amp;":"&amp;A344&amp;LEN(B344)&amp;":"&amp;B344&amp;LEN(C344)&amp;":"&amp;C344&amp;LEN(D344)&amp;":"&amp;D344)</x:f>
      </x:c>
      <x:c r="M344" t="str">
        <x:f>IF(COUNTA(A344:F344)=0,"",IF(ISNUMBER(E344),1,0))</x:f>
      </x:c>
    </x:row>
    <x:row r="345">
      <x:c r="A345" s="11"/>
      <x:c r="B345" s="11"/>
      <x:c r="C345" s="11"/>
      <x:c r="D345" s="11"/>
      <x:c r="E345" s="12"/>
      <x:c r="F345" s="10"/>
      <x:c r="G345" s="2" t="str">
        <x:f>IF(COUNTA(A345:F345)=0,"",COUNTIFS('App Data'!$L$2:$L$1001,SUBSTITUTE(SUBSTITUTE(SUBSTITUTE(L345,"~","~~"),"*","~*"),"?","~?")))</x:f>
      </x:c>
      <x:c r="H345" s="2" t="str">
        <x:f>IF(COUNTA(A345:F345)=0,"",COUNTIFS('External Data'!$L$2:$L$1001,SUBSTITUTE(SUBSTITUTE(SUBSTITUTE(L345,"~","~~"),"*","~*"),"?","~?")))</x:f>
      </x:c>
      <x:c r="I345" s="13" t="str">
        <x:f>IF(OR(H345&lt;&gt;1,G345&lt;&gt;1),"",SUMIFS('External Data'!$E$2:$E$1001,'External Data'!$L$2:$L$1001,SUBSTITUTE(SUBSTITUTE(SUBSTITUTE(L345,"~","~~"),"*","~*"),"?","~?")))</x:f>
      </x:c>
      <x:c r="J345" s="13" t="str">
        <x:f>IF(OR(NOT(ISNUMBER(E345)),NOT(ISNUMBER(I345))),"",ROUND(E345-I345,2))</x:f>
      </x:c>
      <x:c r="K345" s="2" t="str">
        <x:f>IF(COUNTA(A345:F345)=0,"",IF(OR(A345="",B345="",C345="",D345="",NOT(ISNUMBER(E345))),"Missing / invalid input",IF(G345&gt;1,"Duplicate key in this source",IF(H345=0,"Missing in other source",IF(H345&gt;1,"Duplicate in other source",IF(SUMIFS('External Data'!$M$2:$M$1001,'External Data'!$L$2:$L$1001,SUBSTITUTE(SUBSTITUTE(SUBSTITUTE(L345,"~","~~"),"*","~*"),"?","~?"))&lt;&gt;1,"Other amount is invalid",IF(J345&lt;&gt;0,"Amount differs","Matched")))))))</x:f>
      </x:c>
      <x:c r="L345" t="str">
        <x:f>IF(COUNTA(A345:F345)=0,"",LEN(A345)&amp;":"&amp;A345&amp;LEN(B345)&amp;":"&amp;B345&amp;LEN(C345)&amp;":"&amp;C345&amp;LEN(D345)&amp;":"&amp;D345)</x:f>
      </x:c>
      <x:c r="M345" t="str">
        <x:f>IF(COUNTA(A345:F345)=0,"",IF(ISNUMBER(E345),1,0))</x:f>
      </x:c>
    </x:row>
    <x:row r="346">
      <x:c r="A346" s="11"/>
      <x:c r="B346" s="11"/>
      <x:c r="C346" s="11"/>
      <x:c r="D346" s="11"/>
      <x:c r="E346" s="12"/>
      <x:c r="F346" s="10"/>
      <x:c r="G346" s="2" t="str">
        <x:f>IF(COUNTA(A346:F346)=0,"",COUNTIFS('App Data'!$L$2:$L$1001,SUBSTITUTE(SUBSTITUTE(SUBSTITUTE(L346,"~","~~"),"*","~*"),"?","~?")))</x:f>
      </x:c>
      <x:c r="H346" s="2" t="str">
        <x:f>IF(COUNTA(A346:F346)=0,"",COUNTIFS('External Data'!$L$2:$L$1001,SUBSTITUTE(SUBSTITUTE(SUBSTITUTE(L346,"~","~~"),"*","~*"),"?","~?")))</x:f>
      </x:c>
      <x:c r="I346" s="13" t="str">
        <x:f>IF(OR(H346&lt;&gt;1,G346&lt;&gt;1),"",SUMIFS('External Data'!$E$2:$E$1001,'External Data'!$L$2:$L$1001,SUBSTITUTE(SUBSTITUTE(SUBSTITUTE(L346,"~","~~"),"*","~*"),"?","~?")))</x:f>
      </x:c>
      <x:c r="J346" s="13" t="str">
        <x:f>IF(OR(NOT(ISNUMBER(E346)),NOT(ISNUMBER(I346))),"",ROUND(E346-I346,2))</x:f>
      </x:c>
      <x:c r="K346" s="2" t="str">
        <x:f>IF(COUNTA(A346:F346)=0,"",IF(OR(A346="",B346="",C346="",D346="",NOT(ISNUMBER(E346))),"Missing / invalid input",IF(G346&gt;1,"Duplicate key in this source",IF(H346=0,"Missing in other source",IF(H346&gt;1,"Duplicate in other source",IF(SUMIFS('External Data'!$M$2:$M$1001,'External Data'!$L$2:$L$1001,SUBSTITUTE(SUBSTITUTE(SUBSTITUTE(L346,"~","~~"),"*","~*"),"?","~?"))&lt;&gt;1,"Other amount is invalid",IF(J346&lt;&gt;0,"Amount differs","Matched")))))))</x:f>
      </x:c>
      <x:c r="L346" t="str">
        <x:f>IF(COUNTA(A346:F346)=0,"",LEN(A346)&amp;":"&amp;A346&amp;LEN(B346)&amp;":"&amp;B346&amp;LEN(C346)&amp;":"&amp;C346&amp;LEN(D346)&amp;":"&amp;D346)</x:f>
      </x:c>
      <x:c r="M346" t="str">
        <x:f>IF(COUNTA(A346:F346)=0,"",IF(ISNUMBER(E346),1,0))</x:f>
      </x:c>
    </x:row>
    <x:row r="347">
      <x:c r="A347" s="11"/>
      <x:c r="B347" s="11"/>
      <x:c r="C347" s="11"/>
      <x:c r="D347" s="11"/>
      <x:c r="E347" s="12"/>
      <x:c r="F347" s="10"/>
      <x:c r="G347" s="2" t="str">
        <x:f>IF(COUNTA(A347:F347)=0,"",COUNTIFS('App Data'!$L$2:$L$1001,SUBSTITUTE(SUBSTITUTE(SUBSTITUTE(L347,"~","~~"),"*","~*"),"?","~?")))</x:f>
      </x:c>
      <x:c r="H347" s="2" t="str">
        <x:f>IF(COUNTA(A347:F347)=0,"",COUNTIFS('External Data'!$L$2:$L$1001,SUBSTITUTE(SUBSTITUTE(SUBSTITUTE(L347,"~","~~"),"*","~*"),"?","~?")))</x:f>
      </x:c>
      <x:c r="I347" s="13" t="str">
        <x:f>IF(OR(H347&lt;&gt;1,G347&lt;&gt;1),"",SUMIFS('External Data'!$E$2:$E$1001,'External Data'!$L$2:$L$1001,SUBSTITUTE(SUBSTITUTE(SUBSTITUTE(L347,"~","~~"),"*","~*"),"?","~?")))</x:f>
      </x:c>
      <x:c r="J347" s="13" t="str">
        <x:f>IF(OR(NOT(ISNUMBER(E347)),NOT(ISNUMBER(I347))),"",ROUND(E347-I347,2))</x:f>
      </x:c>
      <x:c r="K347" s="2" t="str">
        <x:f>IF(COUNTA(A347:F347)=0,"",IF(OR(A347="",B347="",C347="",D347="",NOT(ISNUMBER(E347))),"Missing / invalid input",IF(G347&gt;1,"Duplicate key in this source",IF(H347=0,"Missing in other source",IF(H347&gt;1,"Duplicate in other source",IF(SUMIFS('External Data'!$M$2:$M$1001,'External Data'!$L$2:$L$1001,SUBSTITUTE(SUBSTITUTE(SUBSTITUTE(L347,"~","~~"),"*","~*"),"?","~?"))&lt;&gt;1,"Other amount is invalid",IF(J347&lt;&gt;0,"Amount differs","Matched")))))))</x:f>
      </x:c>
      <x:c r="L347" t="str">
        <x:f>IF(COUNTA(A347:F347)=0,"",LEN(A347)&amp;":"&amp;A347&amp;LEN(B347)&amp;":"&amp;B347&amp;LEN(C347)&amp;":"&amp;C347&amp;LEN(D347)&amp;":"&amp;D347)</x:f>
      </x:c>
      <x:c r="M347" t="str">
        <x:f>IF(COUNTA(A347:F347)=0,"",IF(ISNUMBER(E347),1,0))</x:f>
      </x:c>
    </x:row>
    <x:row r="348">
      <x:c r="A348" s="11"/>
      <x:c r="B348" s="11"/>
      <x:c r="C348" s="11"/>
      <x:c r="D348" s="11"/>
      <x:c r="E348" s="12"/>
      <x:c r="F348" s="10"/>
      <x:c r="G348" s="2" t="str">
        <x:f>IF(COUNTA(A348:F348)=0,"",COUNTIFS('App Data'!$L$2:$L$1001,SUBSTITUTE(SUBSTITUTE(SUBSTITUTE(L348,"~","~~"),"*","~*"),"?","~?")))</x:f>
      </x:c>
      <x:c r="H348" s="2" t="str">
        <x:f>IF(COUNTA(A348:F348)=0,"",COUNTIFS('External Data'!$L$2:$L$1001,SUBSTITUTE(SUBSTITUTE(SUBSTITUTE(L348,"~","~~"),"*","~*"),"?","~?")))</x:f>
      </x:c>
      <x:c r="I348" s="13" t="str">
        <x:f>IF(OR(H348&lt;&gt;1,G348&lt;&gt;1),"",SUMIFS('External Data'!$E$2:$E$1001,'External Data'!$L$2:$L$1001,SUBSTITUTE(SUBSTITUTE(SUBSTITUTE(L348,"~","~~"),"*","~*"),"?","~?")))</x:f>
      </x:c>
      <x:c r="J348" s="13" t="str">
        <x:f>IF(OR(NOT(ISNUMBER(E348)),NOT(ISNUMBER(I348))),"",ROUND(E348-I348,2))</x:f>
      </x:c>
      <x:c r="K348" s="2" t="str">
        <x:f>IF(COUNTA(A348:F348)=0,"",IF(OR(A348="",B348="",C348="",D348="",NOT(ISNUMBER(E348))),"Missing / invalid input",IF(G348&gt;1,"Duplicate key in this source",IF(H348=0,"Missing in other source",IF(H348&gt;1,"Duplicate in other source",IF(SUMIFS('External Data'!$M$2:$M$1001,'External Data'!$L$2:$L$1001,SUBSTITUTE(SUBSTITUTE(SUBSTITUTE(L348,"~","~~"),"*","~*"),"?","~?"))&lt;&gt;1,"Other amount is invalid",IF(J348&lt;&gt;0,"Amount differs","Matched")))))))</x:f>
      </x:c>
      <x:c r="L348" t="str">
        <x:f>IF(COUNTA(A348:F348)=0,"",LEN(A348)&amp;":"&amp;A348&amp;LEN(B348)&amp;":"&amp;B348&amp;LEN(C348)&amp;":"&amp;C348&amp;LEN(D348)&amp;":"&amp;D348)</x:f>
      </x:c>
      <x:c r="M348" t="str">
        <x:f>IF(COUNTA(A348:F348)=0,"",IF(ISNUMBER(E348),1,0))</x:f>
      </x:c>
    </x:row>
    <x:row r="349">
      <x:c r="A349" s="11"/>
      <x:c r="B349" s="11"/>
      <x:c r="C349" s="11"/>
      <x:c r="D349" s="11"/>
      <x:c r="E349" s="12"/>
      <x:c r="F349" s="10"/>
      <x:c r="G349" s="2" t="str">
        <x:f>IF(COUNTA(A349:F349)=0,"",COUNTIFS('App Data'!$L$2:$L$1001,SUBSTITUTE(SUBSTITUTE(SUBSTITUTE(L349,"~","~~"),"*","~*"),"?","~?")))</x:f>
      </x:c>
      <x:c r="H349" s="2" t="str">
        <x:f>IF(COUNTA(A349:F349)=0,"",COUNTIFS('External Data'!$L$2:$L$1001,SUBSTITUTE(SUBSTITUTE(SUBSTITUTE(L349,"~","~~"),"*","~*"),"?","~?")))</x:f>
      </x:c>
      <x:c r="I349" s="13" t="str">
        <x:f>IF(OR(H349&lt;&gt;1,G349&lt;&gt;1),"",SUMIFS('External Data'!$E$2:$E$1001,'External Data'!$L$2:$L$1001,SUBSTITUTE(SUBSTITUTE(SUBSTITUTE(L349,"~","~~"),"*","~*"),"?","~?")))</x:f>
      </x:c>
      <x:c r="J349" s="13" t="str">
        <x:f>IF(OR(NOT(ISNUMBER(E349)),NOT(ISNUMBER(I349))),"",ROUND(E349-I349,2))</x:f>
      </x:c>
      <x:c r="K349" s="2" t="str">
        <x:f>IF(COUNTA(A349:F349)=0,"",IF(OR(A349="",B349="",C349="",D349="",NOT(ISNUMBER(E349))),"Missing / invalid input",IF(G349&gt;1,"Duplicate key in this source",IF(H349=0,"Missing in other source",IF(H349&gt;1,"Duplicate in other source",IF(SUMIFS('External Data'!$M$2:$M$1001,'External Data'!$L$2:$L$1001,SUBSTITUTE(SUBSTITUTE(SUBSTITUTE(L349,"~","~~"),"*","~*"),"?","~?"))&lt;&gt;1,"Other amount is invalid",IF(J349&lt;&gt;0,"Amount differs","Matched")))))))</x:f>
      </x:c>
      <x:c r="L349" t="str">
        <x:f>IF(COUNTA(A349:F349)=0,"",LEN(A349)&amp;":"&amp;A349&amp;LEN(B349)&amp;":"&amp;B349&amp;LEN(C349)&amp;":"&amp;C349&amp;LEN(D349)&amp;":"&amp;D349)</x:f>
      </x:c>
      <x:c r="M349" t="str">
        <x:f>IF(COUNTA(A349:F349)=0,"",IF(ISNUMBER(E349),1,0))</x:f>
      </x:c>
    </x:row>
    <x:row r="350">
      <x:c r="A350" s="11"/>
      <x:c r="B350" s="11"/>
      <x:c r="C350" s="11"/>
      <x:c r="D350" s="11"/>
      <x:c r="E350" s="12"/>
      <x:c r="F350" s="10"/>
      <x:c r="G350" s="2" t="str">
        <x:f>IF(COUNTA(A350:F350)=0,"",COUNTIFS('App Data'!$L$2:$L$1001,SUBSTITUTE(SUBSTITUTE(SUBSTITUTE(L350,"~","~~"),"*","~*"),"?","~?")))</x:f>
      </x:c>
      <x:c r="H350" s="2" t="str">
        <x:f>IF(COUNTA(A350:F350)=0,"",COUNTIFS('External Data'!$L$2:$L$1001,SUBSTITUTE(SUBSTITUTE(SUBSTITUTE(L350,"~","~~"),"*","~*"),"?","~?")))</x:f>
      </x:c>
      <x:c r="I350" s="13" t="str">
        <x:f>IF(OR(H350&lt;&gt;1,G350&lt;&gt;1),"",SUMIFS('External Data'!$E$2:$E$1001,'External Data'!$L$2:$L$1001,SUBSTITUTE(SUBSTITUTE(SUBSTITUTE(L350,"~","~~"),"*","~*"),"?","~?")))</x:f>
      </x:c>
      <x:c r="J350" s="13" t="str">
        <x:f>IF(OR(NOT(ISNUMBER(E350)),NOT(ISNUMBER(I350))),"",ROUND(E350-I350,2))</x:f>
      </x:c>
      <x:c r="K350" s="2" t="str">
        <x:f>IF(COUNTA(A350:F350)=0,"",IF(OR(A350="",B350="",C350="",D350="",NOT(ISNUMBER(E350))),"Missing / invalid input",IF(G350&gt;1,"Duplicate key in this source",IF(H350=0,"Missing in other source",IF(H350&gt;1,"Duplicate in other source",IF(SUMIFS('External Data'!$M$2:$M$1001,'External Data'!$L$2:$L$1001,SUBSTITUTE(SUBSTITUTE(SUBSTITUTE(L350,"~","~~"),"*","~*"),"?","~?"))&lt;&gt;1,"Other amount is invalid",IF(J350&lt;&gt;0,"Amount differs","Matched")))))))</x:f>
      </x:c>
      <x:c r="L350" t="str">
        <x:f>IF(COUNTA(A350:F350)=0,"",LEN(A350)&amp;":"&amp;A350&amp;LEN(B350)&amp;":"&amp;B350&amp;LEN(C350)&amp;":"&amp;C350&amp;LEN(D350)&amp;":"&amp;D350)</x:f>
      </x:c>
      <x:c r="M350" t="str">
        <x:f>IF(COUNTA(A350:F350)=0,"",IF(ISNUMBER(E350),1,0))</x:f>
      </x:c>
    </x:row>
    <x:row r="351">
      <x:c r="A351" s="11"/>
      <x:c r="B351" s="11"/>
      <x:c r="C351" s="11"/>
      <x:c r="D351" s="11"/>
      <x:c r="E351" s="12"/>
      <x:c r="F351" s="10"/>
      <x:c r="G351" s="2" t="str">
        <x:f>IF(COUNTA(A351:F351)=0,"",COUNTIFS('App Data'!$L$2:$L$1001,SUBSTITUTE(SUBSTITUTE(SUBSTITUTE(L351,"~","~~"),"*","~*"),"?","~?")))</x:f>
      </x:c>
      <x:c r="H351" s="2" t="str">
        <x:f>IF(COUNTA(A351:F351)=0,"",COUNTIFS('External Data'!$L$2:$L$1001,SUBSTITUTE(SUBSTITUTE(SUBSTITUTE(L351,"~","~~"),"*","~*"),"?","~?")))</x:f>
      </x:c>
      <x:c r="I351" s="13" t="str">
        <x:f>IF(OR(H351&lt;&gt;1,G351&lt;&gt;1),"",SUMIFS('External Data'!$E$2:$E$1001,'External Data'!$L$2:$L$1001,SUBSTITUTE(SUBSTITUTE(SUBSTITUTE(L351,"~","~~"),"*","~*"),"?","~?")))</x:f>
      </x:c>
      <x:c r="J351" s="13" t="str">
        <x:f>IF(OR(NOT(ISNUMBER(E351)),NOT(ISNUMBER(I351))),"",ROUND(E351-I351,2))</x:f>
      </x:c>
      <x:c r="K351" s="2" t="str">
        <x:f>IF(COUNTA(A351:F351)=0,"",IF(OR(A351="",B351="",C351="",D351="",NOT(ISNUMBER(E351))),"Missing / invalid input",IF(G351&gt;1,"Duplicate key in this source",IF(H351=0,"Missing in other source",IF(H351&gt;1,"Duplicate in other source",IF(SUMIFS('External Data'!$M$2:$M$1001,'External Data'!$L$2:$L$1001,SUBSTITUTE(SUBSTITUTE(SUBSTITUTE(L351,"~","~~"),"*","~*"),"?","~?"))&lt;&gt;1,"Other amount is invalid",IF(J351&lt;&gt;0,"Amount differs","Matched")))))))</x:f>
      </x:c>
      <x:c r="L351" t="str">
        <x:f>IF(COUNTA(A351:F351)=0,"",LEN(A351)&amp;":"&amp;A351&amp;LEN(B351)&amp;":"&amp;B351&amp;LEN(C351)&amp;":"&amp;C351&amp;LEN(D351)&amp;":"&amp;D351)</x:f>
      </x:c>
      <x:c r="M351" t="str">
        <x:f>IF(COUNTA(A351:F351)=0,"",IF(ISNUMBER(E351),1,0))</x:f>
      </x:c>
    </x:row>
    <x:row r="352">
      <x:c r="A352" s="11"/>
      <x:c r="B352" s="11"/>
      <x:c r="C352" s="11"/>
      <x:c r="D352" s="11"/>
      <x:c r="E352" s="12"/>
      <x:c r="F352" s="10"/>
      <x:c r="G352" s="2" t="str">
        <x:f>IF(COUNTA(A352:F352)=0,"",COUNTIFS('App Data'!$L$2:$L$1001,SUBSTITUTE(SUBSTITUTE(SUBSTITUTE(L352,"~","~~"),"*","~*"),"?","~?")))</x:f>
      </x:c>
      <x:c r="H352" s="2" t="str">
        <x:f>IF(COUNTA(A352:F352)=0,"",COUNTIFS('External Data'!$L$2:$L$1001,SUBSTITUTE(SUBSTITUTE(SUBSTITUTE(L352,"~","~~"),"*","~*"),"?","~?")))</x:f>
      </x:c>
      <x:c r="I352" s="13" t="str">
        <x:f>IF(OR(H352&lt;&gt;1,G352&lt;&gt;1),"",SUMIFS('External Data'!$E$2:$E$1001,'External Data'!$L$2:$L$1001,SUBSTITUTE(SUBSTITUTE(SUBSTITUTE(L352,"~","~~"),"*","~*"),"?","~?")))</x:f>
      </x:c>
      <x:c r="J352" s="13" t="str">
        <x:f>IF(OR(NOT(ISNUMBER(E352)),NOT(ISNUMBER(I352))),"",ROUND(E352-I352,2))</x:f>
      </x:c>
      <x:c r="K352" s="2" t="str">
        <x:f>IF(COUNTA(A352:F352)=0,"",IF(OR(A352="",B352="",C352="",D352="",NOT(ISNUMBER(E352))),"Missing / invalid input",IF(G352&gt;1,"Duplicate key in this source",IF(H352=0,"Missing in other source",IF(H352&gt;1,"Duplicate in other source",IF(SUMIFS('External Data'!$M$2:$M$1001,'External Data'!$L$2:$L$1001,SUBSTITUTE(SUBSTITUTE(SUBSTITUTE(L352,"~","~~"),"*","~*"),"?","~?"))&lt;&gt;1,"Other amount is invalid",IF(J352&lt;&gt;0,"Amount differs","Matched")))))))</x:f>
      </x:c>
      <x:c r="L352" t="str">
        <x:f>IF(COUNTA(A352:F352)=0,"",LEN(A352)&amp;":"&amp;A352&amp;LEN(B352)&amp;":"&amp;B352&amp;LEN(C352)&amp;":"&amp;C352&amp;LEN(D352)&amp;":"&amp;D352)</x:f>
      </x:c>
      <x:c r="M352" t="str">
        <x:f>IF(COUNTA(A352:F352)=0,"",IF(ISNUMBER(E352),1,0))</x:f>
      </x:c>
    </x:row>
    <x:row r="353">
      <x:c r="A353" s="11"/>
      <x:c r="B353" s="11"/>
      <x:c r="C353" s="11"/>
      <x:c r="D353" s="11"/>
      <x:c r="E353" s="12"/>
      <x:c r="F353" s="10"/>
      <x:c r="G353" s="2" t="str">
        <x:f>IF(COUNTA(A353:F353)=0,"",COUNTIFS('App Data'!$L$2:$L$1001,SUBSTITUTE(SUBSTITUTE(SUBSTITUTE(L353,"~","~~"),"*","~*"),"?","~?")))</x:f>
      </x:c>
      <x:c r="H353" s="2" t="str">
        <x:f>IF(COUNTA(A353:F353)=0,"",COUNTIFS('External Data'!$L$2:$L$1001,SUBSTITUTE(SUBSTITUTE(SUBSTITUTE(L353,"~","~~"),"*","~*"),"?","~?")))</x:f>
      </x:c>
      <x:c r="I353" s="13" t="str">
        <x:f>IF(OR(H353&lt;&gt;1,G353&lt;&gt;1),"",SUMIFS('External Data'!$E$2:$E$1001,'External Data'!$L$2:$L$1001,SUBSTITUTE(SUBSTITUTE(SUBSTITUTE(L353,"~","~~"),"*","~*"),"?","~?")))</x:f>
      </x:c>
      <x:c r="J353" s="13" t="str">
        <x:f>IF(OR(NOT(ISNUMBER(E353)),NOT(ISNUMBER(I353))),"",ROUND(E353-I353,2))</x:f>
      </x:c>
      <x:c r="K353" s="2" t="str">
        <x:f>IF(COUNTA(A353:F353)=0,"",IF(OR(A353="",B353="",C353="",D353="",NOT(ISNUMBER(E353))),"Missing / invalid input",IF(G353&gt;1,"Duplicate key in this source",IF(H353=0,"Missing in other source",IF(H353&gt;1,"Duplicate in other source",IF(SUMIFS('External Data'!$M$2:$M$1001,'External Data'!$L$2:$L$1001,SUBSTITUTE(SUBSTITUTE(SUBSTITUTE(L353,"~","~~"),"*","~*"),"?","~?"))&lt;&gt;1,"Other amount is invalid",IF(J353&lt;&gt;0,"Amount differs","Matched")))))))</x:f>
      </x:c>
      <x:c r="L353" t="str">
        <x:f>IF(COUNTA(A353:F353)=0,"",LEN(A353)&amp;":"&amp;A353&amp;LEN(B353)&amp;":"&amp;B353&amp;LEN(C353)&amp;":"&amp;C353&amp;LEN(D353)&amp;":"&amp;D353)</x:f>
      </x:c>
      <x:c r="M353" t="str">
        <x:f>IF(COUNTA(A353:F353)=0,"",IF(ISNUMBER(E353),1,0))</x:f>
      </x:c>
    </x:row>
    <x:row r="354">
      <x:c r="A354" s="11"/>
      <x:c r="B354" s="11"/>
      <x:c r="C354" s="11"/>
      <x:c r="D354" s="11"/>
      <x:c r="E354" s="12"/>
      <x:c r="F354" s="10"/>
      <x:c r="G354" s="2" t="str">
        <x:f>IF(COUNTA(A354:F354)=0,"",COUNTIFS('App Data'!$L$2:$L$1001,SUBSTITUTE(SUBSTITUTE(SUBSTITUTE(L354,"~","~~"),"*","~*"),"?","~?")))</x:f>
      </x:c>
      <x:c r="H354" s="2" t="str">
        <x:f>IF(COUNTA(A354:F354)=0,"",COUNTIFS('External Data'!$L$2:$L$1001,SUBSTITUTE(SUBSTITUTE(SUBSTITUTE(L354,"~","~~"),"*","~*"),"?","~?")))</x:f>
      </x:c>
      <x:c r="I354" s="13" t="str">
        <x:f>IF(OR(H354&lt;&gt;1,G354&lt;&gt;1),"",SUMIFS('External Data'!$E$2:$E$1001,'External Data'!$L$2:$L$1001,SUBSTITUTE(SUBSTITUTE(SUBSTITUTE(L354,"~","~~"),"*","~*"),"?","~?")))</x:f>
      </x:c>
      <x:c r="J354" s="13" t="str">
        <x:f>IF(OR(NOT(ISNUMBER(E354)),NOT(ISNUMBER(I354))),"",ROUND(E354-I354,2))</x:f>
      </x:c>
      <x:c r="K354" s="2" t="str">
        <x:f>IF(COUNTA(A354:F354)=0,"",IF(OR(A354="",B354="",C354="",D354="",NOT(ISNUMBER(E354))),"Missing / invalid input",IF(G354&gt;1,"Duplicate key in this source",IF(H354=0,"Missing in other source",IF(H354&gt;1,"Duplicate in other source",IF(SUMIFS('External Data'!$M$2:$M$1001,'External Data'!$L$2:$L$1001,SUBSTITUTE(SUBSTITUTE(SUBSTITUTE(L354,"~","~~"),"*","~*"),"?","~?"))&lt;&gt;1,"Other amount is invalid",IF(J354&lt;&gt;0,"Amount differs","Matched")))))))</x:f>
      </x:c>
      <x:c r="L354" t="str">
        <x:f>IF(COUNTA(A354:F354)=0,"",LEN(A354)&amp;":"&amp;A354&amp;LEN(B354)&amp;":"&amp;B354&amp;LEN(C354)&amp;":"&amp;C354&amp;LEN(D354)&amp;":"&amp;D354)</x:f>
      </x:c>
      <x:c r="M354" t="str">
        <x:f>IF(COUNTA(A354:F354)=0,"",IF(ISNUMBER(E354),1,0))</x:f>
      </x:c>
    </x:row>
    <x:row r="355">
      <x:c r="A355" s="11"/>
      <x:c r="B355" s="11"/>
      <x:c r="C355" s="11"/>
      <x:c r="D355" s="11"/>
      <x:c r="E355" s="12"/>
      <x:c r="F355" s="10"/>
      <x:c r="G355" s="2" t="str">
        <x:f>IF(COUNTA(A355:F355)=0,"",COUNTIFS('App Data'!$L$2:$L$1001,SUBSTITUTE(SUBSTITUTE(SUBSTITUTE(L355,"~","~~"),"*","~*"),"?","~?")))</x:f>
      </x:c>
      <x:c r="H355" s="2" t="str">
        <x:f>IF(COUNTA(A355:F355)=0,"",COUNTIFS('External Data'!$L$2:$L$1001,SUBSTITUTE(SUBSTITUTE(SUBSTITUTE(L355,"~","~~"),"*","~*"),"?","~?")))</x:f>
      </x:c>
      <x:c r="I355" s="13" t="str">
        <x:f>IF(OR(H355&lt;&gt;1,G355&lt;&gt;1),"",SUMIFS('External Data'!$E$2:$E$1001,'External Data'!$L$2:$L$1001,SUBSTITUTE(SUBSTITUTE(SUBSTITUTE(L355,"~","~~"),"*","~*"),"?","~?")))</x:f>
      </x:c>
      <x:c r="J355" s="13" t="str">
        <x:f>IF(OR(NOT(ISNUMBER(E355)),NOT(ISNUMBER(I355))),"",ROUND(E355-I355,2))</x:f>
      </x:c>
      <x:c r="K355" s="2" t="str">
        <x:f>IF(COUNTA(A355:F355)=0,"",IF(OR(A355="",B355="",C355="",D355="",NOT(ISNUMBER(E355))),"Missing / invalid input",IF(G355&gt;1,"Duplicate key in this source",IF(H355=0,"Missing in other source",IF(H355&gt;1,"Duplicate in other source",IF(SUMIFS('External Data'!$M$2:$M$1001,'External Data'!$L$2:$L$1001,SUBSTITUTE(SUBSTITUTE(SUBSTITUTE(L355,"~","~~"),"*","~*"),"?","~?"))&lt;&gt;1,"Other amount is invalid",IF(J355&lt;&gt;0,"Amount differs","Matched")))))))</x:f>
      </x:c>
      <x:c r="L355" t="str">
        <x:f>IF(COUNTA(A355:F355)=0,"",LEN(A355)&amp;":"&amp;A355&amp;LEN(B355)&amp;":"&amp;B355&amp;LEN(C355)&amp;":"&amp;C355&amp;LEN(D355)&amp;":"&amp;D355)</x:f>
      </x:c>
      <x:c r="M355" t="str">
        <x:f>IF(COUNTA(A355:F355)=0,"",IF(ISNUMBER(E355),1,0))</x:f>
      </x:c>
    </x:row>
    <x:row r="356">
      <x:c r="A356" s="11"/>
      <x:c r="B356" s="11"/>
      <x:c r="C356" s="11"/>
      <x:c r="D356" s="11"/>
      <x:c r="E356" s="12"/>
      <x:c r="F356" s="10"/>
      <x:c r="G356" s="2" t="str">
        <x:f>IF(COUNTA(A356:F356)=0,"",COUNTIFS('App Data'!$L$2:$L$1001,SUBSTITUTE(SUBSTITUTE(SUBSTITUTE(L356,"~","~~"),"*","~*"),"?","~?")))</x:f>
      </x:c>
      <x:c r="H356" s="2" t="str">
        <x:f>IF(COUNTA(A356:F356)=0,"",COUNTIFS('External Data'!$L$2:$L$1001,SUBSTITUTE(SUBSTITUTE(SUBSTITUTE(L356,"~","~~"),"*","~*"),"?","~?")))</x:f>
      </x:c>
      <x:c r="I356" s="13" t="str">
        <x:f>IF(OR(H356&lt;&gt;1,G356&lt;&gt;1),"",SUMIFS('External Data'!$E$2:$E$1001,'External Data'!$L$2:$L$1001,SUBSTITUTE(SUBSTITUTE(SUBSTITUTE(L356,"~","~~"),"*","~*"),"?","~?")))</x:f>
      </x:c>
      <x:c r="J356" s="13" t="str">
        <x:f>IF(OR(NOT(ISNUMBER(E356)),NOT(ISNUMBER(I356))),"",ROUND(E356-I356,2))</x:f>
      </x:c>
      <x:c r="K356" s="2" t="str">
        <x:f>IF(COUNTA(A356:F356)=0,"",IF(OR(A356="",B356="",C356="",D356="",NOT(ISNUMBER(E356))),"Missing / invalid input",IF(G356&gt;1,"Duplicate key in this source",IF(H356=0,"Missing in other source",IF(H356&gt;1,"Duplicate in other source",IF(SUMIFS('External Data'!$M$2:$M$1001,'External Data'!$L$2:$L$1001,SUBSTITUTE(SUBSTITUTE(SUBSTITUTE(L356,"~","~~"),"*","~*"),"?","~?"))&lt;&gt;1,"Other amount is invalid",IF(J356&lt;&gt;0,"Amount differs","Matched")))))))</x:f>
      </x:c>
      <x:c r="L356" t="str">
        <x:f>IF(COUNTA(A356:F356)=0,"",LEN(A356)&amp;":"&amp;A356&amp;LEN(B356)&amp;":"&amp;B356&amp;LEN(C356)&amp;":"&amp;C356&amp;LEN(D356)&amp;":"&amp;D356)</x:f>
      </x:c>
      <x:c r="M356" t="str">
        <x:f>IF(COUNTA(A356:F356)=0,"",IF(ISNUMBER(E356),1,0))</x:f>
      </x:c>
    </x:row>
    <x:row r="357">
      <x:c r="A357" s="11"/>
      <x:c r="B357" s="11"/>
      <x:c r="C357" s="11"/>
      <x:c r="D357" s="11"/>
      <x:c r="E357" s="12"/>
      <x:c r="F357" s="10"/>
      <x:c r="G357" s="2" t="str">
        <x:f>IF(COUNTA(A357:F357)=0,"",COUNTIFS('App Data'!$L$2:$L$1001,SUBSTITUTE(SUBSTITUTE(SUBSTITUTE(L357,"~","~~"),"*","~*"),"?","~?")))</x:f>
      </x:c>
      <x:c r="H357" s="2" t="str">
        <x:f>IF(COUNTA(A357:F357)=0,"",COUNTIFS('External Data'!$L$2:$L$1001,SUBSTITUTE(SUBSTITUTE(SUBSTITUTE(L357,"~","~~"),"*","~*"),"?","~?")))</x:f>
      </x:c>
      <x:c r="I357" s="13" t="str">
        <x:f>IF(OR(H357&lt;&gt;1,G357&lt;&gt;1),"",SUMIFS('External Data'!$E$2:$E$1001,'External Data'!$L$2:$L$1001,SUBSTITUTE(SUBSTITUTE(SUBSTITUTE(L357,"~","~~"),"*","~*"),"?","~?")))</x:f>
      </x:c>
      <x:c r="J357" s="13" t="str">
        <x:f>IF(OR(NOT(ISNUMBER(E357)),NOT(ISNUMBER(I357))),"",ROUND(E357-I357,2))</x:f>
      </x:c>
      <x:c r="K357" s="2" t="str">
        <x:f>IF(COUNTA(A357:F357)=0,"",IF(OR(A357="",B357="",C357="",D357="",NOT(ISNUMBER(E357))),"Missing / invalid input",IF(G357&gt;1,"Duplicate key in this source",IF(H357=0,"Missing in other source",IF(H357&gt;1,"Duplicate in other source",IF(SUMIFS('External Data'!$M$2:$M$1001,'External Data'!$L$2:$L$1001,SUBSTITUTE(SUBSTITUTE(SUBSTITUTE(L357,"~","~~"),"*","~*"),"?","~?"))&lt;&gt;1,"Other amount is invalid",IF(J357&lt;&gt;0,"Amount differs","Matched")))))))</x:f>
      </x:c>
      <x:c r="L357" t="str">
        <x:f>IF(COUNTA(A357:F357)=0,"",LEN(A357)&amp;":"&amp;A357&amp;LEN(B357)&amp;":"&amp;B357&amp;LEN(C357)&amp;":"&amp;C357&amp;LEN(D357)&amp;":"&amp;D357)</x:f>
      </x:c>
      <x:c r="M357" t="str">
        <x:f>IF(COUNTA(A357:F357)=0,"",IF(ISNUMBER(E357),1,0))</x:f>
      </x:c>
    </x:row>
    <x:row r="358">
      <x:c r="A358" s="11"/>
      <x:c r="B358" s="11"/>
      <x:c r="C358" s="11"/>
      <x:c r="D358" s="11"/>
      <x:c r="E358" s="12"/>
      <x:c r="F358" s="10"/>
      <x:c r="G358" s="2" t="str">
        <x:f>IF(COUNTA(A358:F358)=0,"",COUNTIFS('App Data'!$L$2:$L$1001,SUBSTITUTE(SUBSTITUTE(SUBSTITUTE(L358,"~","~~"),"*","~*"),"?","~?")))</x:f>
      </x:c>
      <x:c r="H358" s="2" t="str">
        <x:f>IF(COUNTA(A358:F358)=0,"",COUNTIFS('External Data'!$L$2:$L$1001,SUBSTITUTE(SUBSTITUTE(SUBSTITUTE(L358,"~","~~"),"*","~*"),"?","~?")))</x:f>
      </x:c>
      <x:c r="I358" s="13" t="str">
        <x:f>IF(OR(H358&lt;&gt;1,G358&lt;&gt;1),"",SUMIFS('External Data'!$E$2:$E$1001,'External Data'!$L$2:$L$1001,SUBSTITUTE(SUBSTITUTE(SUBSTITUTE(L358,"~","~~"),"*","~*"),"?","~?")))</x:f>
      </x:c>
      <x:c r="J358" s="13" t="str">
        <x:f>IF(OR(NOT(ISNUMBER(E358)),NOT(ISNUMBER(I358))),"",ROUND(E358-I358,2))</x:f>
      </x:c>
      <x:c r="K358" s="2" t="str">
        <x:f>IF(COUNTA(A358:F358)=0,"",IF(OR(A358="",B358="",C358="",D358="",NOT(ISNUMBER(E358))),"Missing / invalid input",IF(G358&gt;1,"Duplicate key in this source",IF(H358=0,"Missing in other source",IF(H358&gt;1,"Duplicate in other source",IF(SUMIFS('External Data'!$M$2:$M$1001,'External Data'!$L$2:$L$1001,SUBSTITUTE(SUBSTITUTE(SUBSTITUTE(L358,"~","~~"),"*","~*"),"?","~?"))&lt;&gt;1,"Other amount is invalid",IF(J358&lt;&gt;0,"Amount differs","Matched")))))))</x:f>
      </x:c>
      <x:c r="L358" t="str">
        <x:f>IF(COUNTA(A358:F358)=0,"",LEN(A358)&amp;":"&amp;A358&amp;LEN(B358)&amp;":"&amp;B358&amp;LEN(C358)&amp;":"&amp;C358&amp;LEN(D358)&amp;":"&amp;D358)</x:f>
      </x:c>
      <x:c r="M358" t="str">
        <x:f>IF(COUNTA(A358:F358)=0,"",IF(ISNUMBER(E358),1,0))</x:f>
      </x:c>
    </x:row>
    <x:row r="359">
      <x:c r="A359" s="11"/>
      <x:c r="B359" s="11"/>
      <x:c r="C359" s="11"/>
      <x:c r="D359" s="11"/>
      <x:c r="E359" s="12"/>
      <x:c r="F359" s="10"/>
      <x:c r="G359" s="2" t="str">
        <x:f>IF(COUNTA(A359:F359)=0,"",COUNTIFS('App Data'!$L$2:$L$1001,SUBSTITUTE(SUBSTITUTE(SUBSTITUTE(L359,"~","~~"),"*","~*"),"?","~?")))</x:f>
      </x:c>
      <x:c r="H359" s="2" t="str">
        <x:f>IF(COUNTA(A359:F359)=0,"",COUNTIFS('External Data'!$L$2:$L$1001,SUBSTITUTE(SUBSTITUTE(SUBSTITUTE(L359,"~","~~"),"*","~*"),"?","~?")))</x:f>
      </x:c>
      <x:c r="I359" s="13" t="str">
        <x:f>IF(OR(H359&lt;&gt;1,G359&lt;&gt;1),"",SUMIFS('External Data'!$E$2:$E$1001,'External Data'!$L$2:$L$1001,SUBSTITUTE(SUBSTITUTE(SUBSTITUTE(L359,"~","~~"),"*","~*"),"?","~?")))</x:f>
      </x:c>
      <x:c r="J359" s="13" t="str">
        <x:f>IF(OR(NOT(ISNUMBER(E359)),NOT(ISNUMBER(I359))),"",ROUND(E359-I359,2))</x:f>
      </x:c>
      <x:c r="K359" s="2" t="str">
        <x:f>IF(COUNTA(A359:F359)=0,"",IF(OR(A359="",B359="",C359="",D359="",NOT(ISNUMBER(E359))),"Missing / invalid input",IF(G359&gt;1,"Duplicate key in this source",IF(H359=0,"Missing in other source",IF(H359&gt;1,"Duplicate in other source",IF(SUMIFS('External Data'!$M$2:$M$1001,'External Data'!$L$2:$L$1001,SUBSTITUTE(SUBSTITUTE(SUBSTITUTE(L359,"~","~~"),"*","~*"),"?","~?"))&lt;&gt;1,"Other amount is invalid",IF(J359&lt;&gt;0,"Amount differs","Matched")))))))</x:f>
      </x:c>
      <x:c r="L359" t="str">
        <x:f>IF(COUNTA(A359:F359)=0,"",LEN(A359)&amp;":"&amp;A359&amp;LEN(B359)&amp;":"&amp;B359&amp;LEN(C359)&amp;":"&amp;C359&amp;LEN(D359)&amp;":"&amp;D359)</x:f>
      </x:c>
      <x:c r="M359" t="str">
        <x:f>IF(COUNTA(A359:F359)=0,"",IF(ISNUMBER(E359),1,0))</x:f>
      </x:c>
    </x:row>
    <x:row r="360">
      <x:c r="A360" s="11"/>
      <x:c r="B360" s="11"/>
      <x:c r="C360" s="11"/>
      <x:c r="D360" s="11"/>
      <x:c r="E360" s="12"/>
      <x:c r="F360" s="10"/>
      <x:c r="G360" s="2" t="str">
        <x:f>IF(COUNTA(A360:F360)=0,"",COUNTIFS('App Data'!$L$2:$L$1001,SUBSTITUTE(SUBSTITUTE(SUBSTITUTE(L360,"~","~~"),"*","~*"),"?","~?")))</x:f>
      </x:c>
      <x:c r="H360" s="2" t="str">
        <x:f>IF(COUNTA(A360:F360)=0,"",COUNTIFS('External Data'!$L$2:$L$1001,SUBSTITUTE(SUBSTITUTE(SUBSTITUTE(L360,"~","~~"),"*","~*"),"?","~?")))</x:f>
      </x:c>
      <x:c r="I360" s="13" t="str">
        <x:f>IF(OR(H360&lt;&gt;1,G360&lt;&gt;1),"",SUMIFS('External Data'!$E$2:$E$1001,'External Data'!$L$2:$L$1001,SUBSTITUTE(SUBSTITUTE(SUBSTITUTE(L360,"~","~~"),"*","~*"),"?","~?")))</x:f>
      </x:c>
      <x:c r="J360" s="13" t="str">
        <x:f>IF(OR(NOT(ISNUMBER(E360)),NOT(ISNUMBER(I360))),"",ROUND(E360-I360,2))</x:f>
      </x:c>
      <x:c r="K360" s="2" t="str">
        <x:f>IF(COUNTA(A360:F360)=0,"",IF(OR(A360="",B360="",C360="",D360="",NOT(ISNUMBER(E360))),"Missing / invalid input",IF(G360&gt;1,"Duplicate key in this source",IF(H360=0,"Missing in other source",IF(H360&gt;1,"Duplicate in other source",IF(SUMIFS('External Data'!$M$2:$M$1001,'External Data'!$L$2:$L$1001,SUBSTITUTE(SUBSTITUTE(SUBSTITUTE(L360,"~","~~"),"*","~*"),"?","~?"))&lt;&gt;1,"Other amount is invalid",IF(J360&lt;&gt;0,"Amount differs","Matched")))))))</x:f>
      </x:c>
      <x:c r="L360" t="str">
        <x:f>IF(COUNTA(A360:F360)=0,"",LEN(A360)&amp;":"&amp;A360&amp;LEN(B360)&amp;":"&amp;B360&amp;LEN(C360)&amp;":"&amp;C360&amp;LEN(D360)&amp;":"&amp;D360)</x:f>
      </x:c>
      <x:c r="M360" t="str">
        <x:f>IF(COUNTA(A360:F360)=0,"",IF(ISNUMBER(E360),1,0))</x:f>
      </x:c>
    </x:row>
    <x:row r="361">
      <x:c r="A361" s="11"/>
      <x:c r="B361" s="11"/>
      <x:c r="C361" s="11"/>
      <x:c r="D361" s="11"/>
      <x:c r="E361" s="12"/>
      <x:c r="F361" s="10"/>
      <x:c r="G361" s="2" t="str">
        <x:f>IF(COUNTA(A361:F361)=0,"",COUNTIFS('App Data'!$L$2:$L$1001,SUBSTITUTE(SUBSTITUTE(SUBSTITUTE(L361,"~","~~"),"*","~*"),"?","~?")))</x:f>
      </x:c>
      <x:c r="H361" s="2" t="str">
        <x:f>IF(COUNTA(A361:F361)=0,"",COUNTIFS('External Data'!$L$2:$L$1001,SUBSTITUTE(SUBSTITUTE(SUBSTITUTE(L361,"~","~~"),"*","~*"),"?","~?")))</x:f>
      </x:c>
      <x:c r="I361" s="13" t="str">
        <x:f>IF(OR(H361&lt;&gt;1,G361&lt;&gt;1),"",SUMIFS('External Data'!$E$2:$E$1001,'External Data'!$L$2:$L$1001,SUBSTITUTE(SUBSTITUTE(SUBSTITUTE(L361,"~","~~"),"*","~*"),"?","~?")))</x:f>
      </x:c>
      <x:c r="J361" s="13" t="str">
        <x:f>IF(OR(NOT(ISNUMBER(E361)),NOT(ISNUMBER(I361))),"",ROUND(E361-I361,2))</x:f>
      </x:c>
      <x:c r="K361" s="2" t="str">
        <x:f>IF(COUNTA(A361:F361)=0,"",IF(OR(A361="",B361="",C361="",D361="",NOT(ISNUMBER(E361))),"Missing / invalid input",IF(G361&gt;1,"Duplicate key in this source",IF(H361=0,"Missing in other source",IF(H361&gt;1,"Duplicate in other source",IF(SUMIFS('External Data'!$M$2:$M$1001,'External Data'!$L$2:$L$1001,SUBSTITUTE(SUBSTITUTE(SUBSTITUTE(L361,"~","~~"),"*","~*"),"?","~?"))&lt;&gt;1,"Other amount is invalid",IF(J361&lt;&gt;0,"Amount differs","Matched")))))))</x:f>
      </x:c>
      <x:c r="L361" t="str">
        <x:f>IF(COUNTA(A361:F361)=0,"",LEN(A361)&amp;":"&amp;A361&amp;LEN(B361)&amp;":"&amp;B361&amp;LEN(C361)&amp;":"&amp;C361&amp;LEN(D361)&amp;":"&amp;D361)</x:f>
      </x:c>
      <x:c r="M361" t="str">
        <x:f>IF(COUNTA(A361:F361)=0,"",IF(ISNUMBER(E361),1,0))</x:f>
      </x:c>
    </x:row>
    <x:row r="362">
      <x:c r="A362" s="11"/>
      <x:c r="B362" s="11"/>
      <x:c r="C362" s="11"/>
      <x:c r="D362" s="11"/>
      <x:c r="E362" s="12"/>
      <x:c r="F362" s="10"/>
      <x:c r="G362" s="2" t="str">
        <x:f>IF(COUNTA(A362:F362)=0,"",COUNTIFS('App Data'!$L$2:$L$1001,SUBSTITUTE(SUBSTITUTE(SUBSTITUTE(L362,"~","~~"),"*","~*"),"?","~?")))</x:f>
      </x:c>
      <x:c r="H362" s="2" t="str">
        <x:f>IF(COUNTA(A362:F362)=0,"",COUNTIFS('External Data'!$L$2:$L$1001,SUBSTITUTE(SUBSTITUTE(SUBSTITUTE(L362,"~","~~"),"*","~*"),"?","~?")))</x:f>
      </x:c>
      <x:c r="I362" s="13" t="str">
        <x:f>IF(OR(H362&lt;&gt;1,G362&lt;&gt;1),"",SUMIFS('External Data'!$E$2:$E$1001,'External Data'!$L$2:$L$1001,SUBSTITUTE(SUBSTITUTE(SUBSTITUTE(L362,"~","~~"),"*","~*"),"?","~?")))</x:f>
      </x:c>
      <x:c r="J362" s="13" t="str">
        <x:f>IF(OR(NOT(ISNUMBER(E362)),NOT(ISNUMBER(I362))),"",ROUND(E362-I362,2))</x:f>
      </x:c>
      <x:c r="K362" s="2" t="str">
        <x:f>IF(COUNTA(A362:F362)=0,"",IF(OR(A362="",B362="",C362="",D362="",NOT(ISNUMBER(E362))),"Missing / invalid input",IF(G362&gt;1,"Duplicate key in this source",IF(H362=0,"Missing in other source",IF(H362&gt;1,"Duplicate in other source",IF(SUMIFS('External Data'!$M$2:$M$1001,'External Data'!$L$2:$L$1001,SUBSTITUTE(SUBSTITUTE(SUBSTITUTE(L362,"~","~~"),"*","~*"),"?","~?"))&lt;&gt;1,"Other amount is invalid",IF(J362&lt;&gt;0,"Amount differs","Matched")))))))</x:f>
      </x:c>
      <x:c r="L362" t="str">
        <x:f>IF(COUNTA(A362:F362)=0,"",LEN(A362)&amp;":"&amp;A362&amp;LEN(B362)&amp;":"&amp;B362&amp;LEN(C362)&amp;":"&amp;C362&amp;LEN(D362)&amp;":"&amp;D362)</x:f>
      </x:c>
      <x:c r="M362" t="str">
        <x:f>IF(COUNTA(A362:F362)=0,"",IF(ISNUMBER(E362),1,0))</x:f>
      </x:c>
    </x:row>
    <x:row r="363">
      <x:c r="A363" s="11"/>
      <x:c r="B363" s="11"/>
      <x:c r="C363" s="11"/>
      <x:c r="D363" s="11"/>
      <x:c r="E363" s="12"/>
      <x:c r="F363" s="10"/>
      <x:c r="G363" s="2" t="str">
        <x:f>IF(COUNTA(A363:F363)=0,"",COUNTIFS('App Data'!$L$2:$L$1001,SUBSTITUTE(SUBSTITUTE(SUBSTITUTE(L363,"~","~~"),"*","~*"),"?","~?")))</x:f>
      </x:c>
      <x:c r="H363" s="2" t="str">
        <x:f>IF(COUNTA(A363:F363)=0,"",COUNTIFS('External Data'!$L$2:$L$1001,SUBSTITUTE(SUBSTITUTE(SUBSTITUTE(L363,"~","~~"),"*","~*"),"?","~?")))</x:f>
      </x:c>
      <x:c r="I363" s="13" t="str">
        <x:f>IF(OR(H363&lt;&gt;1,G363&lt;&gt;1),"",SUMIFS('External Data'!$E$2:$E$1001,'External Data'!$L$2:$L$1001,SUBSTITUTE(SUBSTITUTE(SUBSTITUTE(L363,"~","~~"),"*","~*"),"?","~?")))</x:f>
      </x:c>
      <x:c r="J363" s="13" t="str">
        <x:f>IF(OR(NOT(ISNUMBER(E363)),NOT(ISNUMBER(I363))),"",ROUND(E363-I363,2))</x:f>
      </x:c>
      <x:c r="K363" s="2" t="str">
        <x:f>IF(COUNTA(A363:F363)=0,"",IF(OR(A363="",B363="",C363="",D363="",NOT(ISNUMBER(E363))),"Missing / invalid input",IF(G363&gt;1,"Duplicate key in this source",IF(H363=0,"Missing in other source",IF(H363&gt;1,"Duplicate in other source",IF(SUMIFS('External Data'!$M$2:$M$1001,'External Data'!$L$2:$L$1001,SUBSTITUTE(SUBSTITUTE(SUBSTITUTE(L363,"~","~~"),"*","~*"),"?","~?"))&lt;&gt;1,"Other amount is invalid",IF(J363&lt;&gt;0,"Amount differs","Matched")))))))</x:f>
      </x:c>
      <x:c r="L363" t="str">
        <x:f>IF(COUNTA(A363:F363)=0,"",LEN(A363)&amp;":"&amp;A363&amp;LEN(B363)&amp;":"&amp;B363&amp;LEN(C363)&amp;":"&amp;C363&amp;LEN(D363)&amp;":"&amp;D363)</x:f>
      </x:c>
      <x:c r="M363" t="str">
        <x:f>IF(COUNTA(A363:F363)=0,"",IF(ISNUMBER(E363),1,0))</x:f>
      </x:c>
    </x:row>
    <x:row r="364">
      <x:c r="A364" s="11"/>
      <x:c r="B364" s="11"/>
      <x:c r="C364" s="11"/>
      <x:c r="D364" s="11"/>
      <x:c r="E364" s="12"/>
      <x:c r="F364" s="10"/>
      <x:c r="G364" s="2" t="str">
        <x:f>IF(COUNTA(A364:F364)=0,"",COUNTIFS('App Data'!$L$2:$L$1001,SUBSTITUTE(SUBSTITUTE(SUBSTITUTE(L364,"~","~~"),"*","~*"),"?","~?")))</x:f>
      </x:c>
      <x:c r="H364" s="2" t="str">
        <x:f>IF(COUNTA(A364:F364)=0,"",COUNTIFS('External Data'!$L$2:$L$1001,SUBSTITUTE(SUBSTITUTE(SUBSTITUTE(L364,"~","~~"),"*","~*"),"?","~?")))</x:f>
      </x:c>
      <x:c r="I364" s="13" t="str">
        <x:f>IF(OR(H364&lt;&gt;1,G364&lt;&gt;1),"",SUMIFS('External Data'!$E$2:$E$1001,'External Data'!$L$2:$L$1001,SUBSTITUTE(SUBSTITUTE(SUBSTITUTE(L364,"~","~~"),"*","~*"),"?","~?")))</x:f>
      </x:c>
      <x:c r="J364" s="13" t="str">
        <x:f>IF(OR(NOT(ISNUMBER(E364)),NOT(ISNUMBER(I364))),"",ROUND(E364-I364,2))</x:f>
      </x:c>
      <x:c r="K364" s="2" t="str">
        <x:f>IF(COUNTA(A364:F364)=0,"",IF(OR(A364="",B364="",C364="",D364="",NOT(ISNUMBER(E364))),"Missing / invalid input",IF(G364&gt;1,"Duplicate key in this source",IF(H364=0,"Missing in other source",IF(H364&gt;1,"Duplicate in other source",IF(SUMIFS('External Data'!$M$2:$M$1001,'External Data'!$L$2:$L$1001,SUBSTITUTE(SUBSTITUTE(SUBSTITUTE(L364,"~","~~"),"*","~*"),"?","~?"))&lt;&gt;1,"Other amount is invalid",IF(J364&lt;&gt;0,"Amount differs","Matched")))))))</x:f>
      </x:c>
      <x:c r="L364" t="str">
        <x:f>IF(COUNTA(A364:F364)=0,"",LEN(A364)&amp;":"&amp;A364&amp;LEN(B364)&amp;":"&amp;B364&amp;LEN(C364)&amp;":"&amp;C364&amp;LEN(D364)&amp;":"&amp;D364)</x:f>
      </x:c>
      <x:c r="M364" t="str">
        <x:f>IF(COUNTA(A364:F364)=0,"",IF(ISNUMBER(E364),1,0))</x:f>
      </x:c>
    </x:row>
    <x:row r="365">
      <x:c r="A365" s="11"/>
      <x:c r="B365" s="11"/>
      <x:c r="C365" s="11"/>
      <x:c r="D365" s="11"/>
      <x:c r="E365" s="12"/>
      <x:c r="F365" s="10"/>
      <x:c r="G365" s="2" t="str">
        <x:f>IF(COUNTA(A365:F365)=0,"",COUNTIFS('App Data'!$L$2:$L$1001,SUBSTITUTE(SUBSTITUTE(SUBSTITUTE(L365,"~","~~"),"*","~*"),"?","~?")))</x:f>
      </x:c>
      <x:c r="H365" s="2" t="str">
        <x:f>IF(COUNTA(A365:F365)=0,"",COUNTIFS('External Data'!$L$2:$L$1001,SUBSTITUTE(SUBSTITUTE(SUBSTITUTE(L365,"~","~~"),"*","~*"),"?","~?")))</x:f>
      </x:c>
      <x:c r="I365" s="13" t="str">
        <x:f>IF(OR(H365&lt;&gt;1,G365&lt;&gt;1),"",SUMIFS('External Data'!$E$2:$E$1001,'External Data'!$L$2:$L$1001,SUBSTITUTE(SUBSTITUTE(SUBSTITUTE(L365,"~","~~"),"*","~*"),"?","~?")))</x:f>
      </x:c>
      <x:c r="J365" s="13" t="str">
        <x:f>IF(OR(NOT(ISNUMBER(E365)),NOT(ISNUMBER(I365))),"",ROUND(E365-I365,2))</x:f>
      </x:c>
      <x:c r="K365" s="2" t="str">
        <x:f>IF(COUNTA(A365:F365)=0,"",IF(OR(A365="",B365="",C365="",D365="",NOT(ISNUMBER(E365))),"Missing / invalid input",IF(G365&gt;1,"Duplicate key in this source",IF(H365=0,"Missing in other source",IF(H365&gt;1,"Duplicate in other source",IF(SUMIFS('External Data'!$M$2:$M$1001,'External Data'!$L$2:$L$1001,SUBSTITUTE(SUBSTITUTE(SUBSTITUTE(L365,"~","~~"),"*","~*"),"?","~?"))&lt;&gt;1,"Other amount is invalid",IF(J365&lt;&gt;0,"Amount differs","Matched")))))))</x:f>
      </x:c>
      <x:c r="L365" t="str">
        <x:f>IF(COUNTA(A365:F365)=0,"",LEN(A365)&amp;":"&amp;A365&amp;LEN(B365)&amp;":"&amp;B365&amp;LEN(C365)&amp;":"&amp;C365&amp;LEN(D365)&amp;":"&amp;D365)</x:f>
      </x:c>
      <x:c r="M365" t="str">
        <x:f>IF(COUNTA(A365:F365)=0,"",IF(ISNUMBER(E365),1,0))</x:f>
      </x:c>
    </x:row>
    <x:row r="366">
      <x:c r="A366" s="11"/>
      <x:c r="B366" s="11"/>
      <x:c r="C366" s="11"/>
      <x:c r="D366" s="11"/>
      <x:c r="E366" s="12"/>
      <x:c r="F366" s="10"/>
      <x:c r="G366" s="2" t="str">
        <x:f>IF(COUNTA(A366:F366)=0,"",COUNTIFS('App Data'!$L$2:$L$1001,SUBSTITUTE(SUBSTITUTE(SUBSTITUTE(L366,"~","~~"),"*","~*"),"?","~?")))</x:f>
      </x:c>
      <x:c r="H366" s="2" t="str">
        <x:f>IF(COUNTA(A366:F366)=0,"",COUNTIFS('External Data'!$L$2:$L$1001,SUBSTITUTE(SUBSTITUTE(SUBSTITUTE(L366,"~","~~"),"*","~*"),"?","~?")))</x:f>
      </x:c>
      <x:c r="I366" s="13" t="str">
        <x:f>IF(OR(H366&lt;&gt;1,G366&lt;&gt;1),"",SUMIFS('External Data'!$E$2:$E$1001,'External Data'!$L$2:$L$1001,SUBSTITUTE(SUBSTITUTE(SUBSTITUTE(L366,"~","~~"),"*","~*"),"?","~?")))</x:f>
      </x:c>
      <x:c r="J366" s="13" t="str">
        <x:f>IF(OR(NOT(ISNUMBER(E366)),NOT(ISNUMBER(I366))),"",ROUND(E366-I366,2))</x:f>
      </x:c>
      <x:c r="K366" s="2" t="str">
        <x:f>IF(COUNTA(A366:F366)=0,"",IF(OR(A366="",B366="",C366="",D366="",NOT(ISNUMBER(E366))),"Missing / invalid input",IF(G366&gt;1,"Duplicate key in this source",IF(H366=0,"Missing in other source",IF(H366&gt;1,"Duplicate in other source",IF(SUMIFS('External Data'!$M$2:$M$1001,'External Data'!$L$2:$L$1001,SUBSTITUTE(SUBSTITUTE(SUBSTITUTE(L366,"~","~~"),"*","~*"),"?","~?"))&lt;&gt;1,"Other amount is invalid",IF(J366&lt;&gt;0,"Amount differs","Matched")))))))</x:f>
      </x:c>
      <x:c r="L366" t="str">
        <x:f>IF(COUNTA(A366:F366)=0,"",LEN(A366)&amp;":"&amp;A366&amp;LEN(B366)&amp;":"&amp;B366&amp;LEN(C366)&amp;":"&amp;C366&amp;LEN(D366)&amp;":"&amp;D366)</x:f>
      </x:c>
      <x:c r="M366" t="str">
        <x:f>IF(COUNTA(A366:F366)=0,"",IF(ISNUMBER(E366),1,0))</x:f>
      </x:c>
    </x:row>
    <x:row r="367">
      <x:c r="A367" s="11"/>
      <x:c r="B367" s="11"/>
      <x:c r="C367" s="11"/>
      <x:c r="D367" s="11"/>
      <x:c r="E367" s="12"/>
      <x:c r="F367" s="10"/>
      <x:c r="G367" s="2" t="str">
        <x:f>IF(COUNTA(A367:F367)=0,"",COUNTIFS('App Data'!$L$2:$L$1001,SUBSTITUTE(SUBSTITUTE(SUBSTITUTE(L367,"~","~~"),"*","~*"),"?","~?")))</x:f>
      </x:c>
      <x:c r="H367" s="2" t="str">
        <x:f>IF(COUNTA(A367:F367)=0,"",COUNTIFS('External Data'!$L$2:$L$1001,SUBSTITUTE(SUBSTITUTE(SUBSTITUTE(L367,"~","~~"),"*","~*"),"?","~?")))</x:f>
      </x:c>
      <x:c r="I367" s="13" t="str">
        <x:f>IF(OR(H367&lt;&gt;1,G367&lt;&gt;1),"",SUMIFS('External Data'!$E$2:$E$1001,'External Data'!$L$2:$L$1001,SUBSTITUTE(SUBSTITUTE(SUBSTITUTE(L367,"~","~~"),"*","~*"),"?","~?")))</x:f>
      </x:c>
      <x:c r="J367" s="13" t="str">
        <x:f>IF(OR(NOT(ISNUMBER(E367)),NOT(ISNUMBER(I367))),"",ROUND(E367-I367,2))</x:f>
      </x:c>
      <x:c r="K367" s="2" t="str">
        <x:f>IF(COUNTA(A367:F367)=0,"",IF(OR(A367="",B367="",C367="",D367="",NOT(ISNUMBER(E367))),"Missing / invalid input",IF(G367&gt;1,"Duplicate key in this source",IF(H367=0,"Missing in other source",IF(H367&gt;1,"Duplicate in other source",IF(SUMIFS('External Data'!$M$2:$M$1001,'External Data'!$L$2:$L$1001,SUBSTITUTE(SUBSTITUTE(SUBSTITUTE(L367,"~","~~"),"*","~*"),"?","~?"))&lt;&gt;1,"Other amount is invalid",IF(J367&lt;&gt;0,"Amount differs","Matched")))))))</x:f>
      </x:c>
      <x:c r="L367" t="str">
        <x:f>IF(COUNTA(A367:F367)=0,"",LEN(A367)&amp;":"&amp;A367&amp;LEN(B367)&amp;":"&amp;B367&amp;LEN(C367)&amp;":"&amp;C367&amp;LEN(D367)&amp;":"&amp;D367)</x:f>
      </x:c>
      <x:c r="M367" t="str">
        <x:f>IF(COUNTA(A367:F367)=0,"",IF(ISNUMBER(E367),1,0))</x:f>
      </x:c>
    </x:row>
    <x:row r="368">
      <x:c r="A368" s="11"/>
      <x:c r="B368" s="11"/>
      <x:c r="C368" s="11"/>
      <x:c r="D368" s="11"/>
      <x:c r="E368" s="12"/>
      <x:c r="F368" s="10"/>
      <x:c r="G368" s="2" t="str">
        <x:f>IF(COUNTA(A368:F368)=0,"",COUNTIFS('App Data'!$L$2:$L$1001,SUBSTITUTE(SUBSTITUTE(SUBSTITUTE(L368,"~","~~"),"*","~*"),"?","~?")))</x:f>
      </x:c>
      <x:c r="H368" s="2" t="str">
        <x:f>IF(COUNTA(A368:F368)=0,"",COUNTIFS('External Data'!$L$2:$L$1001,SUBSTITUTE(SUBSTITUTE(SUBSTITUTE(L368,"~","~~"),"*","~*"),"?","~?")))</x:f>
      </x:c>
      <x:c r="I368" s="13" t="str">
        <x:f>IF(OR(H368&lt;&gt;1,G368&lt;&gt;1),"",SUMIFS('External Data'!$E$2:$E$1001,'External Data'!$L$2:$L$1001,SUBSTITUTE(SUBSTITUTE(SUBSTITUTE(L368,"~","~~"),"*","~*"),"?","~?")))</x:f>
      </x:c>
      <x:c r="J368" s="13" t="str">
        <x:f>IF(OR(NOT(ISNUMBER(E368)),NOT(ISNUMBER(I368))),"",ROUND(E368-I368,2))</x:f>
      </x:c>
      <x:c r="K368" s="2" t="str">
        <x:f>IF(COUNTA(A368:F368)=0,"",IF(OR(A368="",B368="",C368="",D368="",NOT(ISNUMBER(E368))),"Missing / invalid input",IF(G368&gt;1,"Duplicate key in this source",IF(H368=0,"Missing in other source",IF(H368&gt;1,"Duplicate in other source",IF(SUMIFS('External Data'!$M$2:$M$1001,'External Data'!$L$2:$L$1001,SUBSTITUTE(SUBSTITUTE(SUBSTITUTE(L368,"~","~~"),"*","~*"),"?","~?"))&lt;&gt;1,"Other amount is invalid",IF(J368&lt;&gt;0,"Amount differs","Matched")))))))</x:f>
      </x:c>
      <x:c r="L368" t="str">
        <x:f>IF(COUNTA(A368:F368)=0,"",LEN(A368)&amp;":"&amp;A368&amp;LEN(B368)&amp;":"&amp;B368&amp;LEN(C368)&amp;":"&amp;C368&amp;LEN(D368)&amp;":"&amp;D368)</x:f>
      </x:c>
      <x:c r="M368" t="str">
        <x:f>IF(COUNTA(A368:F368)=0,"",IF(ISNUMBER(E368),1,0))</x:f>
      </x:c>
    </x:row>
    <x:row r="369">
      <x:c r="A369" s="11"/>
      <x:c r="B369" s="11"/>
      <x:c r="C369" s="11"/>
      <x:c r="D369" s="11"/>
      <x:c r="E369" s="12"/>
      <x:c r="F369" s="10"/>
      <x:c r="G369" s="2" t="str">
        <x:f>IF(COUNTA(A369:F369)=0,"",COUNTIFS('App Data'!$L$2:$L$1001,SUBSTITUTE(SUBSTITUTE(SUBSTITUTE(L369,"~","~~"),"*","~*"),"?","~?")))</x:f>
      </x:c>
      <x:c r="H369" s="2" t="str">
        <x:f>IF(COUNTA(A369:F369)=0,"",COUNTIFS('External Data'!$L$2:$L$1001,SUBSTITUTE(SUBSTITUTE(SUBSTITUTE(L369,"~","~~"),"*","~*"),"?","~?")))</x:f>
      </x:c>
      <x:c r="I369" s="13" t="str">
        <x:f>IF(OR(H369&lt;&gt;1,G369&lt;&gt;1),"",SUMIFS('External Data'!$E$2:$E$1001,'External Data'!$L$2:$L$1001,SUBSTITUTE(SUBSTITUTE(SUBSTITUTE(L369,"~","~~"),"*","~*"),"?","~?")))</x:f>
      </x:c>
      <x:c r="J369" s="13" t="str">
        <x:f>IF(OR(NOT(ISNUMBER(E369)),NOT(ISNUMBER(I369))),"",ROUND(E369-I369,2))</x:f>
      </x:c>
      <x:c r="K369" s="2" t="str">
        <x:f>IF(COUNTA(A369:F369)=0,"",IF(OR(A369="",B369="",C369="",D369="",NOT(ISNUMBER(E369))),"Missing / invalid input",IF(G369&gt;1,"Duplicate key in this source",IF(H369=0,"Missing in other source",IF(H369&gt;1,"Duplicate in other source",IF(SUMIFS('External Data'!$M$2:$M$1001,'External Data'!$L$2:$L$1001,SUBSTITUTE(SUBSTITUTE(SUBSTITUTE(L369,"~","~~"),"*","~*"),"?","~?"))&lt;&gt;1,"Other amount is invalid",IF(J369&lt;&gt;0,"Amount differs","Matched")))))))</x:f>
      </x:c>
      <x:c r="L369" t="str">
        <x:f>IF(COUNTA(A369:F369)=0,"",LEN(A369)&amp;":"&amp;A369&amp;LEN(B369)&amp;":"&amp;B369&amp;LEN(C369)&amp;":"&amp;C369&amp;LEN(D369)&amp;":"&amp;D369)</x:f>
      </x:c>
      <x:c r="M369" t="str">
        <x:f>IF(COUNTA(A369:F369)=0,"",IF(ISNUMBER(E369),1,0))</x:f>
      </x:c>
    </x:row>
    <x:row r="370">
      <x:c r="A370" s="11"/>
      <x:c r="B370" s="11"/>
      <x:c r="C370" s="11"/>
      <x:c r="D370" s="11"/>
      <x:c r="E370" s="12"/>
      <x:c r="F370" s="10"/>
      <x:c r="G370" s="2" t="str">
        <x:f>IF(COUNTA(A370:F370)=0,"",COUNTIFS('App Data'!$L$2:$L$1001,SUBSTITUTE(SUBSTITUTE(SUBSTITUTE(L370,"~","~~"),"*","~*"),"?","~?")))</x:f>
      </x:c>
      <x:c r="H370" s="2" t="str">
        <x:f>IF(COUNTA(A370:F370)=0,"",COUNTIFS('External Data'!$L$2:$L$1001,SUBSTITUTE(SUBSTITUTE(SUBSTITUTE(L370,"~","~~"),"*","~*"),"?","~?")))</x:f>
      </x:c>
      <x:c r="I370" s="13" t="str">
        <x:f>IF(OR(H370&lt;&gt;1,G370&lt;&gt;1),"",SUMIFS('External Data'!$E$2:$E$1001,'External Data'!$L$2:$L$1001,SUBSTITUTE(SUBSTITUTE(SUBSTITUTE(L370,"~","~~"),"*","~*"),"?","~?")))</x:f>
      </x:c>
      <x:c r="J370" s="13" t="str">
        <x:f>IF(OR(NOT(ISNUMBER(E370)),NOT(ISNUMBER(I370))),"",ROUND(E370-I370,2))</x:f>
      </x:c>
      <x:c r="K370" s="2" t="str">
        <x:f>IF(COUNTA(A370:F370)=0,"",IF(OR(A370="",B370="",C370="",D370="",NOT(ISNUMBER(E370))),"Missing / invalid input",IF(G370&gt;1,"Duplicate key in this source",IF(H370=0,"Missing in other source",IF(H370&gt;1,"Duplicate in other source",IF(SUMIFS('External Data'!$M$2:$M$1001,'External Data'!$L$2:$L$1001,SUBSTITUTE(SUBSTITUTE(SUBSTITUTE(L370,"~","~~"),"*","~*"),"?","~?"))&lt;&gt;1,"Other amount is invalid",IF(J370&lt;&gt;0,"Amount differs","Matched")))))))</x:f>
      </x:c>
      <x:c r="L370" t="str">
        <x:f>IF(COUNTA(A370:F370)=0,"",LEN(A370)&amp;":"&amp;A370&amp;LEN(B370)&amp;":"&amp;B370&amp;LEN(C370)&amp;":"&amp;C370&amp;LEN(D370)&amp;":"&amp;D370)</x:f>
      </x:c>
      <x:c r="M370" t="str">
        <x:f>IF(COUNTA(A370:F370)=0,"",IF(ISNUMBER(E370),1,0))</x:f>
      </x:c>
    </x:row>
    <x:row r="371">
      <x:c r="A371" s="11"/>
      <x:c r="B371" s="11"/>
      <x:c r="C371" s="11"/>
      <x:c r="D371" s="11"/>
      <x:c r="E371" s="12"/>
      <x:c r="F371" s="10"/>
      <x:c r="G371" s="2" t="str">
        <x:f>IF(COUNTA(A371:F371)=0,"",COUNTIFS('App Data'!$L$2:$L$1001,SUBSTITUTE(SUBSTITUTE(SUBSTITUTE(L371,"~","~~"),"*","~*"),"?","~?")))</x:f>
      </x:c>
      <x:c r="H371" s="2" t="str">
        <x:f>IF(COUNTA(A371:F371)=0,"",COUNTIFS('External Data'!$L$2:$L$1001,SUBSTITUTE(SUBSTITUTE(SUBSTITUTE(L371,"~","~~"),"*","~*"),"?","~?")))</x:f>
      </x:c>
      <x:c r="I371" s="13" t="str">
        <x:f>IF(OR(H371&lt;&gt;1,G371&lt;&gt;1),"",SUMIFS('External Data'!$E$2:$E$1001,'External Data'!$L$2:$L$1001,SUBSTITUTE(SUBSTITUTE(SUBSTITUTE(L371,"~","~~"),"*","~*"),"?","~?")))</x:f>
      </x:c>
      <x:c r="J371" s="13" t="str">
        <x:f>IF(OR(NOT(ISNUMBER(E371)),NOT(ISNUMBER(I371))),"",ROUND(E371-I371,2))</x:f>
      </x:c>
      <x:c r="K371" s="2" t="str">
        <x:f>IF(COUNTA(A371:F371)=0,"",IF(OR(A371="",B371="",C371="",D371="",NOT(ISNUMBER(E371))),"Missing / invalid input",IF(G371&gt;1,"Duplicate key in this source",IF(H371=0,"Missing in other source",IF(H371&gt;1,"Duplicate in other source",IF(SUMIFS('External Data'!$M$2:$M$1001,'External Data'!$L$2:$L$1001,SUBSTITUTE(SUBSTITUTE(SUBSTITUTE(L371,"~","~~"),"*","~*"),"?","~?"))&lt;&gt;1,"Other amount is invalid",IF(J371&lt;&gt;0,"Amount differs","Matched")))))))</x:f>
      </x:c>
      <x:c r="L371" t="str">
        <x:f>IF(COUNTA(A371:F371)=0,"",LEN(A371)&amp;":"&amp;A371&amp;LEN(B371)&amp;":"&amp;B371&amp;LEN(C371)&amp;":"&amp;C371&amp;LEN(D371)&amp;":"&amp;D371)</x:f>
      </x:c>
      <x:c r="M371" t="str">
        <x:f>IF(COUNTA(A371:F371)=0,"",IF(ISNUMBER(E371),1,0))</x:f>
      </x:c>
    </x:row>
    <x:row r="372">
      <x:c r="A372" s="11"/>
      <x:c r="B372" s="11"/>
      <x:c r="C372" s="11"/>
      <x:c r="D372" s="11"/>
      <x:c r="E372" s="12"/>
      <x:c r="F372" s="10"/>
      <x:c r="G372" s="2" t="str">
        <x:f>IF(COUNTA(A372:F372)=0,"",COUNTIFS('App Data'!$L$2:$L$1001,SUBSTITUTE(SUBSTITUTE(SUBSTITUTE(L372,"~","~~"),"*","~*"),"?","~?")))</x:f>
      </x:c>
      <x:c r="H372" s="2" t="str">
        <x:f>IF(COUNTA(A372:F372)=0,"",COUNTIFS('External Data'!$L$2:$L$1001,SUBSTITUTE(SUBSTITUTE(SUBSTITUTE(L372,"~","~~"),"*","~*"),"?","~?")))</x:f>
      </x:c>
      <x:c r="I372" s="13" t="str">
        <x:f>IF(OR(H372&lt;&gt;1,G372&lt;&gt;1),"",SUMIFS('External Data'!$E$2:$E$1001,'External Data'!$L$2:$L$1001,SUBSTITUTE(SUBSTITUTE(SUBSTITUTE(L372,"~","~~"),"*","~*"),"?","~?")))</x:f>
      </x:c>
      <x:c r="J372" s="13" t="str">
        <x:f>IF(OR(NOT(ISNUMBER(E372)),NOT(ISNUMBER(I372))),"",ROUND(E372-I372,2))</x:f>
      </x:c>
      <x:c r="K372" s="2" t="str">
        <x:f>IF(COUNTA(A372:F372)=0,"",IF(OR(A372="",B372="",C372="",D372="",NOT(ISNUMBER(E372))),"Missing / invalid input",IF(G372&gt;1,"Duplicate key in this source",IF(H372=0,"Missing in other source",IF(H372&gt;1,"Duplicate in other source",IF(SUMIFS('External Data'!$M$2:$M$1001,'External Data'!$L$2:$L$1001,SUBSTITUTE(SUBSTITUTE(SUBSTITUTE(L372,"~","~~"),"*","~*"),"?","~?"))&lt;&gt;1,"Other amount is invalid",IF(J372&lt;&gt;0,"Amount differs","Matched")))))))</x:f>
      </x:c>
      <x:c r="L372" t="str">
        <x:f>IF(COUNTA(A372:F372)=0,"",LEN(A372)&amp;":"&amp;A372&amp;LEN(B372)&amp;":"&amp;B372&amp;LEN(C372)&amp;":"&amp;C372&amp;LEN(D372)&amp;":"&amp;D372)</x:f>
      </x:c>
      <x:c r="M372" t="str">
        <x:f>IF(COUNTA(A372:F372)=0,"",IF(ISNUMBER(E372),1,0))</x:f>
      </x:c>
    </x:row>
    <x:row r="373">
      <x:c r="A373" s="11"/>
      <x:c r="B373" s="11"/>
      <x:c r="C373" s="11"/>
      <x:c r="D373" s="11"/>
      <x:c r="E373" s="12"/>
      <x:c r="F373" s="10"/>
      <x:c r="G373" s="2" t="str">
        <x:f>IF(COUNTA(A373:F373)=0,"",COUNTIFS('App Data'!$L$2:$L$1001,SUBSTITUTE(SUBSTITUTE(SUBSTITUTE(L373,"~","~~"),"*","~*"),"?","~?")))</x:f>
      </x:c>
      <x:c r="H373" s="2" t="str">
        <x:f>IF(COUNTA(A373:F373)=0,"",COUNTIFS('External Data'!$L$2:$L$1001,SUBSTITUTE(SUBSTITUTE(SUBSTITUTE(L373,"~","~~"),"*","~*"),"?","~?")))</x:f>
      </x:c>
      <x:c r="I373" s="13" t="str">
        <x:f>IF(OR(H373&lt;&gt;1,G373&lt;&gt;1),"",SUMIFS('External Data'!$E$2:$E$1001,'External Data'!$L$2:$L$1001,SUBSTITUTE(SUBSTITUTE(SUBSTITUTE(L373,"~","~~"),"*","~*"),"?","~?")))</x:f>
      </x:c>
      <x:c r="J373" s="13" t="str">
        <x:f>IF(OR(NOT(ISNUMBER(E373)),NOT(ISNUMBER(I373))),"",ROUND(E373-I373,2))</x:f>
      </x:c>
      <x:c r="K373" s="2" t="str">
        <x:f>IF(COUNTA(A373:F373)=0,"",IF(OR(A373="",B373="",C373="",D373="",NOT(ISNUMBER(E373))),"Missing / invalid input",IF(G373&gt;1,"Duplicate key in this source",IF(H373=0,"Missing in other source",IF(H373&gt;1,"Duplicate in other source",IF(SUMIFS('External Data'!$M$2:$M$1001,'External Data'!$L$2:$L$1001,SUBSTITUTE(SUBSTITUTE(SUBSTITUTE(L373,"~","~~"),"*","~*"),"?","~?"))&lt;&gt;1,"Other amount is invalid",IF(J373&lt;&gt;0,"Amount differs","Matched")))))))</x:f>
      </x:c>
      <x:c r="L373" t="str">
        <x:f>IF(COUNTA(A373:F373)=0,"",LEN(A373)&amp;":"&amp;A373&amp;LEN(B373)&amp;":"&amp;B373&amp;LEN(C373)&amp;":"&amp;C373&amp;LEN(D373)&amp;":"&amp;D373)</x:f>
      </x:c>
      <x:c r="M373" t="str">
        <x:f>IF(COUNTA(A373:F373)=0,"",IF(ISNUMBER(E373),1,0))</x:f>
      </x:c>
    </x:row>
    <x:row r="374">
      <x:c r="A374" s="11"/>
      <x:c r="B374" s="11"/>
      <x:c r="C374" s="11"/>
      <x:c r="D374" s="11"/>
      <x:c r="E374" s="12"/>
      <x:c r="F374" s="10"/>
      <x:c r="G374" s="2" t="str">
        <x:f>IF(COUNTA(A374:F374)=0,"",COUNTIFS('App Data'!$L$2:$L$1001,SUBSTITUTE(SUBSTITUTE(SUBSTITUTE(L374,"~","~~"),"*","~*"),"?","~?")))</x:f>
      </x:c>
      <x:c r="H374" s="2" t="str">
        <x:f>IF(COUNTA(A374:F374)=0,"",COUNTIFS('External Data'!$L$2:$L$1001,SUBSTITUTE(SUBSTITUTE(SUBSTITUTE(L374,"~","~~"),"*","~*"),"?","~?")))</x:f>
      </x:c>
      <x:c r="I374" s="13" t="str">
        <x:f>IF(OR(H374&lt;&gt;1,G374&lt;&gt;1),"",SUMIFS('External Data'!$E$2:$E$1001,'External Data'!$L$2:$L$1001,SUBSTITUTE(SUBSTITUTE(SUBSTITUTE(L374,"~","~~"),"*","~*"),"?","~?")))</x:f>
      </x:c>
      <x:c r="J374" s="13" t="str">
        <x:f>IF(OR(NOT(ISNUMBER(E374)),NOT(ISNUMBER(I374))),"",ROUND(E374-I374,2))</x:f>
      </x:c>
      <x:c r="K374" s="2" t="str">
        <x:f>IF(COUNTA(A374:F374)=0,"",IF(OR(A374="",B374="",C374="",D374="",NOT(ISNUMBER(E374))),"Missing / invalid input",IF(G374&gt;1,"Duplicate key in this source",IF(H374=0,"Missing in other source",IF(H374&gt;1,"Duplicate in other source",IF(SUMIFS('External Data'!$M$2:$M$1001,'External Data'!$L$2:$L$1001,SUBSTITUTE(SUBSTITUTE(SUBSTITUTE(L374,"~","~~"),"*","~*"),"?","~?"))&lt;&gt;1,"Other amount is invalid",IF(J374&lt;&gt;0,"Amount differs","Matched")))))))</x:f>
      </x:c>
      <x:c r="L374" t="str">
        <x:f>IF(COUNTA(A374:F374)=0,"",LEN(A374)&amp;":"&amp;A374&amp;LEN(B374)&amp;":"&amp;B374&amp;LEN(C374)&amp;":"&amp;C374&amp;LEN(D374)&amp;":"&amp;D374)</x:f>
      </x:c>
      <x:c r="M374" t="str">
        <x:f>IF(COUNTA(A374:F374)=0,"",IF(ISNUMBER(E374),1,0))</x:f>
      </x:c>
    </x:row>
    <x:row r="375">
      <x:c r="A375" s="11"/>
      <x:c r="B375" s="11"/>
      <x:c r="C375" s="11"/>
      <x:c r="D375" s="11"/>
      <x:c r="E375" s="12"/>
      <x:c r="F375" s="10"/>
      <x:c r="G375" s="2" t="str">
        <x:f>IF(COUNTA(A375:F375)=0,"",COUNTIFS('App Data'!$L$2:$L$1001,SUBSTITUTE(SUBSTITUTE(SUBSTITUTE(L375,"~","~~"),"*","~*"),"?","~?")))</x:f>
      </x:c>
      <x:c r="H375" s="2" t="str">
        <x:f>IF(COUNTA(A375:F375)=0,"",COUNTIFS('External Data'!$L$2:$L$1001,SUBSTITUTE(SUBSTITUTE(SUBSTITUTE(L375,"~","~~"),"*","~*"),"?","~?")))</x:f>
      </x:c>
      <x:c r="I375" s="13" t="str">
        <x:f>IF(OR(H375&lt;&gt;1,G375&lt;&gt;1),"",SUMIFS('External Data'!$E$2:$E$1001,'External Data'!$L$2:$L$1001,SUBSTITUTE(SUBSTITUTE(SUBSTITUTE(L375,"~","~~"),"*","~*"),"?","~?")))</x:f>
      </x:c>
      <x:c r="J375" s="13" t="str">
        <x:f>IF(OR(NOT(ISNUMBER(E375)),NOT(ISNUMBER(I375))),"",ROUND(E375-I375,2))</x:f>
      </x:c>
      <x:c r="K375" s="2" t="str">
        <x:f>IF(COUNTA(A375:F375)=0,"",IF(OR(A375="",B375="",C375="",D375="",NOT(ISNUMBER(E375))),"Missing / invalid input",IF(G375&gt;1,"Duplicate key in this source",IF(H375=0,"Missing in other source",IF(H375&gt;1,"Duplicate in other source",IF(SUMIFS('External Data'!$M$2:$M$1001,'External Data'!$L$2:$L$1001,SUBSTITUTE(SUBSTITUTE(SUBSTITUTE(L375,"~","~~"),"*","~*"),"?","~?"))&lt;&gt;1,"Other amount is invalid",IF(J375&lt;&gt;0,"Amount differs","Matched")))))))</x:f>
      </x:c>
      <x:c r="L375" t="str">
        <x:f>IF(COUNTA(A375:F375)=0,"",LEN(A375)&amp;":"&amp;A375&amp;LEN(B375)&amp;":"&amp;B375&amp;LEN(C375)&amp;":"&amp;C375&amp;LEN(D375)&amp;":"&amp;D375)</x:f>
      </x:c>
      <x:c r="M375" t="str">
        <x:f>IF(COUNTA(A375:F375)=0,"",IF(ISNUMBER(E375),1,0))</x:f>
      </x:c>
    </x:row>
    <x:row r="376">
      <x:c r="A376" s="11"/>
      <x:c r="B376" s="11"/>
      <x:c r="C376" s="11"/>
      <x:c r="D376" s="11"/>
      <x:c r="E376" s="12"/>
      <x:c r="F376" s="10"/>
      <x:c r="G376" s="2" t="str">
        <x:f>IF(COUNTA(A376:F376)=0,"",COUNTIFS('App Data'!$L$2:$L$1001,SUBSTITUTE(SUBSTITUTE(SUBSTITUTE(L376,"~","~~"),"*","~*"),"?","~?")))</x:f>
      </x:c>
      <x:c r="H376" s="2" t="str">
        <x:f>IF(COUNTA(A376:F376)=0,"",COUNTIFS('External Data'!$L$2:$L$1001,SUBSTITUTE(SUBSTITUTE(SUBSTITUTE(L376,"~","~~"),"*","~*"),"?","~?")))</x:f>
      </x:c>
      <x:c r="I376" s="13" t="str">
        <x:f>IF(OR(H376&lt;&gt;1,G376&lt;&gt;1),"",SUMIFS('External Data'!$E$2:$E$1001,'External Data'!$L$2:$L$1001,SUBSTITUTE(SUBSTITUTE(SUBSTITUTE(L376,"~","~~"),"*","~*"),"?","~?")))</x:f>
      </x:c>
      <x:c r="J376" s="13" t="str">
        <x:f>IF(OR(NOT(ISNUMBER(E376)),NOT(ISNUMBER(I376))),"",ROUND(E376-I376,2))</x:f>
      </x:c>
      <x:c r="K376" s="2" t="str">
        <x:f>IF(COUNTA(A376:F376)=0,"",IF(OR(A376="",B376="",C376="",D376="",NOT(ISNUMBER(E376))),"Missing / invalid input",IF(G376&gt;1,"Duplicate key in this source",IF(H376=0,"Missing in other source",IF(H376&gt;1,"Duplicate in other source",IF(SUMIFS('External Data'!$M$2:$M$1001,'External Data'!$L$2:$L$1001,SUBSTITUTE(SUBSTITUTE(SUBSTITUTE(L376,"~","~~"),"*","~*"),"?","~?"))&lt;&gt;1,"Other amount is invalid",IF(J376&lt;&gt;0,"Amount differs","Matched")))))))</x:f>
      </x:c>
      <x:c r="L376" t="str">
        <x:f>IF(COUNTA(A376:F376)=0,"",LEN(A376)&amp;":"&amp;A376&amp;LEN(B376)&amp;":"&amp;B376&amp;LEN(C376)&amp;":"&amp;C376&amp;LEN(D376)&amp;":"&amp;D376)</x:f>
      </x:c>
      <x:c r="M376" t="str">
        <x:f>IF(COUNTA(A376:F376)=0,"",IF(ISNUMBER(E376),1,0))</x:f>
      </x:c>
    </x:row>
    <x:row r="377">
      <x:c r="A377" s="11"/>
      <x:c r="B377" s="11"/>
      <x:c r="C377" s="11"/>
      <x:c r="D377" s="11"/>
      <x:c r="E377" s="12"/>
      <x:c r="F377" s="10"/>
      <x:c r="G377" s="2" t="str">
        <x:f>IF(COUNTA(A377:F377)=0,"",COUNTIFS('App Data'!$L$2:$L$1001,SUBSTITUTE(SUBSTITUTE(SUBSTITUTE(L377,"~","~~"),"*","~*"),"?","~?")))</x:f>
      </x:c>
      <x:c r="H377" s="2" t="str">
        <x:f>IF(COUNTA(A377:F377)=0,"",COUNTIFS('External Data'!$L$2:$L$1001,SUBSTITUTE(SUBSTITUTE(SUBSTITUTE(L377,"~","~~"),"*","~*"),"?","~?")))</x:f>
      </x:c>
      <x:c r="I377" s="13" t="str">
        <x:f>IF(OR(H377&lt;&gt;1,G377&lt;&gt;1),"",SUMIFS('External Data'!$E$2:$E$1001,'External Data'!$L$2:$L$1001,SUBSTITUTE(SUBSTITUTE(SUBSTITUTE(L377,"~","~~"),"*","~*"),"?","~?")))</x:f>
      </x:c>
      <x:c r="J377" s="13" t="str">
        <x:f>IF(OR(NOT(ISNUMBER(E377)),NOT(ISNUMBER(I377))),"",ROUND(E377-I377,2))</x:f>
      </x:c>
      <x:c r="K377" s="2" t="str">
        <x:f>IF(COUNTA(A377:F377)=0,"",IF(OR(A377="",B377="",C377="",D377="",NOT(ISNUMBER(E377))),"Missing / invalid input",IF(G377&gt;1,"Duplicate key in this source",IF(H377=0,"Missing in other source",IF(H377&gt;1,"Duplicate in other source",IF(SUMIFS('External Data'!$M$2:$M$1001,'External Data'!$L$2:$L$1001,SUBSTITUTE(SUBSTITUTE(SUBSTITUTE(L377,"~","~~"),"*","~*"),"?","~?"))&lt;&gt;1,"Other amount is invalid",IF(J377&lt;&gt;0,"Amount differs","Matched")))))))</x:f>
      </x:c>
      <x:c r="L377" t="str">
        <x:f>IF(COUNTA(A377:F377)=0,"",LEN(A377)&amp;":"&amp;A377&amp;LEN(B377)&amp;":"&amp;B377&amp;LEN(C377)&amp;":"&amp;C377&amp;LEN(D377)&amp;":"&amp;D377)</x:f>
      </x:c>
      <x:c r="M377" t="str">
        <x:f>IF(COUNTA(A377:F377)=0,"",IF(ISNUMBER(E377),1,0))</x:f>
      </x:c>
    </x:row>
    <x:row r="378">
      <x:c r="A378" s="11"/>
      <x:c r="B378" s="11"/>
      <x:c r="C378" s="11"/>
      <x:c r="D378" s="11"/>
      <x:c r="E378" s="12"/>
      <x:c r="F378" s="10"/>
      <x:c r="G378" s="2" t="str">
        <x:f>IF(COUNTA(A378:F378)=0,"",COUNTIFS('App Data'!$L$2:$L$1001,SUBSTITUTE(SUBSTITUTE(SUBSTITUTE(L378,"~","~~"),"*","~*"),"?","~?")))</x:f>
      </x:c>
      <x:c r="H378" s="2" t="str">
        <x:f>IF(COUNTA(A378:F378)=0,"",COUNTIFS('External Data'!$L$2:$L$1001,SUBSTITUTE(SUBSTITUTE(SUBSTITUTE(L378,"~","~~"),"*","~*"),"?","~?")))</x:f>
      </x:c>
      <x:c r="I378" s="13" t="str">
        <x:f>IF(OR(H378&lt;&gt;1,G378&lt;&gt;1),"",SUMIFS('External Data'!$E$2:$E$1001,'External Data'!$L$2:$L$1001,SUBSTITUTE(SUBSTITUTE(SUBSTITUTE(L378,"~","~~"),"*","~*"),"?","~?")))</x:f>
      </x:c>
      <x:c r="J378" s="13" t="str">
        <x:f>IF(OR(NOT(ISNUMBER(E378)),NOT(ISNUMBER(I378))),"",ROUND(E378-I378,2))</x:f>
      </x:c>
      <x:c r="K378" s="2" t="str">
        <x:f>IF(COUNTA(A378:F378)=0,"",IF(OR(A378="",B378="",C378="",D378="",NOT(ISNUMBER(E378))),"Missing / invalid input",IF(G378&gt;1,"Duplicate key in this source",IF(H378=0,"Missing in other source",IF(H378&gt;1,"Duplicate in other source",IF(SUMIFS('External Data'!$M$2:$M$1001,'External Data'!$L$2:$L$1001,SUBSTITUTE(SUBSTITUTE(SUBSTITUTE(L378,"~","~~"),"*","~*"),"?","~?"))&lt;&gt;1,"Other amount is invalid",IF(J378&lt;&gt;0,"Amount differs","Matched")))))))</x:f>
      </x:c>
      <x:c r="L378" t="str">
        <x:f>IF(COUNTA(A378:F378)=0,"",LEN(A378)&amp;":"&amp;A378&amp;LEN(B378)&amp;":"&amp;B378&amp;LEN(C378)&amp;":"&amp;C378&amp;LEN(D378)&amp;":"&amp;D378)</x:f>
      </x:c>
      <x:c r="M378" t="str">
        <x:f>IF(COUNTA(A378:F378)=0,"",IF(ISNUMBER(E378),1,0))</x:f>
      </x:c>
    </x:row>
    <x:row r="379">
      <x:c r="A379" s="11"/>
      <x:c r="B379" s="11"/>
      <x:c r="C379" s="11"/>
      <x:c r="D379" s="11"/>
      <x:c r="E379" s="12"/>
      <x:c r="F379" s="10"/>
      <x:c r="G379" s="2" t="str">
        <x:f>IF(COUNTA(A379:F379)=0,"",COUNTIFS('App Data'!$L$2:$L$1001,SUBSTITUTE(SUBSTITUTE(SUBSTITUTE(L379,"~","~~"),"*","~*"),"?","~?")))</x:f>
      </x:c>
      <x:c r="H379" s="2" t="str">
        <x:f>IF(COUNTA(A379:F379)=0,"",COUNTIFS('External Data'!$L$2:$L$1001,SUBSTITUTE(SUBSTITUTE(SUBSTITUTE(L379,"~","~~"),"*","~*"),"?","~?")))</x:f>
      </x:c>
      <x:c r="I379" s="13" t="str">
        <x:f>IF(OR(H379&lt;&gt;1,G379&lt;&gt;1),"",SUMIFS('External Data'!$E$2:$E$1001,'External Data'!$L$2:$L$1001,SUBSTITUTE(SUBSTITUTE(SUBSTITUTE(L379,"~","~~"),"*","~*"),"?","~?")))</x:f>
      </x:c>
      <x:c r="J379" s="13" t="str">
        <x:f>IF(OR(NOT(ISNUMBER(E379)),NOT(ISNUMBER(I379))),"",ROUND(E379-I379,2))</x:f>
      </x:c>
      <x:c r="K379" s="2" t="str">
        <x:f>IF(COUNTA(A379:F379)=0,"",IF(OR(A379="",B379="",C379="",D379="",NOT(ISNUMBER(E379))),"Missing / invalid input",IF(G379&gt;1,"Duplicate key in this source",IF(H379=0,"Missing in other source",IF(H379&gt;1,"Duplicate in other source",IF(SUMIFS('External Data'!$M$2:$M$1001,'External Data'!$L$2:$L$1001,SUBSTITUTE(SUBSTITUTE(SUBSTITUTE(L379,"~","~~"),"*","~*"),"?","~?"))&lt;&gt;1,"Other amount is invalid",IF(J379&lt;&gt;0,"Amount differs","Matched")))))))</x:f>
      </x:c>
      <x:c r="L379" t="str">
        <x:f>IF(COUNTA(A379:F379)=0,"",LEN(A379)&amp;":"&amp;A379&amp;LEN(B379)&amp;":"&amp;B379&amp;LEN(C379)&amp;":"&amp;C379&amp;LEN(D379)&amp;":"&amp;D379)</x:f>
      </x:c>
      <x:c r="M379" t="str">
        <x:f>IF(COUNTA(A379:F379)=0,"",IF(ISNUMBER(E379),1,0))</x:f>
      </x:c>
    </x:row>
    <x:row r="380">
      <x:c r="A380" s="11"/>
      <x:c r="B380" s="11"/>
      <x:c r="C380" s="11"/>
      <x:c r="D380" s="11"/>
      <x:c r="E380" s="12"/>
      <x:c r="F380" s="10"/>
      <x:c r="G380" s="2" t="str">
        <x:f>IF(COUNTA(A380:F380)=0,"",COUNTIFS('App Data'!$L$2:$L$1001,SUBSTITUTE(SUBSTITUTE(SUBSTITUTE(L380,"~","~~"),"*","~*"),"?","~?")))</x:f>
      </x:c>
      <x:c r="H380" s="2" t="str">
        <x:f>IF(COUNTA(A380:F380)=0,"",COUNTIFS('External Data'!$L$2:$L$1001,SUBSTITUTE(SUBSTITUTE(SUBSTITUTE(L380,"~","~~"),"*","~*"),"?","~?")))</x:f>
      </x:c>
      <x:c r="I380" s="13" t="str">
        <x:f>IF(OR(H380&lt;&gt;1,G380&lt;&gt;1),"",SUMIFS('External Data'!$E$2:$E$1001,'External Data'!$L$2:$L$1001,SUBSTITUTE(SUBSTITUTE(SUBSTITUTE(L380,"~","~~"),"*","~*"),"?","~?")))</x:f>
      </x:c>
      <x:c r="J380" s="13" t="str">
        <x:f>IF(OR(NOT(ISNUMBER(E380)),NOT(ISNUMBER(I380))),"",ROUND(E380-I380,2))</x:f>
      </x:c>
      <x:c r="K380" s="2" t="str">
        <x:f>IF(COUNTA(A380:F380)=0,"",IF(OR(A380="",B380="",C380="",D380="",NOT(ISNUMBER(E380))),"Missing / invalid input",IF(G380&gt;1,"Duplicate key in this source",IF(H380=0,"Missing in other source",IF(H380&gt;1,"Duplicate in other source",IF(SUMIFS('External Data'!$M$2:$M$1001,'External Data'!$L$2:$L$1001,SUBSTITUTE(SUBSTITUTE(SUBSTITUTE(L380,"~","~~"),"*","~*"),"?","~?"))&lt;&gt;1,"Other amount is invalid",IF(J380&lt;&gt;0,"Amount differs","Matched")))))))</x:f>
      </x:c>
      <x:c r="L380" t="str">
        <x:f>IF(COUNTA(A380:F380)=0,"",LEN(A380)&amp;":"&amp;A380&amp;LEN(B380)&amp;":"&amp;B380&amp;LEN(C380)&amp;":"&amp;C380&amp;LEN(D380)&amp;":"&amp;D380)</x:f>
      </x:c>
      <x:c r="M380" t="str">
        <x:f>IF(COUNTA(A380:F380)=0,"",IF(ISNUMBER(E380),1,0))</x:f>
      </x:c>
    </x:row>
    <x:row r="381">
      <x:c r="A381" s="11"/>
      <x:c r="B381" s="11"/>
      <x:c r="C381" s="11"/>
      <x:c r="D381" s="11"/>
      <x:c r="E381" s="12"/>
      <x:c r="F381" s="10"/>
      <x:c r="G381" s="2" t="str">
        <x:f>IF(COUNTA(A381:F381)=0,"",COUNTIFS('App Data'!$L$2:$L$1001,SUBSTITUTE(SUBSTITUTE(SUBSTITUTE(L381,"~","~~"),"*","~*"),"?","~?")))</x:f>
      </x:c>
      <x:c r="H381" s="2" t="str">
        <x:f>IF(COUNTA(A381:F381)=0,"",COUNTIFS('External Data'!$L$2:$L$1001,SUBSTITUTE(SUBSTITUTE(SUBSTITUTE(L381,"~","~~"),"*","~*"),"?","~?")))</x:f>
      </x:c>
      <x:c r="I381" s="13" t="str">
        <x:f>IF(OR(H381&lt;&gt;1,G381&lt;&gt;1),"",SUMIFS('External Data'!$E$2:$E$1001,'External Data'!$L$2:$L$1001,SUBSTITUTE(SUBSTITUTE(SUBSTITUTE(L381,"~","~~"),"*","~*"),"?","~?")))</x:f>
      </x:c>
      <x:c r="J381" s="13" t="str">
        <x:f>IF(OR(NOT(ISNUMBER(E381)),NOT(ISNUMBER(I381))),"",ROUND(E381-I381,2))</x:f>
      </x:c>
      <x:c r="K381" s="2" t="str">
        <x:f>IF(COUNTA(A381:F381)=0,"",IF(OR(A381="",B381="",C381="",D381="",NOT(ISNUMBER(E381))),"Missing / invalid input",IF(G381&gt;1,"Duplicate key in this source",IF(H381=0,"Missing in other source",IF(H381&gt;1,"Duplicate in other source",IF(SUMIFS('External Data'!$M$2:$M$1001,'External Data'!$L$2:$L$1001,SUBSTITUTE(SUBSTITUTE(SUBSTITUTE(L381,"~","~~"),"*","~*"),"?","~?"))&lt;&gt;1,"Other amount is invalid",IF(J381&lt;&gt;0,"Amount differs","Matched")))))))</x:f>
      </x:c>
      <x:c r="L381" t="str">
        <x:f>IF(COUNTA(A381:F381)=0,"",LEN(A381)&amp;":"&amp;A381&amp;LEN(B381)&amp;":"&amp;B381&amp;LEN(C381)&amp;":"&amp;C381&amp;LEN(D381)&amp;":"&amp;D381)</x:f>
      </x:c>
      <x:c r="M381" t="str">
        <x:f>IF(COUNTA(A381:F381)=0,"",IF(ISNUMBER(E381),1,0))</x:f>
      </x:c>
    </x:row>
    <x:row r="382">
      <x:c r="A382" s="11"/>
      <x:c r="B382" s="11"/>
      <x:c r="C382" s="11"/>
      <x:c r="D382" s="11"/>
      <x:c r="E382" s="12"/>
      <x:c r="F382" s="10"/>
      <x:c r="G382" s="2" t="str">
        <x:f>IF(COUNTA(A382:F382)=0,"",COUNTIFS('App Data'!$L$2:$L$1001,SUBSTITUTE(SUBSTITUTE(SUBSTITUTE(L382,"~","~~"),"*","~*"),"?","~?")))</x:f>
      </x:c>
      <x:c r="H382" s="2" t="str">
        <x:f>IF(COUNTA(A382:F382)=0,"",COUNTIFS('External Data'!$L$2:$L$1001,SUBSTITUTE(SUBSTITUTE(SUBSTITUTE(L382,"~","~~"),"*","~*"),"?","~?")))</x:f>
      </x:c>
      <x:c r="I382" s="13" t="str">
        <x:f>IF(OR(H382&lt;&gt;1,G382&lt;&gt;1),"",SUMIFS('External Data'!$E$2:$E$1001,'External Data'!$L$2:$L$1001,SUBSTITUTE(SUBSTITUTE(SUBSTITUTE(L382,"~","~~"),"*","~*"),"?","~?")))</x:f>
      </x:c>
      <x:c r="J382" s="13" t="str">
        <x:f>IF(OR(NOT(ISNUMBER(E382)),NOT(ISNUMBER(I382))),"",ROUND(E382-I382,2))</x:f>
      </x:c>
      <x:c r="K382" s="2" t="str">
        <x:f>IF(COUNTA(A382:F382)=0,"",IF(OR(A382="",B382="",C382="",D382="",NOT(ISNUMBER(E382))),"Missing / invalid input",IF(G382&gt;1,"Duplicate key in this source",IF(H382=0,"Missing in other source",IF(H382&gt;1,"Duplicate in other source",IF(SUMIFS('External Data'!$M$2:$M$1001,'External Data'!$L$2:$L$1001,SUBSTITUTE(SUBSTITUTE(SUBSTITUTE(L382,"~","~~"),"*","~*"),"?","~?"))&lt;&gt;1,"Other amount is invalid",IF(J382&lt;&gt;0,"Amount differs","Matched")))))))</x:f>
      </x:c>
      <x:c r="L382" t="str">
        <x:f>IF(COUNTA(A382:F382)=0,"",LEN(A382)&amp;":"&amp;A382&amp;LEN(B382)&amp;":"&amp;B382&amp;LEN(C382)&amp;":"&amp;C382&amp;LEN(D382)&amp;":"&amp;D382)</x:f>
      </x:c>
      <x:c r="M382" t="str">
        <x:f>IF(COUNTA(A382:F382)=0,"",IF(ISNUMBER(E382),1,0))</x:f>
      </x:c>
    </x:row>
    <x:row r="383">
      <x:c r="A383" s="11"/>
      <x:c r="B383" s="11"/>
      <x:c r="C383" s="11"/>
      <x:c r="D383" s="11"/>
      <x:c r="E383" s="12"/>
      <x:c r="F383" s="10"/>
      <x:c r="G383" s="2" t="str">
        <x:f>IF(COUNTA(A383:F383)=0,"",COUNTIFS('App Data'!$L$2:$L$1001,SUBSTITUTE(SUBSTITUTE(SUBSTITUTE(L383,"~","~~"),"*","~*"),"?","~?")))</x:f>
      </x:c>
      <x:c r="H383" s="2" t="str">
        <x:f>IF(COUNTA(A383:F383)=0,"",COUNTIFS('External Data'!$L$2:$L$1001,SUBSTITUTE(SUBSTITUTE(SUBSTITUTE(L383,"~","~~"),"*","~*"),"?","~?")))</x:f>
      </x:c>
      <x:c r="I383" s="13" t="str">
        <x:f>IF(OR(H383&lt;&gt;1,G383&lt;&gt;1),"",SUMIFS('External Data'!$E$2:$E$1001,'External Data'!$L$2:$L$1001,SUBSTITUTE(SUBSTITUTE(SUBSTITUTE(L383,"~","~~"),"*","~*"),"?","~?")))</x:f>
      </x:c>
      <x:c r="J383" s="13" t="str">
        <x:f>IF(OR(NOT(ISNUMBER(E383)),NOT(ISNUMBER(I383))),"",ROUND(E383-I383,2))</x:f>
      </x:c>
      <x:c r="K383" s="2" t="str">
        <x:f>IF(COUNTA(A383:F383)=0,"",IF(OR(A383="",B383="",C383="",D383="",NOT(ISNUMBER(E383))),"Missing / invalid input",IF(G383&gt;1,"Duplicate key in this source",IF(H383=0,"Missing in other source",IF(H383&gt;1,"Duplicate in other source",IF(SUMIFS('External Data'!$M$2:$M$1001,'External Data'!$L$2:$L$1001,SUBSTITUTE(SUBSTITUTE(SUBSTITUTE(L383,"~","~~"),"*","~*"),"?","~?"))&lt;&gt;1,"Other amount is invalid",IF(J383&lt;&gt;0,"Amount differs","Matched")))))))</x:f>
      </x:c>
      <x:c r="L383" t="str">
        <x:f>IF(COUNTA(A383:F383)=0,"",LEN(A383)&amp;":"&amp;A383&amp;LEN(B383)&amp;":"&amp;B383&amp;LEN(C383)&amp;":"&amp;C383&amp;LEN(D383)&amp;":"&amp;D383)</x:f>
      </x:c>
      <x:c r="M383" t="str">
        <x:f>IF(COUNTA(A383:F383)=0,"",IF(ISNUMBER(E383),1,0))</x:f>
      </x:c>
    </x:row>
    <x:row r="384">
      <x:c r="A384" s="11"/>
      <x:c r="B384" s="11"/>
      <x:c r="C384" s="11"/>
      <x:c r="D384" s="11"/>
      <x:c r="E384" s="12"/>
      <x:c r="F384" s="10"/>
      <x:c r="G384" s="2" t="str">
        <x:f>IF(COUNTA(A384:F384)=0,"",COUNTIFS('App Data'!$L$2:$L$1001,SUBSTITUTE(SUBSTITUTE(SUBSTITUTE(L384,"~","~~"),"*","~*"),"?","~?")))</x:f>
      </x:c>
      <x:c r="H384" s="2" t="str">
        <x:f>IF(COUNTA(A384:F384)=0,"",COUNTIFS('External Data'!$L$2:$L$1001,SUBSTITUTE(SUBSTITUTE(SUBSTITUTE(L384,"~","~~"),"*","~*"),"?","~?")))</x:f>
      </x:c>
      <x:c r="I384" s="13" t="str">
        <x:f>IF(OR(H384&lt;&gt;1,G384&lt;&gt;1),"",SUMIFS('External Data'!$E$2:$E$1001,'External Data'!$L$2:$L$1001,SUBSTITUTE(SUBSTITUTE(SUBSTITUTE(L384,"~","~~"),"*","~*"),"?","~?")))</x:f>
      </x:c>
      <x:c r="J384" s="13" t="str">
        <x:f>IF(OR(NOT(ISNUMBER(E384)),NOT(ISNUMBER(I384))),"",ROUND(E384-I384,2))</x:f>
      </x:c>
      <x:c r="K384" s="2" t="str">
        <x:f>IF(COUNTA(A384:F384)=0,"",IF(OR(A384="",B384="",C384="",D384="",NOT(ISNUMBER(E384))),"Missing / invalid input",IF(G384&gt;1,"Duplicate key in this source",IF(H384=0,"Missing in other source",IF(H384&gt;1,"Duplicate in other source",IF(SUMIFS('External Data'!$M$2:$M$1001,'External Data'!$L$2:$L$1001,SUBSTITUTE(SUBSTITUTE(SUBSTITUTE(L384,"~","~~"),"*","~*"),"?","~?"))&lt;&gt;1,"Other amount is invalid",IF(J384&lt;&gt;0,"Amount differs","Matched")))))))</x:f>
      </x:c>
      <x:c r="L384" t="str">
        <x:f>IF(COUNTA(A384:F384)=0,"",LEN(A384)&amp;":"&amp;A384&amp;LEN(B384)&amp;":"&amp;B384&amp;LEN(C384)&amp;":"&amp;C384&amp;LEN(D384)&amp;":"&amp;D384)</x:f>
      </x:c>
      <x:c r="M384" t="str">
        <x:f>IF(COUNTA(A384:F384)=0,"",IF(ISNUMBER(E384),1,0))</x:f>
      </x:c>
    </x:row>
    <x:row r="385">
      <x:c r="A385" s="11"/>
      <x:c r="B385" s="11"/>
      <x:c r="C385" s="11"/>
      <x:c r="D385" s="11"/>
      <x:c r="E385" s="12"/>
      <x:c r="F385" s="10"/>
      <x:c r="G385" s="2" t="str">
        <x:f>IF(COUNTA(A385:F385)=0,"",COUNTIFS('App Data'!$L$2:$L$1001,SUBSTITUTE(SUBSTITUTE(SUBSTITUTE(L385,"~","~~"),"*","~*"),"?","~?")))</x:f>
      </x:c>
      <x:c r="H385" s="2" t="str">
        <x:f>IF(COUNTA(A385:F385)=0,"",COUNTIFS('External Data'!$L$2:$L$1001,SUBSTITUTE(SUBSTITUTE(SUBSTITUTE(L385,"~","~~"),"*","~*"),"?","~?")))</x:f>
      </x:c>
      <x:c r="I385" s="13" t="str">
        <x:f>IF(OR(H385&lt;&gt;1,G385&lt;&gt;1),"",SUMIFS('External Data'!$E$2:$E$1001,'External Data'!$L$2:$L$1001,SUBSTITUTE(SUBSTITUTE(SUBSTITUTE(L385,"~","~~"),"*","~*"),"?","~?")))</x:f>
      </x:c>
      <x:c r="J385" s="13" t="str">
        <x:f>IF(OR(NOT(ISNUMBER(E385)),NOT(ISNUMBER(I385))),"",ROUND(E385-I385,2))</x:f>
      </x:c>
      <x:c r="K385" s="2" t="str">
        <x:f>IF(COUNTA(A385:F385)=0,"",IF(OR(A385="",B385="",C385="",D385="",NOT(ISNUMBER(E385))),"Missing / invalid input",IF(G385&gt;1,"Duplicate key in this source",IF(H385=0,"Missing in other source",IF(H385&gt;1,"Duplicate in other source",IF(SUMIFS('External Data'!$M$2:$M$1001,'External Data'!$L$2:$L$1001,SUBSTITUTE(SUBSTITUTE(SUBSTITUTE(L385,"~","~~"),"*","~*"),"?","~?"))&lt;&gt;1,"Other amount is invalid",IF(J385&lt;&gt;0,"Amount differs","Matched")))))))</x:f>
      </x:c>
      <x:c r="L385" t="str">
        <x:f>IF(COUNTA(A385:F385)=0,"",LEN(A385)&amp;":"&amp;A385&amp;LEN(B385)&amp;":"&amp;B385&amp;LEN(C385)&amp;":"&amp;C385&amp;LEN(D385)&amp;":"&amp;D385)</x:f>
      </x:c>
      <x:c r="M385" t="str">
        <x:f>IF(COUNTA(A385:F385)=0,"",IF(ISNUMBER(E385),1,0))</x:f>
      </x:c>
    </x:row>
    <x:row r="386">
      <x:c r="A386" s="11"/>
      <x:c r="B386" s="11"/>
      <x:c r="C386" s="11"/>
      <x:c r="D386" s="11"/>
      <x:c r="E386" s="12"/>
      <x:c r="F386" s="10"/>
      <x:c r="G386" s="2" t="str">
        <x:f>IF(COUNTA(A386:F386)=0,"",COUNTIFS('App Data'!$L$2:$L$1001,SUBSTITUTE(SUBSTITUTE(SUBSTITUTE(L386,"~","~~"),"*","~*"),"?","~?")))</x:f>
      </x:c>
      <x:c r="H386" s="2" t="str">
        <x:f>IF(COUNTA(A386:F386)=0,"",COUNTIFS('External Data'!$L$2:$L$1001,SUBSTITUTE(SUBSTITUTE(SUBSTITUTE(L386,"~","~~"),"*","~*"),"?","~?")))</x:f>
      </x:c>
      <x:c r="I386" s="13" t="str">
        <x:f>IF(OR(H386&lt;&gt;1,G386&lt;&gt;1),"",SUMIFS('External Data'!$E$2:$E$1001,'External Data'!$L$2:$L$1001,SUBSTITUTE(SUBSTITUTE(SUBSTITUTE(L386,"~","~~"),"*","~*"),"?","~?")))</x:f>
      </x:c>
      <x:c r="J386" s="13" t="str">
        <x:f>IF(OR(NOT(ISNUMBER(E386)),NOT(ISNUMBER(I386))),"",ROUND(E386-I386,2))</x:f>
      </x:c>
      <x:c r="K386" s="2" t="str">
        <x:f>IF(COUNTA(A386:F386)=0,"",IF(OR(A386="",B386="",C386="",D386="",NOT(ISNUMBER(E386))),"Missing / invalid input",IF(G386&gt;1,"Duplicate key in this source",IF(H386=0,"Missing in other source",IF(H386&gt;1,"Duplicate in other source",IF(SUMIFS('External Data'!$M$2:$M$1001,'External Data'!$L$2:$L$1001,SUBSTITUTE(SUBSTITUTE(SUBSTITUTE(L386,"~","~~"),"*","~*"),"?","~?"))&lt;&gt;1,"Other amount is invalid",IF(J386&lt;&gt;0,"Amount differs","Matched")))))))</x:f>
      </x:c>
      <x:c r="L386" t="str">
        <x:f>IF(COUNTA(A386:F386)=0,"",LEN(A386)&amp;":"&amp;A386&amp;LEN(B386)&amp;":"&amp;B386&amp;LEN(C386)&amp;":"&amp;C386&amp;LEN(D386)&amp;":"&amp;D386)</x:f>
      </x:c>
      <x:c r="M386" t="str">
        <x:f>IF(COUNTA(A386:F386)=0,"",IF(ISNUMBER(E386),1,0))</x:f>
      </x:c>
    </x:row>
    <x:row r="387">
      <x:c r="A387" s="11"/>
      <x:c r="B387" s="11"/>
      <x:c r="C387" s="11"/>
      <x:c r="D387" s="11"/>
      <x:c r="E387" s="12"/>
      <x:c r="F387" s="10"/>
      <x:c r="G387" s="2" t="str">
        <x:f>IF(COUNTA(A387:F387)=0,"",COUNTIFS('App Data'!$L$2:$L$1001,SUBSTITUTE(SUBSTITUTE(SUBSTITUTE(L387,"~","~~"),"*","~*"),"?","~?")))</x:f>
      </x:c>
      <x:c r="H387" s="2" t="str">
        <x:f>IF(COUNTA(A387:F387)=0,"",COUNTIFS('External Data'!$L$2:$L$1001,SUBSTITUTE(SUBSTITUTE(SUBSTITUTE(L387,"~","~~"),"*","~*"),"?","~?")))</x:f>
      </x:c>
      <x:c r="I387" s="13" t="str">
        <x:f>IF(OR(H387&lt;&gt;1,G387&lt;&gt;1),"",SUMIFS('External Data'!$E$2:$E$1001,'External Data'!$L$2:$L$1001,SUBSTITUTE(SUBSTITUTE(SUBSTITUTE(L387,"~","~~"),"*","~*"),"?","~?")))</x:f>
      </x:c>
      <x:c r="J387" s="13" t="str">
        <x:f>IF(OR(NOT(ISNUMBER(E387)),NOT(ISNUMBER(I387))),"",ROUND(E387-I387,2))</x:f>
      </x:c>
      <x:c r="K387" s="2" t="str">
        <x:f>IF(COUNTA(A387:F387)=0,"",IF(OR(A387="",B387="",C387="",D387="",NOT(ISNUMBER(E387))),"Missing / invalid input",IF(G387&gt;1,"Duplicate key in this source",IF(H387=0,"Missing in other source",IF(H387&gt;1,"Duplicate in other source",IF(SUMIFS('External Data'!$M$2:$M$1001,'External Data'!$L$2:$L$1001,SUBSTITUTE(SUBSTITUTE(SUBSTITUTE(L387,"~","~~"),"*","~*"),"?","~?"))&lt;&gt;1,"Other amount is invalid",IF(J387&lt;&gt;0,"Amount differs","Matched")))))))</x:f>
      </x:c>
      <x:c r="L387" t="str">
        <x:f>IF(COUNTA(A387:F387)=0,"",LEN(A387)&amp;":"&amp;A387&amp;LEN(B387)&amp;":"&amp;B387&amp;LEN(C387)&amp;":"&amp;C387&amp;LEN(D387)&amp;":"&amp;D387)</x:f>
      </x:c>
      <x:c r="M387" t="str">
        <x:f>IF(COUNTA(A387:F387)=0,"",IF(ISNUMBER(E387),1,0))</x:f>
      </x:c>
    </x:row>
    <x:row r="388">
      <x:c r="A388" s="11"/>
      <x:c r="B388" s="11"/>
      <x:c r="C388" s="11"/>
      <x:c r="D388" s="11"/>
      <x:c r="E388" s="12"/>
      <x:c r="F388" s="10"/>
      <x:c r="G388" s="2" t="str">
        <x:f>IF(COUNTA(A388:F388)=0,"",COUNTIFS('App Data'!$L$2:$L$1001,SUBSTITUTE(SUBSTITUTE(SUBSTITUTE(L388,"~","~~"),"*","~*"),"?","~?")))</x:f>
      </x:c>
      <x:c r="H388" s="2" t="str">
        <x:f>IF(COUNTA(A388:F388)=0,"",COUNTIFS('External Data'!$L$2:$L$1001,SUBSTITUTE(SUBSTITUTE(SUBSTITUTE(L388,"~","~~"),"*","~*"),"?","~?")))</x:f>
      </x:c>
      <x:c r="I388" s="13" t="str">
        <x:f>IF(OR(H388&lt;&gt;1,G388&lt;&gt;1),"",SUMIFS('External Data'!$E$2:$E$1001,'External Data'!$L$2:$L$1001,SUBSTITUTE(SUBSTITUTE(SUBSTITUTE(L388,"~","~~"),"*","~*"),"?","~?")))</x:f>
      </x:c>
      <x:c r="J388" s="13" t="str">
        <x:f>IF(OR(NOT(ISNUMBER(E388)),NOT(ISNUMBER(I388))),"",ROUND(E388-I388,2))</x:f>
      </x:c>
      <x:c r="K388" s="2" t="str">
        <x:f>IF(COUNTA(A388:F388)=0,"",IF(OR(A388="",B388="",C388="",D388="",NOT(ISNUMBER(E388))),"Missing / invalid input",IF(G388&gt;1,"Duplicate key in this source",IF(H388=0,"Missing in other source",IF(H388&gt;1,"Duplicate in other source",IF(SUMIFS('External Data'!$M$2:$M$1001,'External Data'!$L$2:$L$1001,SUBSTITUTE(SUBSTITUTE(SUBSTITUTE(L388,"~","~~"),"*","~*"),"?","~?"))&lt;&gt;1,"Other amount is invalid",IF(J388&lt;&gt;0,"Amount differs","Matched")))))))</x:f>
      </x:c>
      <x:c r="L388" t="str">
        <x:f>IF(COUNTA(A388:F388)=0,"",LEN(A388)&amp;":"&amp;A388&amp;LEN(B388)&amp;":"&amp;B388&amp;LEN(C388)&amp;":"&amp;C388&amp;LEN(D388)&amp;":"&amp;D388)</x:f>
      </x:c>
      <x:c r="M388" t="str">
        <x:f>IF(COUNTA(A388:F388)=0,"",IF(ISNUMBER(E388),1,0))</x:f>
      </x:c>
    </x:row>
    <x:row r="389">
      <x:c r="A389" s="11"/>
      <x:c r="B389" s="11"/>
      <x:c r="C389" s="11"/>
      <x:c r="D389" s="11"/>
      <x:c r="E389" s="12"/>
      <x:c r="F389" s="10"/>
      <x:c r="G389" s="2" t="str">
        <x:f>IF(COUNTA(A389:F389)=0,"",COUNTIFS('App Data'!$L$2:$L$1001,SUBSTITUTE(SUBSTITUTE(SUBSTITUTE(L389,"~","~~"),"*","~*"),"?","~?")))</x:f>
      </x:c>
      <x:c r="H389" s="2" t="str">
        <x:f>IF(COUNTA(A389:F389)=0,"",COUNTIFS('External Data'!$L$2:$L$1001,SUBSTITUTE(SUBSTITUTE(SUBSTITUTE(L389,"~","~~"),"*","~*"),"?","~?")))</x:f>
      </x:c>
      <x:c r="I389" s="13" t="str">
        <x:f>IF(OR(H389&lt;&gt;1,G389&lt;&gt;1),"",SUMIFS('External Data'!$E$2:$E$1001,'External Data'!$L$2:$L$1001,SUBSTITUTE(SUBSTITUTE(SUBSTITUTE(L389,"~","~~"),"*","~*"),"?","~?")))</x:f>
      </x:c>
      <x:c r="J389" s="13" t="str">
        <x:f>IF(OR(NOT(ISNUMBER(E389)),NOT(ISNUMBER(I389))),"",ROUND(E389-I389,2))</x:f>
      </x:c>
      <x:c r="K389" s="2" t="str">
        <x:f>IF(COUNTA(A389:F389)=0,"",IF(OR(A389="",B389="",C389="",D389="",NOT(ISNUMBER(E389))),"Missing / invalid input",IF(G389&gt;1,"Duplicate key in this source",IF(H389=0,"Missing in other source",IF(H389&gt;1,"Duplicate in other source",IF(SUMIFS('External Data'!$M$2:$M$1001,'External Data'!$L$2:$L$1001,SUBSTITUTE(SUBSTITUTE(SUBSTITUTE(L389,"~","~~"),"*","~*"),"?","~?"))&lt;&gt;1,"Other amount is invalid",IF(J389&lt;&gt;0,"Amount differs","Matched")))))))</x:f>
      </x:c>
      <x:c r="L389" t="str">
        <x:f>IF(COUNTA(A389:F389)=0,"",LEN(A389)&amp;":"&amp;A389&amp;LEN(B389)&amp;":"&amp;B389&amp;LEN(C389)&amp;":"&amp;C389&amp;LEN(D389)&amp;":"&amp;D389)</x:f>
      </x:c>
      <x:c r="M389" t="str">
        <x:f>IF(COUNTA(A389:F389)=0,"",IF(ISNUMBER(E389),1,0))</x:f>
      </x:c>
    </x:row>
    <x:row r="390">
      <x:c r="A390" s="11"/>
      <x:c r="B390" s="11"/>
      <x:c r="C390" s="11"/>
      <x:c r="D390" s="11"/>
      <x:c r="E390" s="12"/>
      <x:c r="F390" s="10"/>
      <x:c r="G390" s="2" t="str">
        <x:f>IF(COUNTA(A390:F390)=0,"",COUNTIFS('App Data'!$L$2:$L$1001,SUBSTITUTE(SUBSTITUTE(SUBSTITUTE(L390,"~","~~"),"*","~*"),"?","~?")))</x:f>
      </x:c>
      <x:c r="H390" s="2" t="str">
        <x:f>IF(COUNTA(A390:F390)=0,"",COUNTIFS('External Data'!$L$2:$L$1001,SUBSTITUTE(SUBSTITUTE(SUBSTITUTE(L390,"~","~~"),"*","~*"),"?","~?")))</x:f>
      </x:c>
      <x:c r="I390" s="13" t="str">
        <x:f>IF(OR(H390&lt;&gt;1,G390&lt;&gt;1),"",SUMIFS('External Data'!$E$2:$E$1001,'External Data'!$L$2:$L$1001,SUBSTITUTE(SUBSTITUTE(SUBSTITUTE(L390,"~","~~"),"*","~*"),"?","~?")))</x:f>
      </x:c>
      <x:c r="J390" s="13" t="str">
        <x:f>IF(OR(NOT(ISNUMBER(E390)),NOT(ISNUMBER(I390))),"",ROUND(E390-I390,2))</x:f>
      </x:c>
      <x:c r="K390" s="2" t="str">
        <x:f>IF(COUNTA(A390:F390)=0,"",IF(OR(A390="",B390="",C390="",D390="",NOT(ISNUMBER(E390))),"Missing / invalid input",IF(G390&gt;1,"Duplicate key in this source",IF(H390=0,"Missing in other source",IF(H390&gt;1,"Duplicate in other source",IF(SUMIFS('External Data'!$M$2:$M$1001,'External Data'!$L$2:$L$1001,SUBSTITUTE(SUBSTITUTE(SUBSTITUTE(L390,"~","~~"),"*","~*"),"?","~?"))&lt;&gt;1,"Other amount is invalid",IF(J390&lt;&gt;0,"Amount differs","Matched")))))))</x:f>
      </x:c>
      <x:c r="L390" t="str">
        <x:f>IF(COUNTA(A390:F390)=0,"",LEN(A390)&amp;":"&amp;A390&amp;LEN(B390)&amp;":"&amp;B390&amp;LEN(C390)&amp;":"&amp;C390&amp;LEN(D390)&amp;":"&amp;D390)</x:f>
      </x:c>
      <x:c r="M390" t="str">
        <x:f>IF(COUNTA(A390:F390)=0,"",IF(ISNUMBER(E390),1,0))</x:f>
      </x:c>
    </x:row>
    <x:row r="391">
      <x:c r="A391" s="11"/>
      <x:c r="B391" s="11"/>
      <x:c r="C391" s="11"/>
      <x:c r="D391" s="11"/>
      <x:c r="E391" s="12"/>
      <x:c r="F391" s="10"/>
      <x:c r="G391" s="2" t="str">
        <x:f>IF(COUNTA(A391:F391)=0,"",COUNTIFS('App Data'!$L$2:$L$1001,SUBSTITUTE(SUBSTITUTE(SUBSTITUTE(L391,"~","~~"),"*","~*"),"?","~?")))</x:f>
      </x:c>
      <x:c r="H391" s="2" t="str">
        <x:f>IF(COUNTA(A391:F391)=0,"",COUNTIFS('External Data'!$L$2:$L$1001,SUBSTITUTE(SUBSTITUTE(SUBSTITUTE(L391,"~","~~"),"*","~*"),"?","~?")))</x:f>
      </x:c>
      <x:c r="I391" s="13" t="str">
        <x:f>IF(OR(H391&lt;&gt;1,G391&lt;&gt;1),"",SUMIFS('External Data'!$E$2:$E$1001,'External Data'!$L$2:$L$1001,SUBSTITUTE(SUBSTITUTE(SUBSTITUTE(L391,"~","~~"),"*","~*"),"?","~?")))</x:f>
      </x:c>
      <x:c r="J391" s="13" t="str">
        <x:f>IF(OR(NOT(ISNUMBER(E391)),NOT(ISNUMBER(I391))),"",ROUND(E391-I391,2))</x:f>
      </x:c>
      <x:c r="K391" s="2" t="str">
        <x:f>IF(COUNTA(A391:F391)=0,"",IF(OR(A391="",B391="",C391="",D391="",NOT(ISNUMBER(E391))),"Missing / invalid input",IF(G391&gt;1,"Duplicate key in this source",IF(H391=0,"Missing in other source",IF(H391&gt;1,"Duplicate in other source",IF(SUMIFS('External Data'!$M$2:$M$1001,'External Data'!$L$2:$L$1001,SUBSTITUTE(SUBSTITUTE(SUBSTITUTE(L391,"~","~~"),"*","~*"),"?","~?"))&lt;&gt;1,"Other amount is invalid",IF(J391&lt;&gt;0,"Amount differs","Matched")))))))</x:f>
      </x:c>
      <x:c r="L391" t="str">
        <x:f>IF(COUNTA(A391:F391)=0,"",LEN(A391)&amp;":"&amp;A391&amp;LEN(B391)&amp;":"&amp;B391&amp;LEN(C391)&amp;":"&amp;C391&amp;LEN(D391)&amp;":"&amp;D391)</x:f>
      </x:c>
      <x:c r="M391" t="str">
        <x:f>IF(COUNTA(A391:F391)=0,"",IF(ISNUMBER(E391),1,0))</x:f>
      </x:c>
    </x:row>
    <x:row r="392">
      <x:c r="A392" s="11"/>
      <x:c r="B392" s="11"/>
      <x:c r="C392" s="11"/>
      <x:c r="D392" s="11"/>
      <x:c r="E392" s="12"/>
      <x:c r="F392" s="10"/>
      <x:c r="G392" s="2" t="str">
        <x:f>IF(COUNTA(A392:F392)=0,"",COUNTIFS('App Data'!$L$2:$L$1001,SUBSTITUTE(SUBSTITUTE(SUBSTITUTE(L392,"~","~~"),"*","~*"),"?","~?")))</x:f>
      </x:c>
      <x:c r="H392" s="2" t="str">
        <x:f>IF(COUNTA(A392:F392)=0,"",COUNTIFS('External Data'!$L$2:$L$1001,SUBSTITUTE(SUBSTITUTE(SUBSTITUTE(L392,"~","~~"),"*","~*"),"?","~?")))</x:f>
      </x:c>
      <x:c r="I392" s="13" t="str">
        <x:f>IF(OR(H392&lt;&gt;1,G392&lt;&gt;1),"",SUMIFS('External Data'!$E$2:$E$1001,'External Data'!$L$2:$L$1001,SUBSTITUTE(SUBSTITUTE(SUBSTITUTE(L392,"~","~~"),"*","~*"),"?","~?")))</x:f>
      </x:c>
      <x:c r="J392" s="13" t="str">
        <x:f>IF(OR(NOT(ISNUMBER(E392)),NOT(ISNUMBER(I392))),"",ROUND(E392-I392,2))</x:f>
      </x:c>
      <x:c r="K392" s="2" t="str">
        <x:f>IF(COUNTA(A392:F392)=0,"",IF(OR(A392="",B392="",C392="",D392="",NOT(ISNUMBER(E392))),"Missing / invalid input",IF(G392&gt;1,"Duplicate key in this source",IF(H392=0,"Missing in other source",IF(H392&gt;1,"Duplicate in other source",IF(SUMIFS('External Data'!$M$2:$M$1001,'External Data'!$L$2:$L$1001,SUBSTITUTE(SUBSTITUTE(SUBSTITUTE(L392,"~","~~"),"*","~*"),"?","~?"))&lt;&gt;1,"Other amount is invalid",IF(J392&lt;&gt;0,"Amount differs","Matched")))))))</x:f>
      </x:c>
      <x:c r="L392" t="str">
        <x:f>IF(COUNTA(A392:F392)=0,"",LEN(A392)&amp;":"&amp;A392&amp;LEN(B392)&amp;":"&amp;B392&amp;LEN(C392)&amp;":"&amp;C392&amp;LEN(D392)&amp;":"&amp;D392)</x:f>
      </x:c>
      <x:c r="M392" t="str">
        <x:f>IF(COUNTA(A392:F392)=0,"",IF(ISNUMBER(E392),1,0))</x:f>
      </x:c>
    </x:row>
    <x:row r="393">
      <x:c r="A393" s="11"/>
      <x:c r="B393" s="11"/>
      <x:c r="C393" s="11"/>
      <x:c r="D393" s="11"/>
      <x:c r="E393" s="12"/>
      <x:c r="F393" s="10"/>
      <x:c r="G393" s="2" t="str">
        <x:f>IF(COUNTA(A393:F393)=0,"",COUNTIFS('App Data'!$L$2:$L$1001,SUBSTITUTE(SUBSTITUTE(SUBSTITUTE(L393,"~","~~"),"*","~*"),"?","~?")))</x:f>
      </x:c>
      <x:c r="H393" s="2" t="str">
        <x:f>IF(COUNTA(A393:F393)=0,"",COUNTIFS('External Data'!$L$2:$L$1001,SUBSTITUTE(SUBSTITUTE(SUBSTITUTE(L393,"~","~~"),"*","~*"),"?","~?")))</x:f>
      </x:c>
      <x:c r="I393" s="13" t="str">
        <x:f>IF(OR(H393&lt;&gt;1,G393&lt;&gt;1),"",SUMIFS('External Data'!$E$2:$E$1001,'External Data'!$L$2:$L$1001,SUBSTITUTE(SUBSTITUTE(SUBSTITUTE(L393,"~","~~"),"*","~*"),"?","~?")))</x:f>
      </x:c>
      <x:c r="J393" s="13" t="str">
        <x:f>IF(OR(NOT(ISNUMBER(E393)),NOT(ISNUMBER(I393))),"",ROUND(E393-I393,2))</x:f>
      </x:c>
      <x:c r="K393" s="2" t="str">
        <x:f>IF(COUNTA(A393:F393)=0,"",IF(OR(A393="",B393="",C393="",D393="",NOT(ISNUMBER(E393))),"Missing / invalid input",IF(G393&gt;1,"Duplicate key in this source",IF(H393=0,"Missing in other source",IF(H393&gt;1,"Duplicate in other source",IF(SUMIFS('External Data'!$M$2:$M$1001,'External Data'!$L$2:$L$1001,SUBSTITUTE(SUBSTITUTE(SUBSTITUTE(L393,"~","~~"),"*","~*"),"?","~?"))&lt;&gt;1,"Other amount is invalid",IF(J393&lt;&gt;0,"Amount differs","Matched")))))))</x:f>
      </x:c>
      <x:c r="L393" t="str">
        <x:f>IF(COUNTA(A393:F393)=0,"",LEN(A393)&amp;":"&amp;A393&amp;LEN(B393)&amp;":"&amp;B393&amp;LEN(C393)&amp;":"&amp;C393&amp;LEN(D393)&amp;":"&amp;D393)</x:f>
      </x:c>
      <x:c r="M393" t="str">
        <x:f>IF(COUNTA(A393:F393)=0,"",IF(ISNUMBER(E393),1,0))</x:f>
      </x:c>
    </x:row>
    <x:row r="394">
      <x:c r="A394" s="11"/>
      <x:c r="B394" s="11"/>
      <x:c r="C394" s="11"/>
      <x:c r="D394" s="11"/>
      <x:c r="E394" s="12"/>
      <x:c r="F394" s="10"/>
      <x:c r="G394" s="2" t="str">
        <x:f>IF(COUNTA(A394:F394)=0,"",COUNTIFS('App Data'!$L$2:$L$1001,SUBSTITUTE(SUBSTITUTE(SUBSTITUTE(L394,"~","~~"),"*","~*"),"?","~?")))</x:f>
      </x:c>
      <x:c r="H394" s="2" t="str">
        <x:f>IF(COUNTA(A394:F394)=0,"",COUNTIFS('External Data'!$L$2:$L$1001,SUBSTITUTE(SUBSTITUTE(SUBSTITUTE(L394,"~","~~"),"*","~*"),"?","~?")))</x:f>
      </x:c>
      <x:c r="I394" s="13" t="str">
        <x:f>IF(OR(H394&lt;&gt;1,G394&lt;&gt;1),"",SUMIFS('External Data'!$E$2:$E$1001,'External Data'!$L$2:$L$1001,SUBSTITUTE(SUBSTITUTE(SUBSTITUTE(L394,"~","~~"),"*","~*"),"?","~?")))</x:f>
      </x:c>
      <x:c r="J394" s="13" t="str">
        <x:f>IF(OR(NOT(ISNUMBER(E394)),NOT(ISNUMBER(I394))),"",ROUND(E394-I394,2))</x:f>
      </x:c>
      <x:c r="K394" s="2" t="str">
        <x:f>IF(COUNTA(A394:F394)=0,"",IF(OR(A394="",B394="",C394="",D394="",NOT(ISNUMBER(E394))),"Missing / invalid input",IF(G394&gt;1,"Duplicate key in this source",IF(H394=0,"Missing in other source",IF(H394&gt;1,"Duplicate in other source",IF(SUMIFS('External Data'!$M$2:$M$1001,'External Data'!$L$2:$L$1001,SUBSTITUTE(SUBSTITUTE(SUBSTITUTE(L394,"~","~~"),"*","~*"),"?","~?"))&lt;&gt;1,"Other amount is invalid",IF(J394&lt;&gt;0,"Amount differs","Matched")))))))</x:f>
      </x:c>
      <x:c r="L394" t="str">
        <x:f>IF(COUNTA(A394:F394)=0,"",LEN(A394)&amp;":"&amp;A394&amp;LEN(B394)&amp;":"&amp;B394&amp;LEN(C394)&amp;":"&amp;C394&amp;LEN(D394)&amp;":"&amp;D394)</x:f>
      </x:c>
      <x:c r="M394" t="str">
        <x:f>IF(COUNTA(A394:F394)=0,"",IF(ISNUMBER(E394),1,0))</x:f>
      </x:c>
    </x:row>
    <x:row r="395">
      <x:c r="A395" s="11"/>
      <x:c r="B395" s="11"/>
      <x:c r="C395" s="11"/>
      <x:c r="D395" s="11"/>
      <x:c r="E395" s="12"/>
      <x:c r="F395" s="10"/>
      <x:c r="G395" s="2" t="str">
        <x:f>IF(COUNTA(A395:F395)=0,"",COUNTIFS('App Data'!$L$2:$L$1001,SUBSTITUTE(SUBSTITUTE(SUBSTITUTE(L395,"~","~~"),"*","~*"),"?","~?")))</x:f>
      </x:c>
      <x:c r="H395" s="2" t="str">
        <x:f>IF(COUNTA(A395:F395)=0,"",COUNTIFS('External Data'!$L$2:$L$1001,SUBSTITUTE(SUBSTITUTE(SUBSTITUTE(L395,"~","~~"),"*","~*"),"?","~?")))</x:f>
      </x:c>
      <x:c r="I395" s="13" t="str">
        <x:f>IF(OR(H395&lt;&gt;1,G395&lt;&gt;1),"",SUMIFS('External Data'!$E$2:$E$1001,'External Data'!$L$2:$L$1001,SUBSTITUTE(SUBSTITUTE(SUBSTITUTE(L395,"~","~~"),"*","~*"),"?","~?")))</x:f>
      </x:c>
      <x:c r="J395" s="13" t="str">
        <x:f>IF(OR(NOT(ISNUMBER(E395)),NOT(ISNUMBER(I395))),"",ROUND(E395-I395,2))</x:f>
      </x:c>
      <x:c r="K395" s="2" t="str">
        <x:f>IF(COUNTA(A395:F395)=0,"",IF(OR(A395="",B395="",C395="",D395="",NOT(ISNUMBER(E395))),"Missing / invalid input",IF(G395&gt;1,"Duplicate key in this source",IF(H395=0,"Missing in other source",IF(H395&gt;1,"Duplicate in other source",IF(SUMIFS('External Data'!$M$2:$M$1001,'External Data'!$L$2:$L$1001,SUBSTITUTE(SUBSTITUTE(SUBSTITUTE(L395,"~","~~"),"*","~*"),"?","~?"))&lt;&gt;1,"Other amount is invalid",IF(J395&lt;&gt;0,"Amount differs","Matched")))))))</x:f>
      </x:c>
      <x:c r="L395" t="str">
        <x:f>IF(COUNTA(A395:F395)=0,"",LEN(A395)&amp;":"&amp;A395&amp;LEN(B395)&amp;":"&amp;B395&amp;LEN(C395)&amp;":"&amp;C395&amp;LEN(D395)&amp;":"&amp;D395)</x:f>
      </x:c>
      <x:c r="M395" t="str">
        <x:f>IF(COUNTA(A395:F395)=0,"",IF(ISNUMBER(E395),1,0))</x:f>
      </x:c>
    </x:row>
    <x:row r="396">
      <x:c r="A396" s="11"/>
      <x:c r="B396" s="11"/>
      <x:c r="C396" s="11"/>
      <x:c r="D396" s="11"/>
      <x:c r="E396" s="12"/>
      <x:c r="F396" s="10"/>
      <x:c r="G396" s="2" t="str">
        <x:f>IF(COUNTA(A396:F396)=0,"",COUNTIFS('App Data'!$L$2:$L$1001,SUBSTITUTE(SUBSTITUTE(SUBSTITUTE(L396,"~","~~"),"*","~*"),"?","~?")))</x:f>
      </x:c>
      <x:c r="H396" s="2" t="str">
        <x:f>IF(COUNTA(A396:F396)=0,"",COUNTIFS('External Data'!$L$2:$L$1001,SUBSTITUTE(SUBSTITUTE(SUBSTITUTE(L396,"~","~~"),"*","~*"),"?","~?")))</x:f>
      </x:c>
      <x:c r="I396" s="13" t="str">
        <x:f>IF(OR(H396&lt;&gt;1,G396&lt;&gt;1),"",SUMIFS('External Data'!$E$2:$E$1001,'External Data'!$L$2:$L$1001,SUBSTITUTE(SUBSTITUTE(SUBSTITUTE(L396,"~","~~"),"*","~*"),"?","~?")))</x:f>
      </x:c>
      <x:c r="J396" s="13" t="str">
        <x:f>IF(OR(NOT(ISNUMBER(E396)),NOT(ISNUMBER(I396))),"",ROUND(E396-I396,2))</x:f>
      </x:c>
      <x:c r="K396" s="2" t="str">
        <x:f>IF(COUNTA(A396:F396)=0,"",IF(OR(A396="",B396="",C396="",D396="",NOT(ISNUMBER(E396))),"Missing / invalid input",IF(G396&gt;1,"Duplicate key in this source",IF(H396=0,"Missing in other source",IF(H396&gt;1,"Duplicate in other source",IF(SUMIFS('External Data'!$M$2:$M$1001,'External Data'!$L$2:$L$1001,SUBSTITUTE(SUBSTITUTE(SUBSTITUTE(L396,"~","~~"),"*","~*"),"?","~?"))&lt;&gt;1,"Other amount is invalid",IF(J396&lt;&gt;0,"Amount differs","Matched")))))))</x:f>
      </x:c>
      <x:c r="L396" t="str">
        <x:f>IF(COUNTA(A396:F396)=0,"",LEN(A396)&amp;":"&amp;A396&amp;LEN(B396)&amp;":"&amp;B396&amp;LEN(C396)&amp;":"&amp;C396&amp;LEN(D396)&amp;":"&amp;D396)</x:f>
      </x:c>
      <x:c r="M396" t="str">
        <x:f>IF(COUNTA(A396:F396)=0,"",IF(ISNUMBER(E396),1,0))</x:f>
      </x:c>
    </x:row>
    <x:row r="397">
      <x:c r="A397" s="11"/>
      <x:c r="B397" s="11"/>
      <x:c r="C397" s="11"/>
      <x:c r="D397" s="11"/>
      <x:c r="E397" s="12"/>
      <x:c r="F397" s="10"/>
      <x:c r="G397" s="2" t="str">
        <x:f>IF(COUNTA(A397:F397)=0,"",COUNTIFS('App Data'!$L$2:$L$1001,SUBSTITUTE(SUBSTITUTE(SUBSTITUTE(L397,"~","~~"),"*","~*"),"?","~?")))</x:f>
      </x:c>
      <x:c r="H397" s="2" t="str">
        <x:f>IF(COUNTA(A397:F397)=0,"",COUNTIFS('External Data'!$L$2:$L$1001,SUBSTITUTE(SUBSTITUTE(SUBSTITUTE(L397,"~","~~"),"*","~*"),"?","~?")))</x:f>
      </x:c>
      <x:c r="I397" s="13" t="str">
        <x:f>IF(OR(H397&lt;&gt;1,G397&lt;&gt;1),"",SUMIFS('External Data'!$E$2:$E$1001,'External Data'!$L$2:$L$1001,SUBSTITUTE(SUBSTITUTE(SUBSTITUTE(L397,"~","~~"),"*","~*"),"?","~?")))</x:f>
      </x:c>
      <x:c r="J397" s="13" t="str">
        <x:f>IF(OR(NOT(ISNUMBER(E397)),NOT(ISNUMBER(I397))),"",ROUND(E397-I397,2))</x:f>
      </x:c>
      <x:c r="K397" s="2" t="str">
        <x:f>IF(COUNTA(A397:F397)=0,"",IF(OR(A397="",B397="",C397="",D397="",NOT(ISNUMBER(E397))),"Missing / invalid input",IF(G397&gt;1,"Duplicate key in this source",IF(H397=0,"Missing in other source",IF(H397&gt;1,"Duplicate in other source",IF(SUMIFS('External Data'!$M$2:$M$1001,'External Data'!$L$2:$L$1001,SUBSTITUTE(SUBSTITUTE(SUBSTITUTE(L397,"~","~~"),"*","~*"),"?","~?"))&lt;&gt;1,"Other amount is invalid",IF(J397&lt;&gt;0,"Amount differs","Matched")))))))</x:f>
      </x:c>
      <x:c r="L397" t="str">
        <x:f>IF(COUNTA(A397:F397)=0,"",LEN(A397)&amp;":"&amp;A397&amp;LEN(B397)&amp;":"&amp;B397&amp;LEN(C397)&amp;":"&amp;C397&amp;LEN(D397)&amp;":"&amp;D397)</x:f>
      </x:c>
      <x:c r="M397" t="str">
        <x:f>IF(COUNTA(A397:F397)=0,"",IF(ISNUMBER(E397),1,0))</x:f>
      </x:c>
    </x:row>
    <x:row r="398">
      <x:c r="A398" s="11"/>
      <x:c r="B398" s="11"/>
      <x:c r="C398" s="11"/>
      <x:c r="D398" s="11"/>
      <x:c r="E398" s="12"/>
      <x:c r="F398" s="10"/>
      <x:c r="G398" s="2" t="str">
        <x:f>IF(COUNTA(A398:F398)=0,"",COUNTIFS('App Data'!$L$2:$L$1001,SUBSTITUTE(SUBSTITUTE(SUBSTITUTE(L398,"~","~~"),"*","~*"),"?","~?")))</x:f>
      </x:c>
      <x:c r="H398" s="2" t="str">
        <x:f>IF(COUNTA(A398:F398)=0,"",COUNTIFS('External Data'!$L$2:$L$1001,SUBSTITUTE(SUBSTITUTE(SUBSTITUTE(L398,"~","~~"),"*","~*"),"?","~?")))</x:f>
      </x:c>
      <x:c r="I398" s="13" t="str">
        <x:f>IF(OR(H398&lt;&gt;1,G398&lt;&gt;1),"",SUMIFS('External Data'!$E$2:$E$1001,'External Data'!$L$2:$L$1001,SUBSTITUTE(SUBSTITUTE(SUBSTITUTE(L398,"~","~~"),"*","~*"),"?","~?")))</x:f>
      </x:c>
      <x:c r="J398" s="13" t="str">
        <x:f>IF(OR(NOT(ISNUMBER(E398)),NOT(ISNUMBER(I398))),"",ROUND(E398-I398,2))</x:f>
      </x:c>
      <x:c r="K398" s="2" t="str">
        <x:f>IF(COUNTA(A398:F398)=0,"",IF(OR(A398="",B398="",C398="",D398="",NOT(ISNUMBER(E398))),"Missing / invalid input",IF(G398&gt;1,"Duplicate key in this source",IF(H398=0,"Missing in other source",IF(H398&gt;1,"Duplicate in other source",IF(SUMIFS('External Data'!$M$2:$M$1001,'External Data'!$L$2:$L$1001,SUBSTITUTE(SUBSTITUTE(SUBSTITUTE(L398,"~","~~"),"*","~*"),"?","~?"))&lt;&gt;1,"Other amount is invalid",IF(J398&lt;&gt;0,"Amount differs","Matched")))))))</x:f>
      </x:c>
      <x:c r="L398" t="str">
        <x:f>IF(COUNTA(A398:F398)=0,"",LEN(A398)&amp;":"&amp;A398&amp;LEN(B398)&amp;":"&amp;B398&amp;LEN(C398)&amp;":"&amp;C398&amp;LEN(D398)&amp;":"&amp;D398)</x:f>
      </x:c>
      <x:c r="M398" t="str">
        <x:f>IF(COUNTA(A398:F398)=0,"",IF(ISNUMBER(E398),1,0))</x:f>
      </x:c>
    </x:row>
    <x:row r="399">
      <x:c r="A399" s="11"/>
      <x:c r="B399" s="11"/>
      <x:c r="C399" s="11"/>
      <x:c r="D399" s="11"/>
      <x:c r="E399" s="12"/>
      <x:c r="F399" s="10"/>
      <x:c r="G399" s="2" t="str">
        <x:f>IF(COUNTA(A399:F399)=0,"",COUNTIFS('App Data'!$L$2:$L$1001,SUBSTITUTE(SUBSTITUTE(SUBSTITUTE(L399,"~","~~"),"*","~*"),"?","~?")))</x:f>
      </x:c>
      <x:c r="H399" s="2" t="str">
        <x:f>IF(COUNTA(A399:F399)=0,"",COUNTIFS('External Data'!$L$2:$L$1001,SUBSTITUTE(SUBSTITUTE(SUBSTITUTE(L399,"~","~~"),"*","~*"),"?","~?")))</x:f>
      </x:c>
      <x:c r="I399" s="13" t="str">
        <x:f>IF(OR(H399&lt;&gt;1,G399&lt;&gt;1),"",SUMIFS('External Data'!$E$2:$E$1001,'External Data'!$L$2:$L$1001,SUBSTITUTE(SUBSTITUTE(SUBSTITUTE(L399,"~","~~"),"*","~*"),"?","~?")))</x:f>
      </x:c>
      <x:c r="J399" s="13" t="str">
        <x:f>IF(OR(NOT(ISNUMBER(E399)),NOT(ISNUMBER(I399))),"",ROUND(E399-I399,2))</x:f>
      </x:c>
      <x:c r="K399" s="2" t="str">
        <x:f>IF(COUNTA(A399:F399)=0,"",IF(OR(A399="",B399="",C399="",D399="",NOT(ISNUMBER(E399))),"Missing / invalid input",IF(G399&gt;1,"Duplicate key in this source",IF(H399=0,"Missing in other source",IF(H399&gt;1,"Duplicate in other source",IF(SUMIFS('External Data'!$M$2:$M$1001,'External Data'!$L$2:$L$1001,SUBSTITUTE(SUBSTITUTE(SUBSTITUTE(L399,"~","~~"),"*","~*"),"?","~?"))&lt;&gt;1,"Other amount is invalid",IF(J399&lt;&gt;0,"Amount differs","Matched")))))))</x:f>
      </x:c>
      <x:c r="L399" t="str">
        <x:f>IF(COUNTA(A399:F399)=0,"",LEN(A399)&amp;":"&amp;A399&amp;LEN(B399)&amp;":"&amp;B399&amp;LEN(C399)&amp;":"&amp;C399&amp;LEN(D399)&amp;":"&amp;D399)</x:f>
      </x:c>
      <x:c r="M399" t="str">
        <x:f>IF(COUNTA(A399:F399)=0,"",IF(ISNUMBER(E399),1,0))</x:f>
      </x:c>
    </x:row>
    <x:row r="400">
      <x:c r="A400" s="11"/>
      <x:c r="B400" s="11"/>
      <x:c r="C400" s="11"/>
      <x:c r="D400" s="11"/>
      <x:c r="E400" s="12"/>
      <x:c r="F400" s="10"/>
      <x:c r="G400" s="2" t="str">
        <x:f>IF(COUNTA(A400:F400)=0,"",COUNTIFS('App Data'!$L$2:$L$1001,SUBSTITUTE(SUBSTITUTE(SUBSTITUTE(L400,"~","~~"),"*","~*"),"?","~?")))</x:f>
      </x:c>
      <x:c r="H400" s="2" t="str">
        <x:f>IF(COUNTA(A400:F400)=0,"",COUNTIFS('External Data'!$L$2:$L$1001,SUBSTITUTE(SUBSTITUTE(SUBSTITUTE(L400,"~","~~"),"*","~*"),"?","~?")))</x:f>
      </x:c>
      <x:c r="I400" s="13" t="str">
        <x:f>IF(OR(H400&lt;&gt;1,G400&lt;&gt;1),"",SUMIFS('External Data'!$E$2:$E$1001,'External Data'!$L$2:$L$1001,SUBSTITUTE(SUBSTITUTE(SUBSTITUTE(L400,"~","~~"),"*","~*"),"?","~?")))</x:f>
      </x:c>
      <x:c r="J400" s="13" t="str">
        <x:f>IF(OR(NOT(ISNUMBER(E400)),NOT(ISNUMBER(I400))),"",ROUND(E400-I400,2))</x:f>
      </x:c>
      <x:c r="K400" s="2" t="str">
        <x:f>IF(COUNTA(A400:F400)=0,"",IF(OR(A400="",B400="",C400="",D400="",NOT(ISNUMBER(E400))),"Missing / invalid input",IF(G400&gt;1,"Duplicate key in this source",IF(H400=0,"Missing in other source",IF(H400&gt;1,"Duplicate in other source",IF(SUMIFS('External Data'!$M$2:$M$1001,'External Data'!$L$2:$L$1001,SUBSTITUTE(SUBSTITUTE(SUBSTITUTE(L400,"~","~~"),"*","~*"),"?","~?"))&lt;&gt;1,"Other amount is invalid",IF(J400&lt;&gt;0,"Amount differs","Matched")))))))</x:f>
      </x:c>
      <x:c r="L400" t="str">
        <x:f>IF(COUNTA(A400:F400)=0,"",LEN(A400)&amp;":"&amp;A400&amp;LEN(B400)&amp;":"&amp;B400&amp;LEN(C400)&amp;":"&amp;C400&amp;LEN(D400)&amp;":"&amp;D400)</x:f>
      </x:c>
      <x:c r="M400" t="str">
        <x:f>IF(COUNTA(A400:F400)=0,"",IF(ISNUMBER(E400),1,0))</x:f>
      </x:c>
    </x:row>
    <x:row r="401">
      <x:c r="A401" s="11"/>
      <x:c r="B401" s="11"/>
      <x:c r="C401" s="11"/>
      <x:c r="D401" s="11"/>
      <x:c r="E401" s="12"/>
      <x:c r="F401" s="10"/>
      <x:c r="G401" s="2" t="str">
        <x:f>IF(COUNTA(A401:F401)=0,"",COUNTIFS('App Data'!$L$2:$L$1001,SUBSTITUTE(SUBSTITUTE(SUBSTITUTE(L401,"~","~~"),"*","~*"),"?","~?")))</x:f>
      </x:c>
      <x:c r="H401" s="2" t="str">
        <x:f>IF(COUNTA(A401:F401)=0,"",COUNTIFS('External Data'!$L$2:$L$1001,SUBSTITUTE(SUBSTITUTE(SUBSTITUTE(L401,"~","~~"),"*","~*"),"?","~?")))</x:f>
      </x:c>
      <x:c r="I401" s="13" t="str">
        <x:f>IF(OR(H401&lt;&gt;1,G401&lt;&gt;1),"",SUMIFS('External Data'!$E$2:$E$1001,'External Data'!$L$2:$L$1001,SUBSTITUTE(SUBSTITUTE(SUBSTITUTE(L401,"~","~~"),"*","~*"),"?","~?")))</x:f>
      </x:c>
      <x:c r="J401" s="13" t="str">
        <x:f>IF(OR(NOT(ISNUMBER(E401)),NOT(ISNUMBER(I401))),"",ROUND(E401-I401,2))</x:f>
      </x:c>
      <x:c r="K401" s="2" t="str">
        <x:f>IF(COUNTA(A401:F401)=0,"",IF(OR(A401="",B401="",C401="",D401="",NOT(ISNUMBER(E401))),"Missing / invalid input",IF(G401&gt;1,"Duplicate key in this source",IF(H401=0,"Missing in other source",IF(H401&gt;1,"Duplicate in other source",IF(SUMIFS('External Data'!$M$2:$M$1001,'External Data'!$L$2:$L$1001,SUBSTITUTE(SUBSTITUTE(SUBSTITUTE(L401,"~","~~"),"*","~*"),"?","~?"))&lt;&gt;1,"Other amount is invalid",IF(J401&lt;&gt;0,"Amount differs","Matched")))))))</x:f>
      </x:c>
      <x:c r="L401" t="str">
        <x:f>IF(COUNTA(A401:F401)=0,"",LEN(A401)&amp;":"&amp;A401&amp;LEN(B401)&amp;":"&amp;B401&amp;LEN(C401)&amp;":"&amp;C401&amp;LEN(D401)&amp;":"&amp;D401)</x:f>
      </x:c>
      <x:c r="M401" t="str">
        <x:f>IF(COUNTA(A401:F401)=0,"",IF(ISNUMBER(E401),1,0))</x:f>
      </x:c>
    </x:row>
    <x:row r="402">
      <x:c r="A402" s="11"/>
      <x:c r="B402" s="11"/>
      <x:c r="C402" s="11"/>
      <x:c r="D402" s="11"/>
      <x:c r="E402" s="12"/>
      <x:c r="F402" s="10"/>
      <x:c r="G402" s="2" t="str">
        <x:f>IF(COUNTA(A402:F402)=0,"",COUNTIFS('App Data'!$L$2:$L$1001,SUBSTITUTE(SUBSTITUTE(SUBSTITUTE(L402,"~","~~"),"*","~*"),"?","~?")))</x:f>
      </x:c>
      <x:c r="H402" s="2" t="str">
        <x:f>IF(COUNTA(A402:F402)=0,"",COUNTIFS('External Data'!$L$2:$L$1001,SUBSTITUTE(SUBSTITUTE(SUBSTITUTE(L402,"~","~~"),"*","~*"),"?","~?")))</x:f>
      </x:c>
      <x:c r="I402" s="13" t="str">
        <x:f>IF(OR(H402&lt;&gt;1,G402&lt;&gt;1),"",SUMIFS('External Data'!$E$2:$E$1001,'External Data'!$L$2:$L$1001,SUBSTITUTE(SUBSTITUTE(SUBSTITUTE(L402,"~","~~"),"*","~*"),"?","~?")))</x:f>
      </x:c>
      <x:c r="J402" s="13" t="str">
        <x:f>IF(OR(NOT(ISNUMBER(E402)),NOT(ISNUMBER(I402))),"",ROUND(E402-I402,2))</x:f>
      </x:c>
      <x:c r="K402" s="2" t="str">
        <x:f>IF(COUNTA(A402:F402)=0,"",IF(OR(A402="",B402="",C402="",D402="",NOT(ISNUMBER(E402))),"Missing / invalid input",IF(G402&gt;1,"Duplicate key in this source",IF(H402=0,"Missing in other source",IF(H402&gt;1,"Duplicate in other source",IF(SUMIFS('External Data'!$M$2:$M$1001,'External Data'!$L$2:$L$1001,SUBSTITUTE(SUBSTITUTE(SUBSTITUTE(L402,"~","~~"),"*","~*"),"?","~?"))&lt;&gt;1,"Other amount is invalid",IF(J402&lt;&gt;0,"Amount differs","Matched")))))))</x:f>
      </x:c>
      <x:c r="L402" t="str">
        <x:f>IF(COUNTA(A402:F402)=0,"",LEN(A402)&amp;":"&amp;A402&amp;LEN(B402)&amp;":"&amp;B402&amp;LEN(C402)&amp;":"&amp;C402&amp;LEN(D402)&amp;":"&amp;D402)</x:f>
      </x:c>
      <x:c r="M402" t="str">
        <x:f>IF(COUNTA(A402:F402)=0,"",IF(ISNUMBER(E402),1,0))</x:f>
      </x:c>
    </x:row>
    <x:row r="403">
      <x:c r="A403" s="11"/>
      <x:c r="B403" s="11"/>
      <x:c r="C403" s="11"/>
      <x:c r="D403" s="11"/>
      <x:c r="E403" s="12"/>
      <x:c r="F403" s="10"/>
      <x:c r="G403" s="2" t="str">
        <x:f>IF(COUNTA(A403:F403)=0,"",COUNTIFS('App Data'!$L$2:$L$1001,SUBSTITUTE(SUBSTITUTE(SUBSTITUTE(L403,"~","~~"),"*","~*"),"?","~?")))</x:f>
      </x:c>
      <x:c r="H403" s="2" t="str">
        <x:f>IF(COUNTA(A403:F403)=0,"",COUNTIFS('External Data'!$L$2:$L$1001,SUBSTITUTE(SUBSTITUTE(SUBSTITUTE(L403,"~","~~"),"*","~*"),"?","~?")))</x:f>
      </x:c>
      <x:c r="I403" s="13" t="str">
        <x:f>IF(OR(H403&lt;&gt;1,G403&lt;&gt;1),"",SUMIFS('External Data'!$E$2:$E$1001,'External Data'!$L$2:$L$1001,SUBSTITUTE(SUBSTITUTE(SUBSTITUTE(L403,"~","~~"),"*","~*"),"?","~?")))</x:f>
      </x:c>
      <x:c r="J403" s="13" t="str">
        <x:f>IF(OR(NOT(ISNUMBER(E403)),NOT(ISNUMBER(I403))),"",ROUND(E403-I403,2))</x:f>
      </x:c>
      <x:c r="K403" s="2" t="str">
        <x:f>IF(COUNTA(A403:F403)=0,"",IF(OR(A403="",B403="",C403="",D403="",NOT(ISNUMBER(E403))),"Missing / invalid input",IF(G403&gt;1,"Duplicate key in this source",IF(H403=0,"Missing in other source",IF(H403&gt;1,"Duplicate in other source",IF(SUMIFS('External Data'!$M$2:$M$1001,'External Data'!$L$2:$L$1001,SUBSTITUTE(SUBSTITUTE(SUBSTITUTE(L403,"~","~~"),"*","~*"),"?","~?"))&lt;&gt;1,"Other amount is invalid",IF(J403&lt;&gt;0,"Amount differs","Matched")))))))</x:f>
      </x:c>
      <x:c r="L403" t="str">
        <x:f>IF(COUNTA(A403:F403)=0,"",LEN(A403)&amp;":"&amp;A403&amp;LEN(B403)&amp;":"&amp;B403&amp;LEN(C403)&amp;":"&amp;C403&amp;LEN(D403)&amp;":"&amp;D403)</x:f>
      </x:c>
      <x:c r="M403" t="str">
        <x:f>IF(COUNTA(A403:F403)=0,"",IF(ISNUMBER(E403),1,0))</x:f>
      </x:c>
    </x:row>
    <x:row r="404">
      <x:c r="A404" s="11"/>
      <x:c r="B404" s="11"/>
      <x:c r="C404" s="11"/>
      <x:c r="D404" s="11"/>
      <x:c r="E404" s="12"/>
      <x:c r="F404" s="10"/>
      <x:c r="G404" s="2" t="str">
        <x:f>IF(COUNTA(A404:F404)=0,"",COUNTIFS('App Data'!$L$2:$L$1001,SUBSTITUTE(SUBSTITUTE(SUBSTITUTE(L404,"~","~~"),"*","~*"),"?","~?")))</x:f>
      </x:c>
      <x:c r="H404" s="2" t="str">
        <x:f>IF(COUNTA(A404:F404)=0,"",COUNTIFS('External Data'!$L$2:$L$1001,SUBSTITUTE(SUBSTITUTE(SUBSTITUTE(L404,"~","~~"),"*","~*"),"?","~?")))</x:f>
      </x:c>
      <x:c r="I404" s="13" t="str">
        <x:f>IF(OR(H404&lt;&gt;1,G404&lt;&gt;1),"",SUMIFS('External Data'!$E$2:$E$1001,'External Data'!$L$2:$L$1001,SUBSTITUTE(SUBSTITUTE(SUBSTITUTE(L404,"~","~~"),"*","~*"),"?","~?")))</x:f>
      </x:c>
      <x:c r="J404" s="13" t="str">
        <x:f>IF(OR(NOT(ISNUMBER(E404)),NOT(ISNUMBER(I404))),"",ROUND(E404-I404,2))</x:f>
      </x:c>
      <x:c r="K404" s="2" t="str">
        <x:f>IF(COUNTA(A404:F404)=0,"",IF(OR(A404="",B404="",C404="",D404="",NOT(ISNUMBER(E404))),"Missing / invalid input",IF(G404&gt;1,"Duplicate key in this source",IF(H404=0,"Missing in other source",IF(H404&gt;1,"Duplicate in other source",IF(SUMIFS('External Data'!$M$2:$M$1001,'External Data'!$L$2:$L$1001,SUBSTITUTE(SUBSTITUTE(SUBSTITUTE(L404,"~","~~"),"*","~*"),"?","~?"))&lt;&gt;1,"Other amount is invalid",IF(J404&lt;&gt;0,"Amount differs","Matched")))))))</x:f>
      </x:c>
      <x:c r="L404" t="str">
        <x:f>IF(COUNTA(A404:F404)=0,"",LEN(A404)&amp;":"&amp;A404&amp;LEN(B404)&amp;":"&amp;B404&amp;LEN(C404)&amp;":"&amp;C404&amp;LEN(D404)&amp;":"&amp;D404)</x:f>
      </x:c>
      <x:c r="M404" t="str">
        <x:f>IF(COUNTA(A404:F404)=0,"",IF(ISNUMBER(E404),1,0))</x:f>
      </x:c>
    </x:row>
    <x:row r="405">
      <x:c r="A405" s="11"/>
      <x:c r="B405" s="11"/>
      <x:c r="C405" s="11"/>
      <x:c r="D405" s="11"/>
      <x:c r="E405" s="12"/>
      <x:c r="F405" s="10"/>
      <x:c r="G405" s="2" t="str">
        <x:f>IF(COUNTA(A405:F405)=0,"",COUNTIFS('App Data'!$L$2:$L$1001,SUBSTITUTE(SUBSTITUTE(SUBSTITUTE(L405,"~","~~"),"*","~*"),"?","~?")))</x:f>
      </x:c>
      <x:c r="H405" s="2" t="str">
        <x:f>IF(COUNTA(A405:F405)=0,"",COUNTIFS('External Data'!$L$2:$L$1001,SUBSTITUTE(SUBSTITUTE(SUBSTITUTE(L405,"~","~~"),"*","~*"),"?","~?")))</x:f>
      </x:c>
      <x:c r="I405" s="13" t="str">
        <x:f>IF(OR(H405&lt;&gt;1,G405&lt;&gt;1),"",SUMIFS('External Data'!$E$2:$E$1001,'External Data'!$L$2:$L$1001,SUBSTITUTE(SUBSTITUTE(SUBSTITUTE(L405,"~","~~"),"*","~*"),"?","~?")))</x:f>
      </x:c>
      <x:c r="J405" s="13" t="str">
        <x:f>IF(OR(NOT(ISNUMBER(E405)),NOT(ISNUMBER(I405))),"",ROUND(E405-I405,2))</x:f>
      </x:c>
      <x:c r="K405" s="2" t="str">
        <x:f>IF(COUNTA(A405:F405)=0,"",IF(OR(A405="",B405="",C405="",D405="",NOT(ISNUMBER(E405))),"Missing / invalid input",IF(G405&gt;1,"Duplicate key in this source",IF(H405=0,"Missing in other source",IF(H405&gt;1,"Duplicate in other source",IF(SUMIFS('External Data'!$M$2:$M$1001,'External Data'!$L$2:$L$1001,SUBSTITUTE(SUBSTITUTE(SUBSTITUTE(L405,"~","~~"),"*","~*"),"?","~?"))&lt;&gt;1,"Other amount is invalid",IF(J405&lt;&gt;0,"Amount differs","Matched")))))))</x:f>
      </x:c>
      <x:c r="L405" t="str">
        <x:f>IF(COUNTA(A405:F405)=0,"",LEN(A405)&amp;":"&amp;A405&amp;LEN(B405)&amp;":"&amp;B405&amp;LEN(C405)&amp;":"&amp;C405&amp;LEN(D405)&amp;":"&amp;D405)</x:f>
      </x:c>
      <x:c r="M405" t="str">
        <x:f>IF(COUNTA(A405:F405)=0,"",IF(ISNUMBER(E405),1,0))</x:f>
      </x:c>
    </x:row>
    <x:row r="406">
      <x:c r="A406" s="11"/>
      <x:c r="B406" s="11"/>
      <x:c r="C406" s="11"/>
      <x:c r="D406" s="11"/>
      <x:c r="E406" s="12"/>
      <x:c r="F406" s="10"/>
      <x:c r="G406" s="2" t="str">
        <x:f>IF(COUNTA(A406:F406)=0,"",COUNTIFS('App Data'!$L$2:$L$1001,SUBSTITUTE(SUBSTITUTE(SUBSTITUTE(L406,"~","~~"),"*","~*"),"?","~?")))</x:f>
      </x:c>
      <x:c r="H406" s="2" t="str">
        <x:f>IF(COUNTA(A406:F406)=0,"",COUNTIFS('External Data'!$L$2:$L$1001,SUBSTITUTE(SUBSTITUTE(SUBSTITUTE(L406,"~","~~"),"*","~*"),"?","~?")))</x:f>
      </x:c>
      <x:c r="I406" s="13" t="str">
        <x:f>IF(OR(H406&lt;&gt;1,G406&lt;&gt;1),"",SUMIFS('External Data'!$E$2:$E$1001,'External Data'!$L$2:$L$1001,SUBSTITUTE(SUBSTITUTE(SUBSTITUTE(L406,"~","~~"),"*","~*"),"?","~?")))</x:f>
      </x:c>
      <x:c r="J406" s="13" t="str">
        <x:f>IF(OR(NOT(ISNUMBER(E406)),NOT(ISNUMBER(I406))),"",ROUND(E406-I406,2))</x:f>
      </x:c>
      <x:c r="K406" s="2" t="str">
        <x:f>IF(COUNTA(A406:F406)=0,"",IF(OR(A406="",B406="",C406="",D406="",NOT(ISNUMBER(E406))),"Missing / invalid input",IF(G406&gt;1,"Duplicate key in this source",IF(H406=0,"Missing in other source",IF(H406&gt;1,"Duplicate in other source",IF(SUMIFS('External Data'!$M$2:$M$1001,'External Data'!$L$2:$L$1001,SUBSTITUTE(SUBSTITUTE(SUBSTITUTE(L406,"~","~~"),"*","~*"),"?","~?"))&lt;&gt;1,"Other amount is invalid",IF(J406&lt;&gt;0,"Amount differs","Matched")))))))</x:f>
      </x:c>
      <x:c r="L406" t="str">
        <x:f>IF(COUNTA(A406:F406)=0,"",LEN(A406)&amp;":"&amp;A406&amp;LEN(B406)&amp;":"&amp;B406&amp;LEN(C406)&amp;":"&amp;C406&amp;LEN(D406)&amp;":"&amp;D406)</x:f>
      </x:c>
      <x:c r="M406" t="str">
        <x:f>IF(COUNTA(A406:F406)=0,"",IF(ISNUMBER(E406),1,0))</x:f>
      </x:c>
    </x:row>
    <x:row r="407">
      <x:c r="A407" s="11"/>
      <x:c r="B407" s="11"/>
      <x:c r="C407" s="11"/>
      <x:c r="D407" s="11"/>
      <x:c r="E407" s="12"/>
      <x:c r="F407" s="10"/>
      <x:c r="G407" s="2" t="str">
        <x:f>IF(COUNTA(A407:F407)=0,"",COUNTIFS('App Data'!$L$2:$L$1001,SUBSTITUTE(SUBSTITUTE(SUBSTITUTE(L407,"~","~~"),"*","~*"),"?","~?")))</x:f>
      </x:c>
      <x:c r="H407" s="2" t="str">
        <x:f>IF(COUNTA(A407:F407)=0,"",COUNTIFS('External Data'!$L$2:$L$1001,SUBSTITUTE(SUBSTITUTE(SUBSTITUTE(L407,"~","~~"),"*","~*"),"?","~?")))</x:f>
      </x:c>
      <x:c r="I407" s="13" t="str">
        <x:f>IF(OR(H407&lt;&gt;1,G407&lt;&gt;1),"",SUMIFS('External Data'!$E$2:$E$1001,'External Data'!$L$2:$L$1001,SUBSTITUTE(SUBSTITUTE(SUBSTITUTE(L407,"~","~~"),"*","~*"),"?","~?")))</x:f>
      </x:c>
      <x:c r="J407" s="13" t="str">
        <x:f>IF(OR(NOT(ISNUMBER(E407)),NOT(ISNUMBER(I407))),"",ROUND(E407-I407,2))</x:f>
      </x:c>
      <x:c r="K407" s="2" t="str">
        <x:f>IF(COUNTA(A407:F407)=0,"",IF(OR(A407="",B407="",C407="",D407="",NOT(ISNUMBER(E407))),"Missing / invalid input",IF(G407&gt;1,"Duplicate key in this source",IF(H407=0,"Missing in other source",IF(H407&gt;1,"Duplicate in other source",IF(SUMIFS('External Data'!$M$2:$M$1001,'External Data'!$L$2:$L$1001,SUBSTITUTE(SUBSTITUTE(SUBSTITUTE(L407,"~","~~"),"*","~*"),"?","~?"))&lt;&gt;1,"Other amount is invalid",IF(J407&lt;&gt;0,"Amount differs","Matched")))))))</x:f>
      </x:c>
      <x:c r="L407" t="str">
        <x:f>IF(COUNTA(A407:F407)=0,"",LEN(A407)&amp;":"&amp;A407&amp;LEN(B407)&amp;":"&amp;B407&amp;LEN(C407)&amp;":"&amp;C407&amp;LEN(D407)&amp;":"&amp;D407)</x:f>
      </x:c>
      <x:c r="M407" t="str">
        <x:f>IF(COUNTA(A407:F407)=0,"",IF(ISNUMBER(E407),1,0))</x:f>
      </x:c>
    </x:row>
    <x:row r="408">
      <x:c r="A408" s="11"/>
      <x:c r="B408" s="11"/>
      <x:c r="C408" s="11"/>
      <x:c r="D408" s="11"/>
      <x:c r="E408" s="12"/>
      <x:c r="F408" s="10"/>
      <x:c r="G408" s="2" t="str">
        <x:f>IF(COUNTA(A408:F408)=0,"",COUNTIFS('App Data'!$L$2:$L$1001,SUBSTITUTE(SUBSTITUTE(SUBSTITUTE(L408,"~","~~"),"*","~*"),"?","~?")))</x:f>
      </x:c>
      <x:c r="H408" s="2" t="str">
        <x:f>IF(COUNTA(A408:F408)=0,"",COUNTIFS('External Data'!$L$2:$L$1001,SUBSTITUTE(SUBSTITUTE(SUBSTITUTE(L408,"~","~~"),"*","~*"),"?","~?")))</x:f>
      </x:c>
      <x:c r="I408" s="13" t="str">
        <x:f>IF(OR(H408&lt;&gt;1,G408&lt;&gt;1),"",SUMIFS('External Data'!$E$2:$E$1001,'External Data'!$L$2:$L$1001,SUBSTITUTE(SUBSTITUTE(SUBSTITUTE(L408,"~","~~"),"*","~*"),"?","~?")))</x:f>
      </x:c>
      <x:c r="J408" s="13" t="str">
        <x:f>IF(OR(NOT(ISNUMBER(E408)),NOT(ISNUMBER(I408))),"",ROUND(E408-I408,2))</x:f>
      </x:c>
      <x:c r="K408" s="2" t="str">
        <x:f>IF(COUNTA(A408:F408)=0,"",IF(OR(A408="",B408="",C408="",D408="",NOT(ISNUMBER(E408))),"Missing / invalid input",IF(G408&gt;1,"Duplicate key in this source",IF(H408=0,"Missing in other source",IF(H408&gt;1,"Duplicate in other source",IF(SUMIFS('External Data'!$M$2:$M$1001,'External Data'!$L$2:$L$1001,SUBSTITUTE(SUBSTITUTE(SUBSTITUTE(L408,"~","~~"),"*","~*"),"?","~?"))&lt;&gt;1,"Other amount is invalid",IF(J408&lt;&gt;0,"Amount differs","Matched")))))))</x:f>
      </x:c>
      <x:c r="L408" t="str">
        <x:f>IF(COUNTA(A408:F408)=0,"",LEN(A408)&amp;":"&amp;A408&amp;LEN(B408)&amp;":"&amp;B408&amp;LEN(C408)&amp;":"&amp;C408&amp;LEN(D408)&amp;":"&amp;D408)</x:f>
      </x:c>
      <x:c r="M408" t="str">
        <x:f>IF(COUNTA(A408:F408)=0,"",IF(ISNUMBER(E408),1,0))</x:f>
      </x:c>
    </x:row>
    <x:row r="409">
      <x:c r="A409" s="11"/>
      <x:c r="B409" s="11"/>
      <x:c r="C409" s="11"/>
      <x:c r="D409" s="11"/>
      <x:c r="E409" s="12"/>
      <x:c r="F409" s="10"/>
      <x:c r="G409" s="2" t="str">
        <x:f>IF(COUNTA(A409:F409)=0,"",COUNTIFS('App Data'!$L$2:$L$1001,SUBSTITUTE(SUBSTITUTE(SUBSTITUTE(L409,"~","~~"),"*","~*"),"?","~?")))</x:f>
      </x:c>
      <x:c r="H409" s="2" t="str">
        <x:f>IF(COUNTA(A409:F409)=0,"",COUNTIFS('External Data'!$L$2:$L$1001,SUBSTITUTE(SUBSTITUTE(SUBSTITUTE(L409,"~","~~"),"*","~*"),"?","~?")))</x:f>
      </x:c>
      <x:c r="I409" s="13" t="str">
        <x:f>IF(OR(H409&lt;&gt;1,G409&lt;&gt;1),"",SUMIFS('External Data'!$E$2:$E$1001,'External Data'!$L$2:$L$1001,SUBSTITUTE(SUBSTITUTE(SUBSTITUTE(L409,"~","~~"),"*","~*"),"?","~?")))</x:f>
      </x:c>
      <x:c r="J409" s="13" t="str">
        <x:f>IF(OR(NOT(ISNUMBER(E409)),NOT(ISNUMBER(I409))),"",ROUND(E409-I409,2))</x:f>
      </x:c>
      <x:c r="K409" s="2" t="str">
        <x:f>IF(COUNTA(A409:F409)=0,"",IF(OR(A409="",B409="",C409="",D409="",NOT(ISNUMBER(E409))),"Missing / invalid input",IF(G409&gt;1,"Duplicate key in this source",IF(H409=0,"Missing in other source",IF(H409&gt;1,"Duplicate in other source",IF(SUMIFS('External Data'!$M$2:$M$1001,'External Data'!$L$2:$L$1001,SUBSTITUTE(SUBSTITUTE(SUBSTITUTE(L409,"~","~~"),"*","~*"),"?","~?"))&lt;&gt;1,"Other amount is invalid",IF(J409&lt;&gt;0,"Amount differs","Matched")))))))</x:f>
      </x:c>
      <x:c r="L409" t="str">
        <x:f>IF(COUNTA(A409:F409)=0,"",LEN(A409)&amp;":"&amp;A409&amp;LEN(B409)&amp;":"&amp;B409&amp;LEN(C409)&amp;":"&amp;C409&amp;LEN(D409)&amp;":"&amp;D409)</x:f>
      </x:c>
      <x:c r="M409" t="str">
        <x:f>IF(COUNTA(A409:F409)=0,"",IF(ISNUMBER(E409),1,0))</x:f>
      </x:c>
    </x:row>
    <x:row r="410">
      <x:c r="A410" s="11"/>
      <x:c r="B410" s="11"/>
      <x:c r="C410" s="11"/>
      <x:c r="D410" s="11"/>
      <x:c r="E410" s="12"/>
      <x:c r="F410" s="10"/>
      <x:c r="G410" s="2" t="str">
        <x:f>IF(COUNTA(A410:F410)=0,"",COUNTIFS('App Data'!$L$2:$L$1001,SUBSTITUTE(SUBSTITUTE(SUBSTITUTE(L410,"~","~~"),"*","~*"),"?","~?")))</x:f>
      </x:c>
      <x:c r="H410" s="2" t="str">
        <x:f>IF(COUNTA(A410:F410)=0,"",COUNTIFS('External Data'!$L$2:$L$1001,SUBSTITUTE(SUBSTITUTE(SUBSTITUTE(L410,"~","~~"),"*","~*"),"?","~?")))</x:f>
      </x:c>
      <x:c r="I410" s="13" t="str">
        <x:f>IF(OR(H410&lt;&gt;1,G410&lt;&gt;1),"",SUMIFS('External Data'!$E$2:$E$1001,'External Data'!$L$2:$L$1001,SUBSTITUTE(SUBSTITUTE(SUBSTITUTE(L410,"~","~~"),"*","~*"),"?","~?")))</x:f>
      </x:c>
      <x:c r="J410" s="13" t="str">
        <x:f>IF(OR(NOT(ISNUMBER(E410)),NOT(ISNUMBER(I410))),"",ROUND(E410-I410,2))</x:f>
      </x:c>
      <x:c r="K410" s="2" t="str">
        <x:f>IF(COUNTA(A410:F410)=0,"",IF(OR(A410="",B410="",C410="",D410="",NOT(ISNUMBER(E410))),"Missing / invalid input",IF(G410&gt;1,"Duplicate key in this source",IF(H410=0,"Missing in other source",IF(H410&gt;1,"Duplicate in other source",IF(SUMIFS('External Data'!$M$2:$M$1001,'External Data'!$L$2:$L$1001,SUBSTITUTE(SUBSTITUTE(SUBSTITUTE(L410,"~","~~"),"*","~*"),"?","~?"))&lt;&gt;1,"Other amount is invalid",IF(J410&lt;&gt;0,"Amount differs","Matched")))))))</x:f>
      </x:c>
      <x:c r="L410" t="str">
        <x:f>IF(COUNTA(A410:F410)=0,"",LEN(A410)&amp;":"&amp;A410&amp;LEN(B410)&amp;":"&amp;B410&amp;LEN(C410)&amp;":"&amp;C410&amp;LEN(D410)&amp;":"&amp;D410)</x:f>
      </x:c>
      <x:c r="M410" t="str">
        <x:f>IF(COUNTA(A410:F410)=0,"",IF(ISNUMBER(E410),1,0))</x:f>
      </x:c>
    </x:row>
    <x:row r="411">
      <x:c r="A411" s="11"/>
      <x:c r="B411" s="11"/>
      <x:c r="C411" s="11"/>
      <x:c r="D411" s="11"/>
      <x:c r="E411" s="12"/>
      <x:c r="F411" s="10"/>
      <x:c r="G411" s="2" t="str">
        <x:f>IF(COUNTA(A411:F411)=0,"",COUNTIFS('App Data'!$L$2:$L$1001,SUBSTITUTE(SUBSTITUTE(SUBSTITUTE(L411,"~","~~"),"*","~*"),"?","~?")))</x:f>
      </x:c>
      <x:c r="H411" s="2" t="str">
        <x:f>IF(COUNTA(A411:F411)=0,"",COUNTIFS('External Data'!$L$2:$L$1001,SUBSTITUTE(SUBSTITUTE(SUBSTITUTE(L411,"~","~~"),"*","~*"),"?","~?")))</x:f>
      </x:c>
      <x:c r="I411" s="13" t="str">
        <x:f>IF(OR(H411&lt;&gt;1,G411&lt;&gt;1),"",SUMIFS('External Data'!$E$2:$E$1001,'External Data'!$L$2:$L$1001,SUBSTITUTE(SUBSTITUTE(SUBSTITUTE(L411,"~","~~"),"*","~*"),"?","~?")))</x:f>
      </x:c>
      <x:c r="J411" s="13" t="str">
        <x:f>IF(OR(NOT(ISNUMBER(E411)),NOT(ISNUMBER(I411))),"",ROUND(E411-I411,2))</x:f>
      </x:c>
      <x:c r="K411" s="2" t="str">
        <x:f>IF(COUNTA(A411:F411)=0,"",IF(OR(A411="",B411="",C411="",D411="",NOT(ISNUMBER(E411))),"Missing / invalid input",IF(G411&gt;1,"Duplicate key in this source",IF(H411=0,"Missing in other source",IF(H411&gt;1,"Duplicate in other source",IF(SUMIFS('External Data'!$M$2:$M$1001,'External Data'!$L$2:$L$1001,SUBSTITUTE(SUBSTITUTE(SUBSTITUTE(L411,"~","~~"),"*","~*"),"?","~?"))&lt;&gt;1,"Other amount is invalid",IF(J411&lt;&gt;0,"Amount differs","Matched")))))))</x:f>
      </x:c>
      <x:c r="L411" t="str">
        <x:f>IF(COUNTA(A411:F411)=0,"",LEN(A411)&amp;":"&amp;A411&amp;LEN(B411)&amp;":"&amp;B411&amp;LEN(C411)&amp;":"&amp;C411&amp;LEN(D411)&amp;":"&amp;D411)</x:f>
      </x:c>
      <x:c r="M411" t="str">
        <x:f>IF(COUNTA(A411:F411)=0,"",IF(ISNUMBER(E411),1,0))</x:f>
      </x:c>
    </x:row>
    <x:row r="412">
      <x:c r="A412" s="11"/>
      <x:c r="B412" s="11"/>
      <x:c r="C412" s="11"/>
      <x:c r="D412" s="11"/>
      <x:c r="E412" s="12"/>
      <x:c r="F412" s="10"/>
      <x:c r="G412" s="2" t="str">
        <x:f>IF(COUNTA(A412:F412)=0,"",COUNTIFS('App Data'!$L$2:$L$1001,SUBSTITUTE(SUBSTITUTE(SUBSTITUTE(L412,"~","~~"),"*","~*"),"?","~?")))</x:f>
      </x:c>
      <x:c r="H412" s="2" t="str">
        <x:f>IF(COUNTA(A412:F412)=0,"",COUNTIFS('External Data'!$L$2:$L$1001,SUBSTITUTE(SUBSTITUTE(SUBSTITUTE(L412,"~","~~"),"*","~*"),"?","~?")))</x:f>
      </x:c>
      <x:c r="I412" s="13" t="str">
        <x:f>IF(OR(H412&lt;&gt;1,G412&lt;&gt;1),"",SUMIFS('External Data'!$E$2:$E$1001,'External Data'!$L$2:$L$1001,SUBSTITUTE(SUBSTITUTE(SUBSTITUTE(L412,"~","~~"),"*","~*"),"?","~?")))</x:f>
      </x:c>
      <x:c r="J412" s="13" t="str">
        <x:f>IF(OR(NOT(ISNUMBER(E412)),NOT(ISNUMBER(I412))),"",ROUND(E412-I412,2))</x:f>
      </x:c>
      <x:c r="K412" s="2" t="str">
        <x:f>IF(COUNTA(A412:F412)=0,"",IF(OR(A412="",B412="",C412="",D412="",NOT(ISNUMBER(E412))),"Missing / invalid input",IF(G412&gt;1,"Duplicate key in this source",IF(H412=0,"Missing in other source",IF(H412&gt;1,"Duplicate in other source",IF(SUMIFS('External Data'!$M$2:$M$1001,'External Data'!$L$2:$L$1001,SUBSTITUTE(SUBSTITUTE(SUBSTITUTE(L412,"~","~~"),"*","~*"),"?","~?"))&lt;&gt;1,"Other amount is invalid",IF(J412&lt;&gt;0,"Amount differs","Matched")))))))</x:f>
      </x:c>
      <x:c r="L412" t="str">
        <x:f>IF(COUNTA(A412:F412)=0,"",LEN(A412)&amp;":"&amp;A412&amp;LEN(B412)&amp;":"&amp;B412&amp;LEN(C412)&amp;":"&amp;C412&amp;LEN(D412)&amp;":"&amp;D412)</x:f>
      </x:c>
      <x:c r="M412" t="str">
        <x:f>IF(COUNTA(A412:F412)=0,"",IF(ISNUMBER(E412),1,0))</x:f>
      </x:c>
    </x:row>
    <x:row r="413">
      <x:c r="A413" s="11"/>
      <x:c r="B413" s="11"/>
      <x:c r="C413" s="11"/>
      <x:c r="D413" s="11"/>
      <x:c r="E413" s="12"/>
      <x:c r="F413" s="10"/>
      <x:c r="G413" s="2" t="str">
        <x:f>IF(COUNTA(A413:F413)=0,"",COUNTIFS('App Data'!$L$2:$L$1001,SUBSTITUTE(SUBSTITUTE(SUBSTITUTE(L413,"~","~~"),"*","~*"),"?","~?")))</x:f>
      </x:c>
      <x:c r="H413" s="2" t="str">
        <x:f>IF(COUNTA(A413:F413)=0,"",COUNTIFS('External Data'!$L$2:$L$1001,SUBSTITUTE(SUBSTITUTE(SUBSTITUTE(L413,"~","~~"),"*","~*"),"?","~?")))</x:f>
      </x:c>
      <x:c r="I413" s="13" t="str">
        <x:f>IF(OR(H413&lt;&gt;1,G413&lt;&gt;1),"",SUMIFS('External Data'!$E$2:$E$1001,'External Data'!$L$2:$L$1001,SUBSTITUTE(SUBSTITUTE(SUBSTITUTE(L413,"~","~~"),"*","~*"),"?","~?")))</x:f>
      </x:c>
      <x:c r="J413" s="13" t="str">
        <x:f>IF(OR(NOT(ISNUMBER(E413)),NOT(ISNUMBER(I413))),"",ROUND(E413-I413,2))</x:f>
      </x:c>
      <x:c r="K413" s="2" t="str">
        <x:f>IF(COUNTA(A413:F413)=0,"",IF(OR(A413="",B413="",C413="",D413="",NOT(ISNUMBER(E413))),"Missing / invalid input",IF(G413&gt;1,"Duplicate key in this source",IF(H413=0,"Missing in other source",IF(H413&gt;1,"Duplicate in other source",IF(SUMIFS('External Data'!$M$2:$M$1001,'External Data'!$L$2:$L$1001,SUBSTITUTE(SUBSTITUTE(SUBSTITUTE(L413,"~","~~"),"*","~*"),"?","~?"))&lt;&gt;1,"Other amount is invalid",IF(J413&lt;&gt;0,"Amount differs","Matched")))))))</x:f>
      </x:c>
      <x:c r="L413" t="str">
        <x:f>IF(COUNTA(A413:F413)=0,"",LEN(A413)&amp;":"&amp;A413&amp;LEN(B413)&amp;":"&amp;B413&amp;LEN(C413)&amp;":"&amp;C413&amp;LEN(D413)&amp;":"&amp;D413)</x:f>
      </x:c>
      <x:c r="M413" t="str">
        <x:f>IF(COUNTA(A413:F413)=0,"",IF(ISNUMBER(E413),1,0))</x:f>
      </x:c>
    </x:row>
    <x:row r="414">
      <x:c r="A414" s="11"/>
      <x:c r="B414" s="11"/>
      <x:c r="C414" s="11"/>
      <x:c r="D414" s="11"/>
      <x:c r="E414" s="12"/>
      <x:c r="F414" s="10"/>
      <x:c r="G414" s="2" t="str">
        <x:f>IF(COUNTA(A414:F414)=0,"",COUNTIFS('App Data'!$L$2:$L$1001,SUBSTITUTE(SUBSTITUTE(SUBSTITUTE(L414,"~","~~"),"*","~*"),"?","~?")))</x:f>
      </x:c>
      <x:c r="H414" s="2" t="str">
        <x:f>IF(COUNTA(A414:F414)=0,"",COUNTIFS('External Data'!$L$2:$L$1001,SUBSTITUTE(SUBSTITUTE(SUBSTITUTE(L414,"~","~~"),"*","~*"),"?","~?")))</x:f>
      </x:c>
      <x:c r="I414" s="13" t="str">
        <x:f>IF(OR(H414&lt;&gt;1,G414&lt;&gt;1),"",SUMIFS('External Data'!$E$2:$E$1001,'External Data'!$L$2:$L$1001,SUBSTITUTE(SUBSTITUTE(SUBSTITUTE(L414,"~","~~"),"*","~*"),"?","~?")))</x:f>
      </x:c>
      <x:c r="J414" s="13" t="str">
        <x:f>IF(OR(NOT(ISNUMBER(E414)),NOT(ISNUMBER(I414))),"",ROUND(E414-I414,2))</x:f>
      </x:c>
      <x:c r="K414" s="2" t="str">
        <x:f>IF(COUNTA(A414:F414)=0,"",IF(OR(A414="",B414="",C414="",D414="",NOT(ISNUMBER(E414))),"Missing / invalid input",IF(G414&gt;1,"Duplicate key in this source",IF(H414=0,"Missing in other source",IF(H414&gt;1,"Duplicate in other source",IF(SUMIFS('External Data'!$M$2:$M$1001,'External Data'!$L$2:$L$1001,SUBSTITUTE(SUBSTITUTE(SUBSTITUTE(L414,"~","~~"),"*","~*"),"?","~?"))&lt;&gt;1,"Other amount is invalid",IF(J414&lt;&gt;0,"Amount differs","Matched")))))))</x:f>
      </x:c>
      <x:c r="L414" t="str">
        <x:f>IF(COUNTA(A414:F414)=0,"",LEN(A414)&amp;":"&amp;A414&amp;LEN(B414)&amp;":"&amp;B414&amp;LEN(C414)&amp;":"&amp;C414&amp;LEN(D414)&amp;":"&amp;D414)</x:f>
      </x:c>
      <x:c r="M414" t="str">
        <x:f>IF(COUNTA(A414:F414)=0,"",IF(ISNUMBER(E414),1,0))</x:f>
      </x:c>
    </x:row>
    <x:row r="415">
      <x:c r="A415" s="11"/>
      <x:c r="B415" s="11"/>
      <x:c r="C415" s="11"/>
      <x:c r="D415" s="11"/>
      <x:c r="E415" s="12"/>
      <x:c r="F415" s="10"/>
      <x:c r="G415" s="2" t="str">
        <x:f>IF(COUNTA(A415:F415)=0,"",COUNTIFS('App Data'!$L$2:$L$1001,SUBSTITUTE(SUBSTITUTE(SUBSTITUTE(L415,"~","~~"),"*","~*"),"?","~?")))</x:f>
      </x:c>
      <x:c r="H415" s="2" t="str">
        <x:f>IF(COUNTA(A415:F415)=0,"",COUNTIFS('External Data'!$L$2:$L$1001,SUBSTITUTE(SUBSTITUTE(SUBSTITUTE(L415,"~","~~"),"*","~*"),"?","~?")))</x:f>
      </x:c>
      <x:c r="I415" s="13" t="str">
        <x:f>IF(OR(H415&lt;&gt;1,G415&lt;&gt;1),"",SUMIFS('External Data'!$E$2:$E$1001,'External Data'!$L$2:$L$1001,SUBSTITUTE(SUBSTITUTE(SUBSTITUTE(L415,"~","~~"),"*","~*"),"?","~?")))</x:f>
      </x:c>
      <x:c r="J415" s="13" t="str">
        <x:f>IF(OR(NOT(ISNUMBER(E415)),NOT(ISNUMBER(I415))),"",ROUND(E415-I415,2))</x:f>
      </x:c>
      <x:c r="K415" s="2" t="str">
        <x:f>IF(COUNTA(A415:F415)=0,"",IF(OR(A415="",B415="",C415="",D415="",NOT(ISNUMBER(E415))),"Missing / invalid input",IF(G415&gt;1,"Duplicate key in this source",IF(H415=0,"Missing in other source",IF(H415&gt;1,"Duplicate in other source",IF(SUMIFS('External Data'!$M$2:$M$1001,'External Data'!$L$2:$L$1001,SUBSTITUTE(SUBSTITUTE(SUBSTITUTE(L415,"~","~~"),"*","~*"),"?","~?"))&lt;&gt;1,"Other amount is invalid",IF(J415&lt;&gt;0,"Amount differs","Matched")))))))</x:f>
      </x:c>
      <x:c r="L415" t="str">
        <x:f>IF(COUNTA(A415:F415)=0,"",LEN(A415)&amp;":"&amp;A415&amp;LEN(B415)&amp;":"&amp;B415&amp;LEN(C415)&amp;":"&amp;C415&amp;LEN(D415)&amp;":"&amp;D415)</x:f>
      </x:c>
      <x:c r="M415" t="str">
        <x:f>IF(COUNTA(A415:F415)=0,"",IF(ISNUMBER(E415),1,0))</x:f>
      </x:c>
    </x:row>
    <x:row r="416">
      <x:c r="A416" s="11"/>
      <x:c r="B416" s="11"/>
      <x:c r="C416" s="11"/>
      <x:c r="D416" s="11"/>
      <x:c r="E416" s="12"/>
      <x:c r="F416" s="10"/>
      <x:c r="G416" s="2" t="str">
        <x:f>IF(COUNTA(A416:F416)=0,"",COUNTIFS('App Data'!$L$2:$L$1001,SUBSTITUTE(SUBSTITUTE(SUBSTITUTE(L416,"~","~~"),"*","~*"),"?","~?")))</x:f>
      </x:c>
      <x:c r="H416" s="2" t="str">
        <x:f>IF(COUNTA(A416:F416)=0,"",COUNTIFS('External Data'!$L$2:$L$1001,SUBSTITUTE(SUBSTITUTE(SUBSTITUTE(L416,"~","~~"),"*","~*"),"?","~?")))</x:f>
      </x:c>
      <x:c r="I416" s="13" t="str">
        <x:f>IF(OR(H416&lt;&gt;1,G416&lt;&gt;1),"",SUMIFS('External Data'!$E$2:$E$1001,'External Data'!$L$2:$L$1001,SUBSTITUTE(SUBSTITUTE(SUBSTITUTE(L416,"~","~~"),"*","~*"),"?","~?")))</x:f>
      </x:c>
      <x:c r="J416" s="13" t="str">
        <x:f>IF(OR(NOT(ISNUMBER(E416)),NOT(ISNUMBER(I416))),"",ROUND(E416-I416,2))</x:f>
      </x:c>
      <x:c r="K416" s="2" t="str">
        <x:f>IF(COUNTA(A416:F416)=0,"",IF(OR(A416="",B416="",C416="",D416="",NOT(ISNUMBER(E416))),"Missing / invalid input",IF(G416&gt;1,"Duplicate key in this source",IF(H416=0,"Missing in other source",IF(H416&gt;1,"Duplicate in other source",IF(SUMIFS('External Data'!$M$2:$M$1001,'External Data'!$L$2:$L$1001,SUBSTITUTE(SUBSTITUTE(SUBSTITUTE(L416,"~","~~"),"*","~*"),"?","~?"))&lt;&gt;1,"Other amount is invalid",IF(J416&lt;&gt;0,"Amount differs","Matched")))))))</x:f>
      </x:c>
      <x:c r="L416" t="str">
        <x:f>IF(COUNTA(A416:F416)=0,"",LEN(A416)&amp;":"&amp;A416&amp;LEN(B416)&amp;":"&amp;B416&amp;LEN(C416)&amp;":"&amp;C416&amp;LEN(D416)&amp;":"&amp;D416)</x:f>
      </x:c>
      <x:c r="M416" t="str">
        <x:f>IF(COUNTA(A416:F416)=0,"",IF(ISNUMBER(E416),1,0))</x:f>
      </x:c>
    </x:row>
    <x:row r="417">
      <x:c r="A417" s="11"/>
      <x:c r="B417" s="11"/>
      <x:c r="C417" s="11"/>
      <x:c r="D417" s="11"/>
      <x:c r="E417" s="12"/>
      <x:c r="F417" s="10"/>
      <x:c r="G417" s="2" t="str">
        <x:f>IF(COUNTA(A417:F417)=0,"",COUNTIFS('App Data'!$L$2:$L$1001,SUBSTITUTE(SUBSTITUTE(SUBSTITUTE(L417,"~","~~"),"*","~*"),"?","~?")))</x:f>
      </x:c>
      <x:c r="H417" s="2" t="str">
        <x:f>IF(COUNTA(A417:F417)=0,"",COUNTIFS('External Data'!$L$2:$L$1001,SUBSTITUTE(SUBSTITUTE(SUBSTITUTE(L417,"~","~~"),"*","~*"),"?","~?")))</x:f>
      </x:c>
      <x:c r="I417" s="13" t="str">
        <x:f>IF(OR(H417&lt;&gt;1,G417&lt;&gt;1),"",SUMIFS('External Data'!$E$2:$E$1001,'External Data'!$L$2:$L$1001,SUBSTITUTE(SUBSTITUTE(SUBSTITUTE(L417,"~","~~"),"*","~*"),"?","~?")))</x:f>
      </x:c>
      <x:c r="J417" s="13" t="str">
        <x:f>IF(OR(NOT(ISNUMBER(E417)),NOT(ISNUMBER(I417))),"",ROUND(E417-I417,2))</x:f>
      </x:c>
      <x:c r="K417" s="2" t="str">
        <x:f>IF(COUNTA(A417:F417)=0,"",IF(OR(A417="",B417="",C417="",D417="",NOT(ISNUMBER(E417))),"Missing / invalid input",IF(G417&gt;1,"Duplicate key in this source",IF(H417=0,"Missing in other source",IF(H417&gt;1,"Duplicate in other source",IF(SUMIFS('External Data'!$M$2:$M$1001,'External Data'!$L$2:$L$1001,SUBSTITUTE(SUBSTITUTE(SUBSTITUTE(L417,"~","~~"),"*","~*"),"?","~?"))&lt;&gt;1,"Other amount is invalid",IF(J417&lt;&gt;0,"Amount differs","Matched")))))))</x:f>
      </x:c>
      <x:c r="L417" t="str">
        <x:f>IF(COUNTA(A417:F417)=0,"",LEN(A417)&amp;":"&amp;A417&amp;LEN(B417)&amp;":"&amp;B417&amp;LEN(C417)&amp;":"&amp;C417&amp;LEN(D417)&amp;":"&amp;D417)</x:f>
      </x:c>
      <x:c r="M417" t="str">
        <x:f>IF(COUNTA(A417:F417)=0,"",IF(ISNUMBER(E417),1,0))</x:f>
      </x:c>
    </x:row>
    <x:row r="418">
      <x:c r="A418" s="11"/>
      <x:c r="B418" s="11"/>
      <x:c r="C418" s="11"/>
      <x:c r="D418" s="11"/>
      <x:c r="E418" s="12"/>
      <x:c r="F418" s="10"/>
      <x:c r="G418" s="2" t="str">
        <x:f>IF(COUNTA(A418:F418)=0,"",COUNTIFS('App Data'!$L$2:$L$1001,SUBSTITUTE(SUBSTITUTE(SUBSTITUTE(L418,"~","~~"),"*","~*"),"?","~?")))</x:f>
      </x:c>
      <x:c r="H418" s="2" t="str">
        <x:f>IF(COUNTA(A418:F418)=0,"",COUNTIFS('External Data'!$L$2:$L$1001,SUBSTITUTE(SUBSTITUTE(SUBSTITUTE(L418,"~","~~"),"*","~*"),"?","~?")))</x:f>
      </x:c>
      <x:c r="I418" s="13" t="str">
        <x:f>IF(OR(H418&lt;&gt;1,G418&lt;&gt;1),"",SUMIFS('External Data'!$E$2:$E$1001,'External Data'!$L$2:$L$1001,SUBSTITUTE(SUBSTITUTE(SUBSTITUTE(L418,"~","~~"),"*","~*"),"?","~?")))</x:f>
      </x:c>
      <x:c r="J418" s="13" t="str">
        <x:f>IF(OR(NOT(ISNUMBER(E418)),NOT(ISNUMBER(I418))),"",ROUND(E418-I418,2))</x:f>
      </x:c>
      <x:c r="K418" s="2" t="str">
        <x:f>IF(COUNTA(A418:F418)=0,"",IF(OR(A418="",B418="",C418="",D418="",NOT(ISNUMBER(E418))),"Missing / invalid input",IF(G418&gt;1,"Duplicate key in this source",IF(H418=0,"Missing in other source",IF(H418&gt;1,"Duplicate in other source",IF(SUMIFS('External Data'!$M$2:$M$1001,'External Data'!$L$2:$L$1001,SUBSTITUTE(SUBSTITUTE(SUBSTITUTE(L418,"~","~~"),"*","~*"),"?","~?"))&lt;&gt;1,"Other amount is invalid",IF(J418&lt;&gt;0,"Amount differs","Matched")))))))</x:f>
      </x:c>
      <x:c r="L418" t="str">
        <x:f>IF(COUNTA(A418:F418)=0,"",LEN(A418)&amp;":"&amp;A418&amp;LEN(B418)&amp;":"&amp;B418&amp;LEN(C418)&amp;":"&amp;C418&amp;LEN(D418)&amp;":"&amp;D418)</x:f>
      </x:c>
      <x:c r="M418" t="str">
        <x:f>IF(COUNTA(A418:F418)=0,"",IF(ISNUMBER(E418),1,0))</x:f>
      </x:c>
    </x:row>
    <x:row r="419">
      <x:c r="A419" s="11"/>
      <x:c r="B419" s="11"/>
      <x:c r="C419" s="11"/>
      <x:c r="D419" s="11"/>
      <x:c r="E419" s="12"/>
      <x:c r="F419" s="10"/>
      <x:c r="G419" s="2" t="str">
        <x:f>IF(COUNTA(A419:F419)=0,"",COUNTIFS('App Data'!$L$2:$L$1001,SUBSTITUTE(SUBSTITUTE(SUBSTITUTE(L419,"~","~~"),"*","~*"),"?","~?")))</x:f>
      </x:c>
      <x:c r="H419" s="2" t="str">
        <x:f>IF(COUNTA(A419:F419)=0,"",COUNTIFS('External Data'!$L$2:$L$1001,SUBSTITUTE(SUBSTITUTE(SUBSTITUTE(L419,"~","~~"),"*","~*"),"?","~?")))</x:f>
      </x:c>
      <x:c r="I419" s="13" t="str">
        <x:f>IF(OR(H419&lt;&gt;1,G419&lt;&gt;1),"",SUMIFS('External Data'!$E$2:$E$1001,'External Data'!$L$2:$L$1001,SUBSTITUTE(SUBSTITUTE(SUBSTITUTE(L419,"~","~~"),"*","~*"),"?","~?")))</x:f>
      </x:c>
      <x:c r="J419" s="13" t="str">
        <x:f>IF(OR(NOT(ISNUMBER(E419)),NOT(ISNUMBER(I419))),"",ROUND(E419-I419,2))</x:f>
      </x:c>
      <x:c r="K419" s="2" t="str">
        <x:f>IF(COUNTA(A419:F419)=0,"",IF(OR(A419="",B419="",C419="",D419="",NOT(ISNUMBER(E419))),"Missing / invalid input",IF(G419&gt;1,"Duplicate key in this source",IF(H419=0,"Missing in other source",IF(H419&gt;1,"Duplicate in other source",IF(SUMIFS('External Data'!$M$2:$M$1001,'External Data'!$L$2:$L$1001,SUBSTITUTE(SUBSTITUTE(SUBSTITUTE(L419,"~","~~"),"*","~*"),"?","~?"))&lt;&gt;1,"Other amount is invalid",IF(J419&lt;&gt;0,"Amount differs","Matched")))))))</x:f>
      </x:c>
      <x:c r="L419" t="str">
        <x:f>IF(COUNTA(A419:F419)=0,"",LEN(A419)&amp;":"&amp;A419&amp;LEN(B419)&amp;":"&amp;B419&amp;LEN(C419)&amp;":"&amp;C419&amp;LEN(D419)&amp;":"&amp;D419)</x:f>
      </x:c>
      <x:c r="M419" t="str">
        <x:f>IF(COUNTA(A419:F419)=0,"",IF(ISNUMBER(E419),1,0))</x:f>
      </x:c>
    </x:row>
    <x:row r="420">
      <x:c r="A420" s="11"/>
      <x:c r="B420" s="11"/>
      <x:c r="C420" s="11"/>
      <x:c r="D420" s="11"/>
      <x:c r="E420" s="12"/>
      <x:c r="F420" s="10"/>
      <x:c r="G420" s="2" t="str">
        <x:f>IF(COUNTA(A420:F420)=0,"",COUNTIFS('App Data'!$L$2:$L$1001,SUBSTITUTE(SUBSTITUTE(SUBSTITUTE(L420,"~","~~"),"*","~*"),"?","~?")))</x:f>
      </x:c>
      <x:c r="H420" s="2" t="str">
        <x:f>IF(COUNTA(A420:F420)=0,"",COUNTIFS('External Data'!$L$2:$L$1001,SUBSTITUTE(SUBSTITUTE(SUBSTITUTE(L420,"~","~~"),"*","~*"),"?","~?")))</x:f>
      </x:c>
      <x:c r="I420" s="13" t="str">
        <x:f>IF(OR(H420&lt;&gt;1,G420&lt;&gt;1),"",SUMIFS('External Data'!$E$2:$E$1001,'External Data'!$L$2:$L$1001,SUBSTITUTE(SUBSTITUTE(SUBSTITUTE(L420,"~","~~"),"*","~*"),"?","~?")))</x:f>
      </x:c>
      <x:c r="J420" s="13" t="str">
        <x:f>IF(OR(NOT(ISNUMBER(E420)),NOT(ISNUMBER(I420))),"",ROUND(E420-I420,2))</x:f>
      </x:c>
      <x:c r="K420" s="2" t="str">
        <x:f>IF(COUNTA(A420:F420)=0,"",IF(OR(A420="",B420="",C420="",D420="",NOT(ISNUMBER(E420))),"Missing / invalid input",IF(G420&gt;1,"Duplicate key in this source",IF(H420=0,"Missing in other source",IF(H420&gt;1,"Duplicate in other source",IF(SUMIFS('External Data'!$M$2:$M$1001,'External Data'!$L$2:$L$1001,SUBSTITUTE(SUBSTITUTE(SUBSTITUTE(L420,"~","~~"),"*","~*"),"?","~?"))&lt;&gt;1,"Other amount is invalid",IF(J420&lt;&gt;0,"Amount differs","Matched")))))))</x:f>
      </x:c>
      <x:c r="L420" t="str">
        <x:f>IF(COUNTA(A420:F420)=0,"",LEN(A420)&amp;":"&amp;A420&amp;LEN(B420)&amp;":"&amp;B420&amp;LEN(C420)&amp;":"&amp;C420&amp;LEN(D420)&amp;":"&amp;D420)</x:f>
      </x:c>
      <x:c r="M420" t="str">
        <x:f>IF(COUNTA(A420:F420)=0,"",IF(ISNUMBER(E420),1,0))</x:f>
      </x:c>
    </x:row>
    <x:row r="421">
      <x:c r="A421" s="11"/>
      <x:c r="B421" s="11"/>
      <x:c r="C421" s="11"/>
      <x:c r="D421" s="11"/>
      <x:c r="E421" s="12"/>
      <x:c r="F421" s="10"/>
      <x:c r="G421" s="2" t="str">
        <x:f>IF(COUNTA(A421:F421)=0,"",COUNTIFS('App Data'!$L$2:$L$1001,SUBSTITUTE(SUBSTITUTE(SUBSTITUTE(L421,"~","~~"),"*","~*"),"?","~?")))</x:f>
      </x:c>
      <x:c r="H421" s="2" t="str">
        <x:f>IF(COUNTA(A421:F421)=0,"",COUNTIFS('External Data'!$L$2:$L$1001,SUBSTITUTE(SUBSTITUTE(SUBSTITUTE(L421,"~","~~"),"*","~*"),"?","~?")))</x:f>
      </x:c>
      <x:c r="I421" s="13" t="str">
        <x:f>IF(OR(H421&lt;&gt;1,G421&lt;&gt;1),"",SUMIFS('External Data'!$E$2:$E$1001,'External Data'!$L$2:$L$1001,SUBSTITUTE(SUBSTITUTE(SUBSTITUTE(L421,"~","~~"),"*","~*"),"?","~?")))</x:f>
      </x:c>
      <x:c r="J421" s="13" t="str">
        <x:f>IF(OR(NOT(ISNUMBER(E421)),NOT(ISNUMBER(I421))),"",ROUND(E421-I421,2))</x:f>
      </x:c>
      <x:c r="K421" s="2" t="str">
        <x:f>IF(COUNTA(A421:F421)=0,"",IF(OR(A421="",B421="",C421="",D421="",NOT(ISNUMBER(E421))),"Missing / invalid input",IF(G421&gt;1,"Duplicate key in this source",IF(H421=0,"Missing in other source",IF(H421&gt;1,"Duplicate in other source",IF(SUMIFS('External Data'!$M$2:$M$1001,'External Data'!$L$2:$L$1001,SUBSTITUTE(SUBSTITUTE(SUBSTITUTE(L421,"~","~~"),"*","~*"),"?","~?"))&lt;&gt;1,"Other amount is invalid",IF(J421&lt;&gt;0,"Amount differs","Matched")))))))</x:f>
      </x:c>
      <x:c r="L421" t="str">
        <x:f>IF(COUNTA(A421:F421)=0,"",LEN(A421)&amp;":"&amp;A421&amp;LEN(B421)&amp;":"&amp;B421&amp;LEN(C421)&amp;":"&amp;C421&amp;LEN(D421)&amp;":"&amp;D421)</x:f>
      </x:c>
      <x:c r="M421" t="str">
        <x:f>IF(COUNTA(A421:F421)=0,"",IF(ISNUMBER(E421),1,0))</x:f>
      </x:c>
    </x:row>
    <x:row r="422">
      <x:c r="A422" s="11"/>
      <x:c r="B422" s="11"/>
      <x:c r="C422" s="11"/>
      <x:c r="D422" s="11"/>
      <x:c r="E422" s="12"/>
      <x:c r="F422" s="10"/>
      <x:c r="G422" s="2" t="str">
        <x:f>IF(COUNTA(A422:F422)=0,"",COUNTIFS('App Data'!$L$2:$L$1001,SUBSTITUTE(SUBSTITUTE(SUBSTITUTE(L422,"~","~~"),"*","~*"),"?","~?")))</x:f>
      </x:c>
      <x:c r="H422" s="2" t="str">
        <x:f>IF(COUNTA(A422:F422)=0,"",COUNTIFS('External Data'!$L$2:$L$1001,SUBSTITUTE(SUBSTITUTE(SUBSTITUTE(L422,"~","~~"),"*","~*"),"?","~?")))</x:f>
      </x:c>
      <x:c r="I422" s="13" t="str">
        <x:f>IF(OR(H422&lt;&gt;1,G422&lt;&gt;1),"",SUMIFS('External Data'!$E$2:$E$1001,'External Data'!$L$2:$L$1001,SUBSTITUTE(SUBSTITUTE(SUBSTITUTE(L422,"~","~~"),"*","~*"),"?","~?")))</x:f>
      </x:c>
      <x:c r="J422" s="13" t="str">
        <x:f>IF(OR(NOT(ISNUMBER(E422)),NOT(ISNUMBER(I422))),"",ROUND(E422-I422,2))</x:f>
      </x:c>
      <x:c r="K422" s="2" t="str">
        <x:f>IF(COUNTA(A422:F422)=0,"",IF(OR(A422="",B422="",C422="",D422="",NOT(ISNUMBER(E422))),"Missing / invalid input",IF(G422&gt;1,"Duplicate key in this source",IF(H422=0,"Missing in other source",IF(H422&gt;1,"Duplicate in other source",IF(SUMIFS('External Data'!$M$2:$M$1001,'External Data'!$L$2:$L$1001,SUBSTITUTE(SUBSTITUTE(SUBSTITUTE(L422,"~","~~"),"*","~*"),"?","~?"))&lt;&gt;1,"Other amount is invalid",IF(J422&lt;&gt;0,"Amount differs","Matched")))))))</x:f>
      </x:c>
      <x:c r="L422" t="str">
        <x:f>IF(COUNTA(A422:F422)=0,"",LEN(A422)&amp;":"&amp;A422&amp;LEN(B422)&amp;":"&amp;B422&amp;LEN(C422)&amp;":"&amp;C422&amp;LEN(D422)&amp;":"&amp;D422)</x:f>
      </x:c>
      <x:c r="M422" t="str">
        <x:f>IF(COUNTA(A422:F422)=0,"",IF(ISNUMBER(E422),1,0))</x:f>
      </x:c>
    </x:row>
    <x:row r="423">
      <x:c r="A423" s="11"/>
      <x:c r="B423" s="11"/>
      <x:c r="C423" s="11"/>
      <x:c r="D423" s="11"/>
      <x:c r="E423" s="12"/>
      <x:c r="F423" s="10"/>
      <x:c r="G423" s="2" t="str">
        <x:f>IF(COUNTA(A423:F423)=0,"",COUNTIFS('App Data'!$L$2:$L$1001,SUBSTITUTE(SUBSTITUTE(SUBSTITUTE(L423,"~","~~"),"*","~*"),"?","~?")))</x:f>
      </x:c>
      <x:c r="H423" s="2" t="str">
        <x:f>IF(COUNTA(A423:F423)=0,"",COUNTIFS('External Data'!$L$2:$L$1001,SUBSTITUTE(SUBSTITUTE(SUBSTITUTE(L423,"~","~~"),"*","~*"),"?","~?")))</x:f>
      </x:c>
      <x:c r="I423" s="13" t="str">
        <x:f>IF(OR(H423&lt;&gt;1,G423&lt;&gt;1),"",SUMIFS('External Data'!$E$2:$E$1001,'External Data'!$L$2:$L$1001,SUBSTITUTE(SUBSTITUTE(SUBSTITUTE(L423,"~","~~"),"*","~*"),"?","~?")))</x:f>
      </x:c>
      <x:c r="J423" s="13" t="str">
        <x:f>IF(OR(NOT(ISNUMBER(E423)),NOT(ISNUMBER(I423))),"",ROUND(E423-I423,2))</x:f>
      </x:c>
      <x:c r="K423" s="2" t="str">
        <x:f>IF(COUNTA(A423:F423)=0,"",IF(OR(A423="",B423="",C423="",D423="",NOT(ISNUMBER(E423))),"Missing / invalid input",IF(G423&gt;1,"Duplicate key in this source",IF(H423=0,"Missing in other source",IF(H423&gt;1,"Duplicate in other source",IF(SUMIFS('External Data'!$M$2:$M$1001,'External Data'!$L$2:$L$1001,SUBSTITUTE(SUBSTITUTE(SUBSTITUTE(L423,"~","~~"),"*","~*"),"?","~?"))&lt;&gt;1,"Other amount is invalid",IF(J423&lt;&gt;0,"Amount differs","Matched")))))))</x:f>
      </x:c>
      <x:c r="L423" t="str">
        <x:f>IF(COUNTA(A423:F423)=0,"",LEN(A423)&amp;":"&amp;A423&amp;LEN(B423)&amp;":"&amp;B423&amp;LEN(C423)&amp;":"&amp;C423&amp;LEN(D423)&amp;":"&amp;D423)</x:f>
      </x:c>
      <x:c r="M423" t="str">
        <x:f>IF(COUNTA(A423:F423)=0,"",IF(ISNUMBER(E423),1,0))</x:f>
      </x:c>
    </x:row>
    <x:row r="424">
      <x:c r="A424" s="11"/>
      <x:c r="B424" s="11"/>
      <x:c r="C424" s="11"/>
      <x:c r="D424" s="11"/>
      <x:c r="E424" s="12"/>
      <x:c r="F424" s="10"/>
      <x:c r="G424" s="2" t="str">
        <x:f>IF(COUNTA(A424:F424)=0,"",COUNTIFS('App Data'!$L$2:$L$1001,SUBSTITUTE(SUBSTITUTE(SUBSTITUTE(L424,"~","~~"),"*","~*"),"?","~?")))</x:f>
      </x:c>
      <x:c r="H424" s="2" t="str">
        <x:f>IF(COUNTA(A424:F424)=0,"",COUNTIFS('External Data'!$L$2:$L$1001,SUBSTITUTE(SUBSTITUTE(SUBSTITUTE(L424,"~","~~"),"*","~*"),"?","~?")))</x:f>
      </x:c>
      <x:c r="I424" s="13" t="str">
        <x:f>IF(OR(H424&lt;&gt;1,G424&lt;&gt;1),"",SUMIFS('External Data'!$E$2:$E$1001,'External Data'!$L$2:$L$1001,SUBSTITUTE(SUBSTITUTE(SUBSTITUTE(L424,"~","~~"),"*","~*"),"?","~?")))</x:f>
      </x:c>
      <x:c r="J424" s="13" t="str">
        <x:f>IF(OR(NOT(ISNUMBER(E424)),NOT(ISNUMBER(I424))),"",ROUND(E424-I424,2))</x:f>
      </x:c>
      <x:c r="K424" s="2" t="str">
        <x:f>IF(COUNTA(A424:F424)=0,"",IF(OR(A424="",B424="",C424="",D424="",NOT(ISNUMBER(E424))),"Missing / invalid input",IF(G424&gt;1,"Duplicate key in this source",IF(H424=0,"Missing in other source",IF(H424&gt;1,"Duplicate in other source",IF(SUMIFS('External Data'!$M$2:$M$1001,'External Data'!$L$2:$L$1001,SUBSTITUTE(SUBSTITUTE(SUBSTITUTE(L424,"~","~~"),"*","~*"),"?","~?"))&lt;&gt;1,"Other amount is invalid",IF(J424&lt;&gt;0,"Amount differs","Matched")))))))</x:f>
      </x:c>
      <x:c r="L424" t="str">
        <x:f>IF(COUNTA(A424:F424)=0,"",LEN(A424)&amp;":"&amp;A424&amp;LEN(B424)&amp;":"&amp;B424&amp;LEN(C424)&amp;":"&amp;C424&amp;LEN(D424)&amp;":"&amp;D424)</x:f>
      </x:c>
      <x:c r="M424" t="str">
        <x:f>IF(COUNTA(A424:F424)=0,"",IF(ISNUMBER(E424),1,0))</x:f>
      </x:c>
    </x:row>
    <x:row r="425">
      <x:c r="A425" s="11"/>
      <x:c r="B425" s="11"/>
      <x:c r="C425" s="11"/>
      <x:c r="D425" s="11"/>
      <x:c r="E425" s="12"/>
      <x:c r="F425" s="10"/>
      <x:c r="G425" s="2" t="str">
        <x:f>IF(COUNTA(A425:F425)=0,"",COUNTIFS('App Data'!$L$2:$L$1001,SUBSTITUTE(SUBSTITUTE(SUBSTITUTE(L425,"~","~~"),"*","~*"),"?","~?")))</x:f>
      </x:c>
      <x:c r="H425" s="2" t="str">
        <x:f>IF(COUNTA(A425:F425)=0,"",COUNTIFS('External Data'!$L$2:$L$1001,SUBSTITUTE(SUBSTITUTE(SUBSTITUTE(L425,"~","~~"),"*","~*"),"?","~?")))</x:f>
      </x:c>
      <x:c r="I425" s="13" t="str">
        <x:f>IF(OR(H425&lt;&gt;1,G425&lt;&gt;1),"",SUMIFS('External Data'!$E$2:$E$1001,'External Data'!$L$2:$L$1001,SUBSTITUTE(SUBSTITUTE(SUBSTITUTE(L425,"~","~~"),"*","~*"),"?","~?")))</x:f>
      </x:c>
      <x:c r="J425" s="13" t="str">
        <x:f>IF(OR(NOT(ISNUMBER(E425)),NOT(ISNUMBER(I425))),"",ROUND(E425-I425,2))</x:f>
      </x:c>
      <x:c r="K425" s="2" t="str">
        <x:f>IF(COUNTA(A425:F425)=0,"",IF(OR(A425="",B425="",C425="",D425="",NOT(ISNUMBER(E425))),"Missing / invalid input",IF(G425&gt;1,"Duplicate key in this source",IF(H425=0,"Missing in other source",IF(H425&gt;1,"Duplicate in other source",IF(SUMIFS('External Data'!$M$2:$M$1001,'External Data'!$L$2:$L$1001,SUBSTITUTE(SUBSTITUTE(SUBSTITUTE(L425,"~","~~"),"*","~*"),"?","~?"))&lt;&gt;1,"Other amount is invalid",IF(J425&lt;&gt;0,"Amount differs","Matched")))))))</x:f>
      </x:c>
      <x:c r="L425" t="str">
        <x:f>IF(COUNTA(A425:F425)=0,"",LEN(A425)&amp;":"&amp;A425&amp;LEN(B425)&amp;":"&amp;B425&amp;LEN(C425)&amp;":"&amp;C425&amp;LEN(D425)&amp;":"&amp;D425)</x:f>
      </x:c>
      <x:c r="M425" t="str">
        <x:f>IF(COUNTA(A425:F425)=0,"",IF(ISNUMBER(E425),1,0))</x:f>
      </x:c>
    </x:row>
    <x:row r="426">
      <x:c r="A426" s="11"/>
      <x:c r="B426" s="11"/>
      <x:c r="C426" s="11"/>
      <x:c r="D426" s="11"/>
      <x:c r="E426" s="12"/>
      <x:c r="F426" s="10"/>
      <x:c r="G426" s="2" t="str">
        <x:f>IF(COUNTA(A426:F426)=0,"",COUNTIFS('App Data'!$L$2:$L$1001,SUBSTITUTE(SUBSTITUTE(SUBSTITUTE(L426,"~","~~"),"*","~*"),"?","~?")))</x:f>
      </x:c>
      <x:c r="H426" s="2" t="str">
        <x:f>IF(COUNTA(A426:F426)=0,"",COUNTIFS('External Data'!$L$2:$L$1001,SUBSTITUTE(SUBSTITUTE(SUBSTITUTE(L426,"~","~~"),"*","~*"),"?","~?")))</x:f>
      </x:c>
      <x:c r="I426" s="13" t="str">
        <x:f>IF(OR(H426&lt;&gt;1,G426&lt;&gt;1),"",SUMIFS('External Data'!$E$2:$E$1001,'External Data'!$L$2:$L$1001,SUBSTITUTE(SUBSTITUTE(SUBSTITUTE(L426,"~","~~"),"*","~*"),"?","~?")))</x:f>
      </x:c>
      <x:c r="J426" s="13" t="str">
        <x:f>IF(OR(NOT(ISNUMBER(E426)),NOT(ISNUMBER(I426))),"",ROUND(E426-I426,2))</x:f>
      </x:c>
      <x:c r="K426" s="2" t="str">
        <x:f>IF(COUNTA(A426:F426)=0,"",IF(OR(A426="",B426="",C426="",D426="",NOT(ISNUMBER(E426))),"Missing / invalid input",IF(G426&gt;1,"Duplicate key in this source",IF(H426=0,"Missing in other source",IF(H426&gt;1,"Duplicate in other source",IF(SUMIFS('External Data'!$M$2:$M$1001,'External Data'!$L$2:$L$1001,SUBSTITUTE(SUBSTITUTE(SUBSTITUTE(L426,"~","~~"),"*","~*"),"?","~?"))&lt;&gt;1,"Other amount is invalid",IF(J426&lt;&gt;0,"Amount differs","Matched")))))))</x:f>
      </x:c>
      <x:c r="L426" t="str">
        <x:f>IF(COUNTA(A426:F426)=0,"",LEN(A426)&amp;":"&amp;A426&amp;LEN(B426)&amp;":"&amp;B426&amp;LEN(C426)&amp;":"&amp;C426&amp;LEN(D426)&amp;":"&amp;D426)</x:f>
      </x:c>
      <x:c r="M426" t="str">
        <x:f>IF(COUNTA(A426:F426)=0,"",IF(ISNUMBER(E426),1,0))</x:f>
      </x:c>
    </x:row>
    <x:row r="427">
      <x:c r="A427" s="11"/>
      <x:c r="B427" s="11"/>
      <x:c r="C427" s="11"/>
      <x:c r="D427" s="11"/>
      <x:c r="E427" s="12"/>
      <x:c r="F427" s="10"/>
      <x:c r="G427" s="2" t="str">
        <x:f>IF(COUNTA(A427:F427)=0,"",COUNTIFS('App Data'!$L$2:$L$1001,SUBSTITUTE(SUBSTITUTE(SUBSTITUTE(L427,"~","~~"),"*","~*"),"?","~?")))</x:f>
      </x:c>
      <x:c r="H427" s="2" t="str">
        <x:f>IF(COUNTA(A427:F427)=0,"",COUNTIFS('External Data'!$L$2:$L$1001,SUBSTITUTE(SUBSTITUTE(SUBSTITUTE(L427,"~","~~"),"*","~*"),"?","~?")))</x:f>
      </x:c>
      <x:c r="I427" s="13" t="str">
        <x:f>IF(OR(H427&lt;&gt;1,G427&lt;&gt;1),"",SUMIFS('External Data'!$E$2:$E$1001,'External Data'!$L$2:$L$1001,SUBSTITUTE(SUBSTITUTE(SUBSTITUTE(L427,"~","~~"),"*","~*"),"?","~?")))</x:f>
      </x:c>
      <x:c r="J427" s="13" t="str">
        <x:f>IF(OR(NOT(ISNUMBER(E427)),NOT(ISNUMBER(I427))),"",ROUND(E427-I427,2))</x:f>
      </x:c>
      <x:c r="K427" s="2" t="str">
        <x:f>IF(COUNTA(A427:F427)=0,"",IF(OR(A427="",B427="",C427="",D427="",NOT(ISNUMBER(E427))),"Missing / invalid input",IF(G427&gt;1,"Duplicate key in this source",IF(H427=0,"Missing in other source",IF(H427&gt;1,"Duplicate in other source",IF(SUMIFS('External Data'!$M$2:$M$1001,'External Data'!$L$2:$L$1001,SUBSTITUTE(SUBSTITUTE(SUBSTITUTE(L427,"~","~~"),"*","~*"),"?","~?"))&lt;&gt;1,"Other amount is invalid",IF(J427&lt;&gt;0,"Amount differs","Matched")))))))</x:f>
      </x:c>
      <x:c r="L427" t="str">
        <x:f>IF(COUNTA(A427:F427)=0,"",LEN(A427)&amp;":"&amp;A427&amp;LEN(B427)&amp;":"&amp;B427&amp;LEN(C427)&amp;":"&amp;C427&amp;LEN(D427)&amp;":"&amp;D427)</x:f>
      </x:c>
      <x:c r="M427" t="str">
        <x:f>IF(COUNTA(A427:F427)=0,"",IF(ISNUMBER(E427),1,0))</x:f>
      </x:c>
    </x:row>
    <x:row r="428">
      <x:c r="A428" s="11"/>
      <x:c r="B428" s="11"/>
      <x:c r="C428" s="11"/>
      <x:c r="D428" s="11"/>
      <x:c r="E428" s="12"/>
      <x:c r="F428" s="10"/>
      <x:c r="G428" s="2" t="str">
        <x:f>IF(COUNTA(A428:F428)=0,"",COUNTIFS('App Data'!$L$2:$L$1001,SUBSTITUTE(SUBSTITUTE(SUBSTITUTE(L428,"~","~~"),"*","~*"),"?","~?")))</x:f>
      </x:c>
      <x:c r="H428" s="2" t="str">
        <x:f>IF(COUNTA(A428:F428)=0,"",COUNTIFS('External Data'!$L$2:$L$1001,SUBSTITUTE(SUBSTITUTE(SUBSTITUTE(L428,"~","~~"),"*","~*"),"?","~?")))</x:f>
      </x:c>
      <x:c r="I428" s="13" t="str">
        <x:f>IF(OR(H428&lt;&gt;1,G428&lt;&gt;1),"",SUMIFS('External Data'!$E$2:$E$1001,'External Data'!$L$2:$L$1001,SUBSTITUTE(SUBSTITUTE(SUBSTITUTE(L428,"~","~~"),"*","~*"),"?","~?")))</x:f>
      </x:c>
      <x:c r="J428" s="13" t="str">
        <x:f>IF(OR(NOT(ISNUMBER(E428)),NOT(ISNUMBER(I428))),"",ROUND(E428-I428,2))</x:f>
      </x:c>
      <x:c r="K428" s="2" t="str">
        <x:f>IF(COUNTA(A428:F428)=0,"",IF(OR(A428="",B428="",C428="",D428="",NOT(ISNUMBER(E428))),"Missing / invalid input",IF(G428&gt;1,"Duplicate key in this source",IF(H428=0,"Missing in other source",IF(H428&gt;1,"Duplicate in other source",IF(SUMIFS('External Data'!$M$2:$M$1001,'External Data'!$L$2:$L$1001,SUBSTITUTE(SUBSTITUTE(SUBSTITUTE(L428,"~","~~"),"*","~*"),"?","~?"))&lt;&gt;1,"Other amount is invalid",IF(J428&lt;&gt;0,"Amount differs","Matched")))))))</x:f>
      </x:c>
      <x:c r="L428" t="str">
        <x:f>IF(COUNTA(A428:F428)=0,"",LEN(A428)&amp;":"&amp;A428&amp;LEN(B428)&amp;":"&amp;B428&amp;LEN(C428)&amp;":"&amp;C428&amp;LEN(D428)&amp;":"&amp;D428)</x:f>
      </x:c>
      <x:c r="M428" t="str">
        <x:f>IF(COUNTA(A428:F428)=0,"",IF(ISNUMBER(E428),1,0))</x:f>
      </x:c>
    </x:row>
    <x:row r="429">
      <x:c r="A429" s="11"/>
      <x:c r="B429" s="11"/>
      <x:c r="C429" s="11"/>
      <x:c r="D429" s="11"/>
      <x:c r="E429" s="12"/>
      <x:c r="F429" s="10"/>
      <x:c r="G429" s="2" t="str">
        <x:f>IF(COUNTA(A429:F429)=0,"",COUNTIFS('App Data'!$L$2:$L$1001,SUBSTITUTE(SUBSTITUTE(SUBSTITUTE(L429,"~","~~"),"*","~*"),"?","~?")))</x:f>
      </x:c>
      <x:c r="H429" s="2" t="str">
        <x:f>IF(COUNTA(A429:F429)=0,"",COUNTIFS('External Data'!$L$2:$L$1001,SUBSTITUTE(SUBSTITUTE(SUBSTITUTE(L429,"~","~~"),"*","~*"),"?","~?")))</x:f>
      </x:c>
      <x:c r="I429" s="13" t="str">
        <x:f>IF(OR(H429&lt;&gt;1,G429&lt;&gt;1),"",SUMIFS('External Data'!$E$2:$E$1001,'External Data'!$L$2:$L$1001,SUBSTITUTE(SUBSTITUTE(SUBSTITUTE(L429,"~","~~"),"*","~*"),"?","~?")))</x:f>
      </x:c>
      <x:c r="J429" s="13" t="str">
        <x:f>IF(OR(NOT(ISNUMBER(E429)),NOT(ISNUMBER(I429))),"",ROUND(E429-I429,2))</x:f>
      </x:c>
      <x:c r="K429" s="2" t="str">
        <x:f>IF(COUNTA(A429:F429)=0,"",IF(OR(A429="",B429="",C429="",D429="",NOT(ISNUMBER(E429))),"Missing / invalid input",IF(G429&gt;1,"Duplicate key in this source",IF(H429=0,"Missing in other source",IF(H429&gt;1,"Duplicate in other source",IF(SUMIFS('External Data'!$M$2:$M$1001,'External Data'!$L$2:$L$1001,SUBSTITUTE(SUBSTITUTE(SUBSTITUTE(L429,"~","~~"),"*","~*"),"?","~?"))&lt;&gt;1,"Other amount is invalid",IF(J429&lt;&gt;0,"Amount differs","Matched")))))))</x:f>
      </x:c>
      <x:c r="L429" t="str">
        <x:f>IF(COUNTA(A429:F429)=0,"",LEN(A429)&amp;":"&amp;A429&amp;LEN(B429)&amp;":"&amp;B429&amp;LEN(C429)&amp;":"&amp;C429&amp;LEN(D429)&amp;":"&amp;D429)</x:f>
      </x:c>
      <x:c r="M429" t="str">
        <x:f>IF(COUNTA(A429:F429)=0,"",IF(ISNUMBER(E429),1,0))</x:f>
      </x:c>
    </x:row>
    <x:row r="430">
      <x:c r="A430" s="11"/>
      <x:c r="B430" s="11"/>
      <x:c r="C430" s="11"/>
      <x:c r="D430" s="11"/>
      <x:c r="E430" s="12"/>
      <x:c r="F430" s="10"/>
      <x:c r="G430" s="2" t="str">
        <x:f>IF(COUNTA(A430:F430)=0,"",COUNTIFS('App Data'!$L$2:$L$1001,SUBSTITUTE(SUBSTITUTE(SUBSTITUTE(L430,"~","~~"),"*","~*"),"?","~?")))</x:f>
      </x:c>
      <x:c r="H430" s="2" t="str">
        <x:f>IF(COUNTA(A430:F430)=0,"",COUNTIFS('External Data'!$L$2:$L$1001,SUBSTITUTE(SUBSTITUTE(SUBSTITUTE(L430,"~","~~"),"*","~*"),"?","~?")))</x:f>
      </x:c>
      <x:c r="I430" s="13" t="str">
        <x:f>IF(OR(H430&lt;&gt;1,G430&lt;&gt;1),"",SUMIFS('External Data'!$E$2:$E$1001,'External Data'!$L$2:$L$1001,SUBSTITUTE(SUBSTITUTE(SUBSTITUTE(L430,"~","~~"),"*","~*"),"?","~?")))</x:f>
      </x:c>
      <x:c r="J430" s="13" t="str">
        <x:f>IF(OR(NOT(ISNUMBER(E430)),NOT(ISNUMBER(I430))),"",ROUND(E430-I430,2))</x:f>
      </x:c>
      <x:c r="K430" s="2" t="str">
        <x:f>IF(COUNTA(A430:F430)=0,"",IF(OR(A430="",B430="",C430="",D430="",NOT(ISNUMBER(E430))),"Missing / invalid input",IF(G430&gt;1,"Duplicate key in this source",IF(H430=0,"Missing in other source",IF(H430&gt;1,"Duplicate in other source",IF(SUMIFS('External Data'!$M$2:$M$1001,'External Data'!$L$2:$L$1001,SUBSTITUTE(SUBSTITUTE(SUBSTITUTE(L430,"~","~~"),"*","~*"),"?","~?"))&lt;&gt;1,"Other amount is invalid",IF(J430&lt;&gt;0,"Amount differs","Matched")))))))</x:f>
      </x:c>
      <x:c r="L430" t="str">
        <x:f>IF(COUNTA(A430:F430)=0,"",LEN(A430)&amp;":"&amp;A430&amp;LEN(B430)&amp;":"&amp;B430&amp;LEN(C430)&amp;":"&amp;C430&amp;LEN(D430)&amp;":"&amp;D430)</x:f>
      </x:c>
      <x:c r="M430" t="str">
        <x:f>IF(COUNTA(A430:F430)=0,"",IF(ISNUMBER(E430),1,0))</x:f>
      </x:c>
    </x:row>
    <x:row r="431">
      <x:c r="A431" s="11"/>
      <x:c r="B431" s="11"/>
      <x:c r="C431" s="11"/>
      <x:c r="D431" s="11"/>
      <x:c r="E431" s="12"/>
      <x:c r="F431" s="10"/>
      <x:c r="G431" s="2" t="str">
        <x:f>IF(COUNTA(A431:F431)=0,"",COUNTIFS('App Data'!$L$2:$L$1001,SUBSTITUTE(SUBSTITUTE(SUBSTITUTE(L431,"~","~~"),"*","~*"),"?","~?")))</x:f>
      </x:c>
      <x:c r="H431" s="2" t="str">
        <x:f>IF(COUNTA(A431:F431)=0,"",COUNTIFS('External Data'!$L$2:$L$1001,SUBSTITUTE(SUBSTITUTE(SUBSTITUTE(L431,"~","~~"),"*","~*"),"?","~?")))</x:f>
      </x:c>
      <x:c r="I431" s="13" t="str">
        <x:f>IF(OR(H431&lt;&gt;1,G431&lt;&gt;1),"",SUMIFS('External Data'!$E$2:$E$1001,'External Data'!$L$2:$L$1001,SUBSTITUTE(SUBSTITUTE(SUBSTITUTE(L431,"~","~~"),"*","~*"),"?","~?")))</x:f>
      </x:c>
      <x:c r="J431" s="13" t="str">
        <x:f>IF(OR(NOT(ISNUMBER(E431)),NOT(ISNUMBER(I431))),"",ROUND(E431-I431,2))</x:f>
      </x:c>
      <x:c r="K431" s="2" t="str">
        <x:f>IF(COUNTA(A431:F431)=0,"",IF(OR(A431="",B431="",C431="",D431="",NOT(ISNUMBER(E431))),"Missing / invalid input",IF(G431&gt;1,"Duplicate key in this source",IF(H431=0,"Missing in other source",IF(H431&gt;1,"Duplicate in other source",IF(SUMIFS('External Data'!$M$2:$M$1001,'External Data'!$L$2:$L$1001,SUBSTITUTE(SUBSTITUTE(SUBSTITUTE(L431,"~","~~"),"*","~*"),"?","~?"))&lt;&gt;1,"Other amount is invalid",IF(J431&lt;&gt;0,"Amount differs","Matched")))))))</x:f>
      </x:c>
      <x:c r="L431" t="str">
        <x:f>IF(COUNTA(A431:F431)=0,"",LEN(A431)&amp;":"&amp;A431&amp;LEN(B431)&amp;":"&amp;B431&amp;LEN(C431)&amp;":"&amp;C431&amp;LEN(D431)&amp;":"&amp;D431)</x:f>
      </x:c>
      <x:c r="M431" t="str">
        <x:f>IF(COUNTA(A431:F431)=0,"",IF(ISNUMBER(E431),1,0))</x:f>
      </x:c>
    </x:row>
    <x:row r="432">
      <x:c r="A432" s="11"/>
      <x:c r="B432" s="11"/>
      <x:c r="C432" s="11"/>
      <x:c r="D432" s="11"/>
      <x:c r="E432" s="12"/>
      <x:c r="F432" s="10"/>
      <x:c r="G432" s="2" t="str">
        <x:f>IF(COUNTA(A432:F432)=0,"",COUNTIFS('App Data'!$L$2:$L$1001,SUBSTITUTE(SUBSTITUTE(SUBSTITUTE(L432,"~","~~"),"*","~*"),"?","~?")))</x:f>
      </x:c>
      <x:c r="H432" s="2" t="str">
        <x:f>IF(COUNTA(A432:F432)=0,"",COUNTIFS('External Data'!$L$2:$L$1001,SUBSTITUTE(SUBSTITUTE(SUBSTITUTE(L432,"~","~~"),"*","~*"),"?","~?")))</x:f>
      </x:c>
      <x:c r="I432" s="13" t="str">
        <x:f>IF(OR(H432&lt;&gt;1,G432&lt;&gt;1),"",SUMIFS('External Data'!$E$2:$E$1001,'External Data'!$L$2:$L$1001,SUBSTITUTE(SUBSTITUTE(SUBSTITUTE(L432,"~","~~"),"*","~*"),"?","~?")))</x:f>
      </x:c>
      <x:c r="J432" s="13" t="str">
        <x:f>IF(OR(NOT(ISNUMBER(E432)),NOT(ISNUMBER(I432))),"",ROUND(E432-I432,2))</x:f>
      </x:c>
      <x:c r="K432" s="2" t="str">
        <x:f>IF(COUNTA(A432:F432)=0,"",IF(OR(A432="",B432="",C432="",D432="",NOT(ISNUMBER(E432))),"Missing / invalid input",IF(G432&gt;1,"Duplicate key in this source",IF(H432=0,"Missing in other source",IF(H432&gt;1,"Duplicate in other source",IF(SUMIFS('External Data'!$M$2:$M$1001,'External Data'!$L$2:$L$1001,SUBSTITUTE(SUBSTITUTE(SUBSTITUTE(L432,"~","~~"),"*","~*"),"?","~?"))&lt;&gt;1,"Other amount is invalid",IF(J432&lt;&gt;0,"Amount differs","Matched")))))))</x:f>
      </x:c>
      <x:c r="L432" t="str">
        <x:f>IF(COUNTA(A432:F432)=0,"",LEN(A432)&amp;":"&amp;A432&amp;LEN(B432)&amp;":"&amp;B432&amp;LEN(C432)&amp;":"&amp;C432&amp;LEN(D432)&amp;":"&amp;D432)</x:f>
      </x:c>
      <x:c r="M432" t="str">
        <x:f>IF(COUNTA(A432:F432)=0,"",IF(ISNUMBER(E432),1,0))</x:f>
      </x:c>
    </x:row>
    <x:row r="433">
      <x:c r="A433" s="11"/>
      <x:c r="B433" s="11"/>
      <x:c r="C433" s="11"/>
      <x:c r="D433" s="11"/>
      <x:c r="E433" s="12"/>
      <x:c r="F433" s="10"/>
      <x:c r="G433" s="2" t="str">
        <x:f>IF(COUNTA(A433:F433)=0,"",COUNTIFS('App Data'!$L$2:$L$1001,SUBSTITUTE(SUBSTITUTE(SUBSTITUTE(L433,"~","~~"),"*","~*"),"?","~?")))</x:f>
      </x:c>
      <x:c r="H433" s="2" t="str">
        <x:f>IF(COUNTA(A433:F433)=0,"",COUNTIFS('External Data'!$L$2:$L$1001,SUBSTITUTE(SUBSTITUTE(SUBSTITUTE(L433,"~","~~"),"*","~*"),"?","~?")))</x:f>
      </x:c>
      <x:c r="I433" s="13" t="str">
        <x:f>IF(OR(H433&lt;&gt;1,G433&lt;&gt;1),"",SUMIFS('External Data'!$E$2:$E$1001,'External Data'!$L$2:$L$1001,SUBSTITUTE(SUBSTITUTE(SUBSTITUTE(L433,"~","~~"),"*","~*"),"?","~?")))</x:f>
      </x:c>
      <x:c r="J433" s="13" t="str">
        <x:f>IF(OR(NOT(ISNUMBER(E433)),NOT(ISNUMBER(I433))),"",ROUND(E433-I433,2))</x:f>
      </x:c>
      <x:c r="K433" s="2" t="str">
        <x:f>IF(COUNTA(A433:F433)=0,"",IF(OR(A433="",B433="",C433="",D433="",NOT(ISNUMBER(E433))),"Missing / invalid input",IF(G433&gt;1,"Duplicate key in this source",IF(H433=0,"Missing in other source",IF(H433&gt;1,"Duplicate in other source",IF(SUMIFS('External Data'!$M$2:$M$1001,'External Data'!$L$2:$L$1001,SUBSTITUTE(SUBSTITUTE(SUBSTITUTE(L433,"~","~~"),"*","~*"),"?","~?"))&lt;&gt;1,"Other amount is invalid",IF(J433&lt;&gt;0,"Amount differs","Matched")))))))</x:f>
      </x:c>
      <x:c r="L433" t="str">
        <x:f>IF(COUNTA(A433:F433)=0,"",LEN(A433)&amp;":"&amp;A433&amp;LEN(B433)&amp;":"&amp;B433&amp;LEN(C433)&amp;":"&amp;C433&amp;LEN(D433)&amp;":"&amp;D433)</x:f>
      </x:c>
      <x:c r="M433" t="str">
        <x:f>IF(COUNTA(A433:F433)=0,"",IF(ISNUMBER(E433),1,0))</x:f>
      </x:c>
    </x:row>
    <x:row r="434">
      <x:c r="A434" s="11"/>
      <x:c r="B434" s="11"/>
      <x:c r="C434" s="11"/>
      <x:c r="D434" s="11"/>
      <x:c r="E434" s="12"/>
      <x:c r="F434" s="10"/>
      <x:c r="G434" s="2" t="str">
        <x:f>IF(COUNTA(A434:F434)=0,"",COUNTIFS('App Data'!$L$2:$L$1001,SUBSTITUTE(SUBSTITUTE(SUBSTITUTE(L434,"~","~~"),"*","~*"),"?","~?")))</x:f>
      </x:c>
      <x:c r="H434" s="2" t="str">
        <x:f>IF(COUNTA(A434:F434)=0,"",COUNTIFS('External Data'!$L$2:$L$1001,SUBSTITUTE(SUBSTITUTE(SUBSTITUTE(L434,"~","~~"),"*","~*"),"?","~?")))</x:f>
      </x:c>
      <x:c r="I434" s="13" t="str">
        <x:f>IF(OR(H434&lt;&gt;1,G434&lt;&gt;1),"",SUMIFS('External Data'!$E$2:$E$1001,'External Data'!$L$2:$L$1001,SUBSTITUTE(SUBSTITUTE(SUBSTITUTE(L434,"~","~~"),"*","~*"),"?","~?")))</x:f>
      </x:c>
      <x:c r="J434" s="13" t="str">
        <x:f>IF(OR(NOT(ISNUMBER(E434)),NOT(ISNUMBER(I434))),"",ROUND(E434-I434,2))</x:f>
      </x:c>
      <x:c r="K434" s="2" t="str">
        <x:f>IF(COUNTA(A434:F434)=0,"",IF(OR(A434="",B434="",C434="",D434="",NOT(ISNUMBER(E434))),"Missing / invalid input",IF(G434&gt;1,"Duplicate key in this source",IF(H434=0,"Missing in other source",IF(H434&gt;1,"Duplicate in other source",IF(SUMIFS('External Data'!$M$2:$M$1001,'External Data'!$L$2:$L$1001,SUBSTITUTE(SUBSTITUTE(SUBSTITUTE(L434,"~","~~"),"*","~*"),"?","~?"))&lt;&gt;1,"Other amount is invalid",IF(J434&lt;&gt;0,"Amount differs","Matched")))))))</x:f>
      </x:c>
      <x:c r="L434" t="str">
        <x:f>IF(COUNTA(A434:F434)=0,"",LEN(A434)&amp;":"&amp;A434&amp;LEN(B434)&amp;":"&amp;B434&amp;LEN(C434)&amp;":"&amp;C434&amp;LEN(D434)&amp;":"&amp;D434)</x:f>
      </x:c>
      <x:c r="M434" t="str">
        <x:f>IF(COUNTA(A434:F434)=0,"",IF(ISNUMBER(E434),1,0))</x:f>
      </x:c>
    </x:row>
    <x:row r="435">
      <x:c r="A435" s="11"/>
      <x:c r="B435" s="11"/>
      <x:c r="C435" s="11"/>
      <x:c r="D435" s="11"/>
      <x:c r="E435" s="12"/>
      <x:c r="F435" s="10"/>
      <x:c r="G435" s="2" t="str">
        <x:f>IF(COUNTA(A435:F435)=0,"",COUNTIFS('App Data'!$L$2:$L$1001,SUBSTITUTE(SUBSTITUTE(SUBSTITUTE(L435,"~","~~"),"*","~*"),"?","~?")))</x:f>
      </x:c>
      <x:c r="H435" s="2" t="str">
        <x:f>IF(COUNTA(A435:F435)=0,"",COUNTIFS('External Data'!$L$2:$L$1001,SUBSTITUTE(SUBSTITUTE(SUBSTITUTE(L435,"~","~~"),"*","~*"),"?","~?")))</x:f>
      </x:c>
      <x:c r="I435" s="13" t="str">
        <x:f>IF(OR(H435&lt;&gt;1,G435&lt;&gt;1),"",SUMIFS('External Data'!$E$2:$E$1001,'External Data'!$L$2:$L$1001,SUBSTITUTE(SUBSTITUTE(SUBSTITUTE(L435,"~","~~"),"*","~*"),"?","~?")))</x:f>
      </x:c>
      <x:c r="J435" s="13" t="str">
        <x:f>IF(OR(NOT(ISNUMBER(E435)),NOT(ISNUMBER(I435))),"",ROUND(E435-I435,2))</x:f>
      </x:c>
      <x:c r="K435" s="2" t="str">
        <x:f>IF(COUNTA(A435:F435)=0,"",IF(OR(A435="",B435="",C435="",D435="",NOT(ISNUMBER(E435))),"Missing / invalid input",IF(G435&gt;1,"Duplicate key in this source",IF(H435=0,"Missing in other source",IF(H435&gt;1,"Duplicate in other source",IF(SUMIFS('External Data'!$M$2:$M$1001,'External Data'!$L$2:$L$1001,SUBSTITUTE(SUBSTITUTE(SUBSTITUTE(L435,"~","~~"),"*","~*"),"?","~?"))&lt;&gt;1,"Other amount is invalid",IF(J435&lt;&gt;0,"Amount differs","Matched")))))))</x:f>
      </x:c>
      <x:c r="L435" t="str">
        <x:f>IF(COUNTA(A435:F435)=0,"",LEN(A435)&amp;":"&amp;A435&amp;LEN(B435)&amp;":"&amp;B435&amp;LEN(C435)&amp;":"&amp;C435&amp;LEN(D435)&amp;":"&amp;D435)</x:f>
      </x:c>
      <x:c r="M435" t="str">
        <x:f>IF(COUNTA(A435:F435)=0,"",IF(ISNUMBER(E435),1,0))</x:f>
      </x:c>
    </x:row>
    <x:row r="436">
      <x:c r="A436" s="11"/>
      <x:c r="B436" s="11"/>
      <x:c r="C436" s="11"/>
      <x:c r="D436" s="11"/>
      <x:c r="E436" s="12"/>
      <x:c r="F436" s="10"/>
      <x:c r="G436" s="2" t="str">
        <x:f>IF(COUNTA(A436:F436)=0,"",COUNTIFS('App Data'!$L$2:$L$1001,SUBSTITUTE(SUBSTITUTE(SUBSTITUTE(L436,"~","~~"),"*","~*"),"?","~?")))</x:f>
      </x:c>
      <x:c r="H436" s="2" t="str">
        <x:f>IF(COUNTA(A436:F436)=0,"",COUNTIFS('External Data'!$L$2:$L$1001,SUBSTITUTE(SUBSTITUTE(SUBSTITUTE(L436,"~","~~"),"*","~*"),"?","~?")))</x:f>
      </x:c>
      <x:c r="I436" s="13" t="str">
        <x:f>IF(OR(H436&lt;&gt;1,G436&lt;&gt;1),"",SUMIFS('External Data'!$E$2:$E$1001,'External Data'!$L$2:$L$1001,SUBSTITUTE(SUBSTITUTE(SUBSTITUTE(L436,"~","~~"),"*","~*"),"?","~?")))</x:f>
      </x:c>
      <x:c r="J436" s="13" t="str">
        <x:f>IF(OR(NOT(ISNUMBER(E436)),NOT(ISNUMBER(I436))),"",ROUND(E436-I436,2))</x:f>
      </x:c>
      <x:c r="K436" s="2" t="str">
        <x:f>IF(COUNTA(A436:F436)=0,"",IF(OR(A436="",B436="",C436="",D436="",NOT(ISNUMBER(E436))),"Missing / invalid input",IF(G436&gt;1,"Duplicate key in this source",IF(H436=0,"Missing in other source",IF(H436&gt;1,"Duplicate in other source",IF(SUMIFS('External Data'!$M$2:$M$1001,'External Data'!$L$2:$L$1001,SUBSTITUTE(SUBSTITUTE(SUBSTITUTE(L436,"~","~~"),"*","~*"),"?","~?"))&lt;&gt;1,"Other amount is invalid",IF(J436&lt;&gt;0,"Amount differs","Matched")))))))</x:f>
      </x:c>
      <x:c r="L436" t="str">
        <x:f>IF(COUNTA(A436:F436)=0,"",LEN(A436)&amp;":"&amp;A436&amp;LEN(B436)&amp;":"&amp;B436&amp;LEN(C436)&amp;":"&amp;C436&amp;LEN(D436)&amp;":"&amp;D436)</x:f>
      </x:c>
      <x:c r="M436" t="str">
        <x:f>IF(COUNTA(A436:F436)=0,"",IF(ISNUMBER(E436),1,0))</x:f>
      </x:c>
    </x:row>
    <x:row r="437">
      <x:c r="A437" s="11"/>
      <x:c r="B437" s="11"/>
      <x:c r="C437" s="11"/>
      <x:c r="D437" s="11"/>
      <x:c r="E437" s="12"/>
      <x:c r="F437" s="10"/>
      <x:c r="G437" s="2" t="str">
        <x:f>IF(COUNTA(A437:F437)=0,"",COUNTIFS('App Data'!$L$2:$L$1001,SUBSTITUTE(SUBSTITUTE(SUBSTITUTE(L437,"~","~~"),"*","~*"),"?","~?")))</x:f>
      </x:c>
      <x:c r="H437" s="2" t="str">
        <x:f>IF(COUNTA(A437:F437)=0,"",COUNTIFS('External Data'!$L$2:$L$1001,SUBSTITUTE(SUBSTITUTE(SUBSTITUTE(L437,"~","~~"),"*","~*"),"?","~?")))</x:f>
      </x:c>
      <x:c r="I437" s="13" t="str">
        <x:f>IF(OR(H437&lt;&gt;1,G437&lt;&gt;1),"",SUMIFS('External Data'!$E$2:$E$1001,'External Data'!$L$2:$L$1001,SUBSTITUTE(SUBSTITUTE(SUBSTITUTE(L437,"~","~~"),"*","~*"),"?","~?")))</x:f>
      </x:c>
      <x:c r="J437" s="13" t="str">
        <x:f>IF(OR(NOT(ISNUMBER(E437)),NOT(ISNUMBER(I437))),"",ROUND(E437-I437,2))</x:f>
      </x:c>
      <x:c r="K437" s="2" t="str">
        <x:f>IF(COUNTA(A437:F437)=0,"",IF(OR(A437="",B437="",C437="",D437="",NOT(ISNUMBER(E437))),"Missing / invalid input",IF(G437&gt;1,"Duplicate key in this source",IF(H437=0,"Missing in other source",IF(H437&gt;1,"Duplicate in other source",IF(SUMIFS('External Data'!$M$2:$M$1001,'External Data'!$L$2:$L$1001,SUBSTITUTE(SUBSTITUTE(SUBSTITUTE(L437,"~","~~"),"*","~*"),"?","~?"))&lt;&gt;1,"Other amount is invalid",IF(J437&lt;&gt;0,"Amount differs","Matched")))))))</x:f>
      </x:c>
      <x:c r="L437" t="str">
        <x:f>IF(COUNTA(A437:F437)=0,"",LEN(A437)&amp;":"&amp;A437&amp;LEN(B437)&amp;":"&amp;B437&amp;LEN(C437)&amp;":"&amp;C437&amp;LEN(D437)&amp;":"&amp;D437)</x:f>
      </x:c>
      <x:c r="M437" t="str">
        <x:f>IF(COUNTA(A437:F437)=0,"",IF(ISNUMBER(E437),1,0))</x:f>
      </x:c>
    </x:row>
    <x:row r="438">
      <x:c r="A438" s="11"/>
      <x:c r="B438" s="11"/>
      <x:c r="C438" s="11"/>
      <x:c r="D438" s="11"/>
      <x:c r="E438" s="12"/>
      <x:c r="F438" s="10"/>
      <x:c r="G438" s="2" t="str">
        <x:f>IF(COUNTA(A438:F438)=0,"",COUNTIFS('App Data'!$L$2:$L$1001,SUBSTITUTE(SUBSTITUTE(SUBSTITUTE(L438,"~","~~"),"*","~*"),"?","~?")))</x:f>
      </x:c>
      <x:c r="H438" s="2" t="str">
        <x:f>IF(COUNTA(A438:F438)=0,"",COUNTIFS('External Data'!$L$2:$L$1001,SUBSTITUTE(SUBSTITUTE(SUBSTITUTE(L438,"~","~~"),"*","~*"),"?","~?")))</x:f>
      </x:c>
      <x:c r="I438" s="13" t="str">
        <x:f>IF(OR(H438&lt;&gt;1,G438&lt;&gt;1),"",SUMIFS('External Data'!$E$2:$E$1001,'External Data'!$L$2:$L$1001,SUBSTITUTE(SUBSTITUTE(SUBSTITUTE(L438,"~","~~"),"*","~*"),"?","~?")))</x:f>
      </x:c>
      <x:c r="J438" s="13" t="str">
        <x:f>IF(OR(NOT(ISNUMBER(E438)),NOT(ISNUMBER(I438))),"",ROUND(E438-I438,2))</x:f>
      </x:c>
      <x:c r="K438" s="2" t="str">
        <x:f>IF(COUNTA(A438:F438)=0,"",IF(OR(A438="",B438="",C438="",D438="",NOT(ISNUMBER(E438))),"Missing / invalid input",IF(G438&gt;1,"Duplicate key in this source",IF(H438=0,"Missing in other source",IF(H438&gt;1,"Duplicate in other source",IF(SUMIFS('External Data'!$M$2:$M$1001,'External Data'!$L$2:$L$1001,SUBSTITUTE(SUBSTITUTE(SUBSTITUTE(L438,"~","~~"),"*","~*"),"?","~?"))&lt;&gt;1,"Other amount is invalid",IF(J438&lt;&gt;0,"Amount differs","Matched")))))))</x:f>
      </x:c>
      <x:c r="L438" t="str">
        <x:f>IF(COUNTA(A438:F438)=0,"",LEN(A438)&amp;":"&amp;A438&amp;LEN(B438)&amp;":"&amp;B438&amp;LEN(C438)&amp;":"&amp;C438&amp;LEN(D438)&amp;":"&amp;D438)</x:f>
      </x:c>
      <x:c r="M438" t="str">
        <x:f>IF(COUNTA(A438:F438)=0,"",IF(ISNUMBER(E438),1,0))</x:f>
      </x:c>
    </x:row>
    <x:row r="439">
      <x:c r="A439" s="11"/>
      <x:c r="B439" s="11"/>
      <x:c r="C439" s="11"/>
      <x:c r="D439" s="11"/>
      <x:c r="E439" s="12"/>
      <x:c r="F439" s="10"/>
      <x:c r="G439" s="2" t="str">
        <x:f>IF(COUNTA(A439:F439)=0,"",COUNTIFS('App Data'!$L$2:$L$1001,SUBSTITUTE(SUBSTITUTE(SUBSTITUTE(L439,"~","~~"),"*","~*"),"?","~?")))</x:f>
      </x:c>
      <x:c r="H439" s="2" t="str">
        <x:f>IF(COUNTA(A439:F439)=0,"",COUNTIFS('External Data'!$L$2:$L$1001,SUBSTITUTE(SUBSTITUTE(SUBSTITUTE(L439,"~","~~"),"*","~*"),"?","~?")))</x:f>
      </x:c>
      <x:c r="I439" s="13" t="str">
        <x:f>IF(OR(H439&lt;&gt;1,G439&lt;&gt;1),"",SUMIFS('External Data'!$E$2:$E$1001,'External Data'!$L$2:$L$1001,SUBSTITUTE(SUBSTITUTE(SUBSTITUTE(L439,"~","~~"),"*","~*"),"?","~?")))</x:f>
      </x:c>
      <x:c r="J439" s="13" t="str">
        <x:f>IF(OR(NOT(ISNUMBER(E439)),NOT(ISNUMBER(I439))),"",ROUND(E439-I439,2))</x:f>
      </x:c>
      <x:c r="K439" s="2" t="str">
        <x:f>IF(COUNTA(A439:F439)=0,"",IF(OR(A439="",B439="",C439="",D439="",NOT(ISNUMBER(E439))),"Missing / invalid input",IF(G439&gt;1,"Duplicate key in this source",IF(H439=0,"Missing in other source",IF(H439&gt;1,"Duplicate in other source",IF(SUMIFS('External Data'!$M$2:$M$1001,'External Data'!$L$2:$L$1001,SUBSTITUTE(SUBSTITUTE(SUBSTITUTE(L439,"~","~~"),"*","~*"),"?","~?"))&lt;&gt;1,"Other amount is invalid",IF(J439&lt;&gt;0,"Amount differs","Matched")))))))</x:f>
      </x:c>
      <x:c r="L439" t="str">
        <x:f>IF(COUNTA(A439:F439)=0,"",LEN(A439)&amp;":"&amp;A439&amp;LEN(B439)&amp;":"&amp;B439&amp;LEN(C439)&amp;":"&amp;C439&amp;LEN(D439)&amp;":"&amp;D439)</x:f>
      </x:c>
      <x:c r="M439" t="str">
        <x:f>IF(COUNTA(A439:F439)=0,"",IF(ISNUMBER(E439),1,0))</x:f>
      </x:c>
    </x:row>
    <x:row r="440">
      <x:c r="A440" s="11"/>
      <x:c r="B440" s="11"/>
      <x:c r="C440" s="11"/>
      <x:c r="D440" s="11"/>
      <x:c r="E440" s="12"/>
      <x:c r="F440" s="10"/>
      <x:c r="G440" s="2" t="str">
        <x:f>IF(COUNTA(A440:F440)=0,"",COUNTIFS('App Data'!$L$2:$L$1001,SUBSTITUTE(SUBSTITUTE(SUBSTITUTE(L440,"~","~~"),"*","~*"),"?","~?")))</x:f>
      </x:c>
      <x:c r="H440" s="2" t="str">
        <x:f>IF(COUNTA(A440:F440)=0,"",COUNTIFS('External Data'!$L$2:$L$1001,SUBSTITUTE(SUBSTITUTE(SUBSTITUTE(L440,"~","~~"),"*","~*"),"?","~?")))</x:f>
      </x:c>
      <x:c r="I440" s="13" t="str">
        <x:f>IF(OR(H440&lt;&gt;1,G440&lt;&gt;1),"",SUMIFS('External Data'!$E$2:$E$1001,'External Data'!$L$2:$L$1001,SUBSTITUTE(SUBSTITUTE(SUBSTITUTE(L440,"~","~~"),"*","~*"),"?","~?")))</x:f>
      </x:c>
      <x:c r="J440" s="13" t="str">
        <x:f>IF(OR(NOT(ISNUMBER(E440)),NOT(ISNUMBER(I440))),"",ROUND(E440-I440,2))</x:f>
      </x:c>
      <x:c r="K440" s="2" t="str">
        <x:f>IF(COUNTA(A440:F440)=0,"",IF(OR(A440="",B440="",C440="",D440="",NOT(ISNUMBER(E440))),"Missing / invalid input",IF(G440&gt;1,"Duplicate key in this source",IF(H440=0,"Missing in other source",IF(H440&gt;1,"Duplicate in other source",IF(SUMIFS('External Data'!$M$2:$M$1001,'External Data'!$L$2:$L$1001,SUBSTITUTE(SUBSTITUTE(SUBSTITUTE(L440,"~","~~"),"*","~*"),"?","~?"))&lt;&gt;1,"Other amount is invalid",IF(J440&lt;&gt;0,"Amount differs","Matched")))))))</x:f>
      </x:c>
      <x:c r="L440" t="str">
        <x:f>IF(COUNTA(A440:F440)=0,"",LEN(A440)&amp;":"&amp;A440&amp;LEN(B440)&amp;":"&amp;B440&amp;LEN(C440)&amp;":"&amp;C440&amp;LEN(D440)&amp;":"&amp;D440)</x:f>
      </x:c>
      <x:c r="M440" t="str">
        <x:f>IF(COUNTA(A440:F440)=0,"",IF(ISNUMBER(E440),1,0))</x:f>
      </x:c>
    </x:row>
    <x:row r="441">
      <x:c r="A441" s="11"/>
      <x:c r="B441" s="11"/>
      <x:c r="C441" s="11"/>
      <x:c r="D441" s="11"/>
      <x:c r="E441" s="12"/>
      <x:c r="F441" s="10"/>
      <x:c r="G441" s="2" t="str">
        <x:f>IF(COUNTA(A441:F441)=0,"",COUNTIFS('App Data'!$L$2:$L$1001,SUBSTITUTE(SUBSTITUTE(SUBSTITUTE(L441,"~","~~"),"*","~*"),"?","~?")))</x:f>
      </x:c>
      <x:c r="H441" s="2" t="str">
        <x:f>IF(COUNTA(A441:F441)=0,"",COUNTIFS('External Data'!$L$2:$L$1001,SUBSTITUTE(SUBSTITUTE(SUBSTITUTE(L441,"~","~~"),"*","~*"),"?","~?")))</x:f>
      </x:c>
      <x:c r="I441" s="13" t="str">
        <x:f>IF(OR(H441&lt;&gt;1,G441&lt;&gt;1),"",SUMIFS('External Data'!$E$2:$E$1001,'External Data'!$L$2:$L$1001,SUBSTITUTE(SUBSTITUTE(SUBSTITUTE(L441,"~","~~"),"*","~*"),"?","~?")))</x:f>
      </x:c>
      <x:c r="J441" s="13" t="str">
        <x:f>IF(OR(NOT(ISNUMBER(E441)),NOT(ISNUMBER(I441))),"",ROUND(E441-I441,2))</x:f>
      </x:c>
      <x:c r="K441" s="2" t="str">
        <x:f>IF(COUNTA(A441:F441)=0,"",IF(OR(A441="",B441="",C441="",D441="",NOT(ISNUMBER(E441))),"Missing / invalid input",IF(G441&gt;1,"Duplicate key in this source",IF(H441=0,"Missing in other source",IF(H441&gt;1,"Duplicate in other source",IF(SUMIFS('External Data'!$M$2:$M$1001,'External Data'!$L$2:$L$1001,SUBSTITUTE(SUBSTITUTE(SUBSTITUTE(L441,"~","~~"),"*","~*"),"?","~?"))&lt;&gt;1,"Other amount is invalid",IF(J441&lt;&gt;0,"Amount differs","Matched")))))))</x:f>
      </x:c>
      <x:c r="L441" t="str">
        <x:f>IF(COUNTA(A441:F441)=0,"",LEN(A441)&amp;":"&amp;A441&amp;LEN(B441)&amp;":"&amp;B441&amp;LEN(C441)&amp;":"&amp;C441&amp;LEN(D441)&amp;":"&amp;D441)</x:f>
      </x:c>
      <x:c r="M441" t="str">
        <x:f>IF(COUNTA(A441:F441)=0,"",IF(ISNUMBER(E441),1,0))</x:f>
      </x:c>
    </x:row>
    <x:row r="442">
      <x:c r="A442" s="11"/>
      <x:c r="B442" s="11"/>
      <x:c r="C442" s="11"/>
      <x:c r="D442" s="11"/>
      <x:c r="E442" s="12"/>
      <x:c r="F442" s="10"/>
      <x:c r="G442" s="2" t="str">
        <x:f>IF(COUNTA(A442:F442)=0,"",COUNTIFS('App Data'!$L$2:$L$1001,SUBSTITUTE(SUBSTITUTE(SUBSTITUTE(L442,"~","~~"),"*","~*"),"?","~?")))</x:f>
      </x:c>
      <x:c r="H442" s="2" t="str">
        <x:f>IF(COUNTA(A442:F442)=0,"",COUNTIFS('External Data'!$L$2:$L$1001,SUBSTITUTE(SUBSTITUTE(SUBSTITUTE(L442,"~","~~"),"*","~*"),"?","~?")))</x:f>
      </x:c>
      <x:c r="I442" s="13" t="str">
        <x:f>IF(OR(H442&lt;&gt;1,G442&lt;&gt;1),"",SUMIFS('External Data'!$E$2:$E$1001,'External Data'!$L$2:$L$1001,SUBSTITUTE(SUBSTITUTE(SUBSTITUTE(L442,"~","~~"),"*","~*"),"?","~?")))</x:f>
      </x:c>
      <x:c r="J442" s="13" t="str">
        <x:f>IF(OR(NOT(ISNUMBER(E442)),NOT(ISNUMBER(I442))),"",ROUND(E442-I442,2))</x:f>
      </x:c>
      <x:c r="K442" s="2" t="str">
        <x:f>IF(COUNTA(A442:F442)=0,"",IF(OR(A442="",B442="",C442="",D442="",NOT(ISNUMBER(E442))),"Missing / invalid input",IF(G442&gt;1,"Duplicate key in this source",IF(H442=0,"Missing in other source",IF(H442&gt;1,"Duplicate in other source",IF(SUMIFS('External Data'!$M$2:$M$1001,'External Data'!$L$2:$L$1001,SUBSTITUTE(SUBSTITUTE(SUBSTITUTE(L442,"~","~~"),"*","~*"),"?","~?"))&lt;&gt;1,"Other amount is invalid",IF(J442&lt;&gt;0,"Amount differs","Matched")))))))</x:f>
      </x:c>
      <x:c r="L442" t="str">
        <x:f>IF(COUNTA(A442:F442)=0,"",LEN(A442)&amp;":"&amp;A442&amp;LEN(B442)&amp;":"&amp;B442&amp;LEN(C442)&amp;":"&amp;C442&amp;LEN(D442)&amp;":"&amp;D442)</x:f>
      </x:c>
      <x:c r="M442" t="str">
        <x:f>IF(COUNTA(A442:F442)=0,"",IF(ISNUMBER(E442),1,0))</x:f>
      </x:c>
    </x:row>
    <x:row r="443">
      <x:c r="A443" s="11"/>
      <x:c r="B443" s="11"/>
      <x:c r="C443" s="11"/>
      <x:c r="D443" s="11"/>
      <x:c r="E443" s="12"/>
      <x:c r="F443" s="10"/>
      <x:c r="G443" s="2" t="str">
        <x:f>IF(COUNTA(A443:F443)=0,"",COUNTIFS('App Data'!$L$2:$L$1001,SUBSTITUTE(SUBSTITUTE(SUBSTITUTE(L443,"~","~~"),"*","~*"),"?","~?")))</x:f>
      </x:c>
      <x:c r="H443" s="2" t="str">
        <x:f>IF(COUNTA(A443:F443)=0,"",COUNTIFS('External Data'!$L$2:$L$1001,SUBSTITUTE(SUBSTITUTE(SUBSTITUTE(L443,"~","~~"),"*","~*"),"?","~?")))</x:f>
      </x:c>
      <x:c r="I443" s="13" t="str">
        <x:f>IF(OR(H443&lt;&gt;1,G443&lt;&gt;1),"",SUMIFS('External Data'!$E$2:$E$1001,'External Data'!$L$2:$L$1001,SUBSTITUTE(SUBSTITUTE(SUBSTITUTE(L443,"~","~~"),"*","~*"),"?","~?")))</x:f>
      </x:c>
      <x:c r="J443" s="13" t="str">
        <x:f>IF(OR(NOT(ISNUMBER(E443)),NOT(ISNUMBER(I443))),"",ROUND(E443-I443,2))</x:f>
      </x:c>
      <x:c r="K443" s="2" t="str">
        <x:f>IF(COUNTA(A443:F443)=0,"",IF(OR(A443="",B443="",C443="",D443="",NOT(ISNUMBER(E443))),"Missing / invalid input",IF(G443&gt;1,"Duplicate key in this source",IF(H443=0,"Missing in other source",IF(H443&gt;1,"Duplicate in other source",IF(SUMIFS('External Data'!$M$2:$M$1001,'External Data'!$L$2:$L$1001,SUBSTITUTE(SUBSTITUTE(SUBSTITUTE(L443,"~","~~"),"*","~*"),"?","~?"))&lt;&gt;1,"Other amount is invalid",IF(J443&lt;&gt;0,"Amount differs","Matched")))))))</x:f>
      </x:c>
      <x:c r="L443" t="str">
        <x:f>IF(COUNTA(A443:F443)=0,"",LEN(A443)&amp;":"&amp;A443&amp;LEN(B443)&amp;":"&amp;B443&amp;LEN(C443)&amp;":"&amp;C443&amp;LEN(D443)&amp;":"&amp;D443)</x:f>
      </x:c>
      <x:c r="M443" t="str">
        <x:f>IF(COUNTA(A443:F443)=0,"",IF(ISNUMBER(E443),1,0))</x:f>
      </x:c>
    </x:row>
    <x:row r="444">
      <x:c r="A444" s="11"/>
      <x:c r="B444" s="11"/>
      <x:c r="C444" s="11"/>
      <x:c r="D444" s="11"/>
      <x:c r="E444" s="12"/>
      <x:c r="F444" s="10"/>
      <x:c r="G444" s="2" t="str">
        <x:f>IF(COUNTA(A444:F444)=0,"",COUNTIFS('App Data'!$L$2:$L$1001,SUBSTITUTE(SUBSTITUTE(SUBSTITUTE(L444,"~","~~"),"*","~*"),"?","~?")))</x:f>
      </x:c>
      <x:c r="H444" s="2" t="str">
        <x:f>IF(COUNTA(A444:F444)=0,"",COUNTIFS('External Data'!$L$2:$L$1001,SUBSTITUTE(SUBSTITUTE(SUBSTITUTE(L444,"~","~~"),"*","~*"),"?","~?")))</x:f>
      </x:c>
      <x:c r="I444" s="13" t="str">
        <x:f>IF(OR(H444&lt;&gt;1,G444&lt;&gt;1),"",SUMIFS('External Data'!$E$2:$E$1001,'External Data'!$L$2:$L$1001,SUBSTITUTE(SUBSTITUTE(SUBSTITUTE(L444,"~","~~"),"*","~*"),"?","~?")))</x:f>
      </x:c>
      <x:c r="J444" s="13" t="str">
        <x:f>IF(OR(NOT(ISNUMBER(E444)),NOT(ISNUMBER(I444))),"",ROUND(E444-I444,2))</x:f>
      </x:c>
      <x:c r="K444" s="2" t="str">
        <x:f>IF(COUNTA(A444:F444)=0,"",IF(OR(A444="",B444="",C444="",D444="",NOT(ISNUMBER(E444))),"Missing / invalid input",IF(G444&gt;1,"Duplicate key in this source",IF(H444=0,"Missing in other source",IF(H444&gt;1,"Duplicate in other source",IF(SUMIFS('External Data'!$M$2:$M$1001,'External Data'!$L$2:$L$1001,SUBSTITUTE(SUBSTITUTE(SUBSTITUTE(L444,"~","~~"),"*","~*"),"?","~?"))&lt;&gt;1,"Other amount is invalid",IF(J444&lt;&gt;0,"Amount differs","Matched")))))))</x:f>
      </x:c>
      <x:c r="L444" t="str">
        <x:f>IF(COUNTA(A444:F444)=0,"",LEN(A444)&amp;":"&amp;A444&amp;LEN(B444)&amp;":"&amp;B444&amp;LEN(C444)&amp;":"&amp;C444&amp;LEN(D444)&amp;":"&amp;D444)</x:f>
      </x:c>
      <x:c r="M444" t="str">
        <x:f>IF(COUNTA(A444:F444)=0,"",IF(ISNUMBER(E444),1,0))</x:f>
      </x:c>
    </x:row>
    <x:row r="445">
      <x:c r="A445" s="11"/>
      <x:c r="B445" s="11"/>
      <x:c r="C445" s="11"/>
      <x:c r="D445" s="11"/>
      <x:c r="E445" s="12"/>
      <x:c r="F445" s="10"/>
      <x:c r="G445" s="2" t="str">
        <x:f>IF(COUNTA(A445:F445)=0,"",COUNTIFS('App Data'!$L$2:$L$1001,SUBSTITUTE(SUBSTITUTE(SUBSTITUTE(L445,"~","~~"),"*","~*"),"?","~?")))</x:f>
      </x:c>
      <x:c r="H445" s="2" t="str">
        <x:f>IF(COUNTA(A445:F445)=0,"",COUNTIFS('External Data'!$L$2:$L$1001,SUBSTITUTE(SUBSTITUTE(SUBSTITUTE(L445,"~","~~"),"*","~*"),"?","~?")))</x:f>
      </x:c>
      <x:c r="I445" s="13" t="str">
        <x:f>IF(OR(H445&lt;&gt;1,G445&lt;&gt;1),"",SUMIFS('External Data'!$E$2:$E$1001,'External Data'!$L$2:$L$1001,SUBSTITUTE(SUBSTITUTE(SUBSTITUTE(L445,"~","~~"),"*","~*"),"?","~?")))</x:f>
      </x:c>
      <x:c r="J445" s="13" t="str">
        <x:f>IF(OR(NOT(ISNUMBER(E445)),NOT(ISNUMBER(I445))),"",ROUND(E445-I445,2))</x:f>
      </x:c>
      <x:c r="K445" s="2" t="str">
        <x:f>IF(COUNTA(A445:F445)=0,"",IF(OR(A445="",B445="",C445="",D445="",NOT(ISNUMBER(E445))),"Missing / invalid input",IF(G445&gt;1,"Duplicate key in this source",IF(H445=0,"Missing in other source",IF(H445&gt;1,"Duplicate in other source",IF(SUMIFS('External Data'!$M$2:$M$1001,'External Data'!$L$2:$L$1001,SUBSTITUTE(SUBSTITUTE(SUBSTITUTE(L445,"~","~~"),"*","~*"),"?","~?"))&lt;&gt;1,"Other amount is invalid",IF(J445&lt;&gt;0,"Amount differs","Matched")))))))</x:f>
      </x:c>
      <x:c r="L445" t="str">
        <x:f>IF(COUNTA(A445:F445)=0,"",LEN(A445)&amp;":"&amp;A445&amp;LEN(B445)&amp;":"&amp;B445&amp;LEN(C445)&amp;":"&amp;C445&amp;LEN(D445)&amp;":"&amp;D445)</x:f>
      </x:c>
      <x:c r="M445" t="str">
        <x:f>IF(COUNTA(A445:F445)=0,"",IF(ISNUMBER(E445),1,0))</x:f>
      </x:c>
    </x:row>
    <x:row r="446">
      <x:c r="A446" s="11"/>
      <x:c r="B446" s="11"/>
      <x:c r="C446" s="11"/>
      <x:c r="D446" s="11"/>
      <x:c r="E446" s="12"/>
      <x:c r="F446" s="10"/>
      <x:c r="G446" s="2" t="str">
        <x:f>IF(COUNTA(A446:F446)=0,"",COUNTIFS('App Data'!$L$2:$L$1001,SUBSTITUTE(SUBSTITUTE(SUBSTITUTE(L446,"~","~~"),"*","~*"),"?","~?")))</x:f>
      </x:c>
      <x:c r="H446" s="2" t="str">
        <x:f>IF(COUNTA(A446:F446)=0,"",COUNTIFS('External Data'!$L$2:$L$1001,SUBSTITUTE(SUBSTITUTE(SUBSTITUTE(L446,"~","~~"),"*","~*"),"?","~?")))</x:f>
      </x:c>
      <x:c r="I446" s="13" t="str">
        <x:f>IF(OR(H446&lt;&gt;1,G446&lt;&gt;1),"",SUMIFS('External Data'!$E$2:$E$1001,'External Data'!$L$2:$L$1001,SUBSTITUTE(SUBSTITUTE(SUBSTITUTE(L446,"~","~~"),"*","~*"),"?","~?")))</x:f>
      </x:c>
      <x:c r="J446" s="13" t="str">
        <x:f>IF(OR(NOT(ISNUMBER(E446)),NOT(ISNUMBER(I446))),"",ROUND(E446-I446,2))</x:f>
      </x:c>
      <x:c r="K446" s="2" t="str">
        <x:f>IF(COUNTA(A446:F446)=0,"",IF(OR(A446="",B446="",C446="",D446="",NOT(ISNUMBER(E446))),"Missing / invalid input",IF(G446&gt;1,"Duplicate key in this source",IF(H446=0,"Missing in other source",IF(H446&gt;1,"Duplicate in other source",IF(SUMIFS('External Data'!$M$2:$M$1001,'External Data'!$L$2:$L$1001,SUBSTITUTE(SUBSTITUTE(SUBSTITUTE(L446,"~","~~"),"*","~*"),"?","~?"))&lt;&gt;1,"Other amount is invalid",IF(J446&lt;&gt;0,"Amount differs","Matched")))))))</x:f>
      </x:c>
      <x:c r="L446" t="str">
        <x:f>IF(COUNTA(A446:F446)=0,"",LEN(A446)&amp;":"&amp;A446&amp;LEN(B446)&amp;":"&amp;B446&amp;LEN(C446)&amp;":"&amp;C446&amp;LEN(D446)&amp;":"&amp;D446)</x:f>
      </x:c>
      <x:c r="M446" t="str">
        <x:f>IF(COUNTA(A446:F446)=0,"",IF(ISNUMBER(E446),1,0))</x:f>
      </x:c>
    </x:row>
    <x:row r="447">
      <x:c r="A447" s="11"/>
      <x:c r="B447" s="11"/>
      <x:c r="C447" s="11"/>
      <x:c r="D447" s="11"/>
      <x:c r="E447" s="12"/>
      <x:c r="F447" s="10"/>
      <x:c r="G447" s="2" t="str">
        <x:f>IF(COUNTA(A447:F447)=0,"",COUNTIFS('App Data'!$L$2:$L$1001,SUBSTITUTE(SUBSTITUTE(SUBSTITUTE(L447,"~","~~"),"*","~*"),"?","~?")))</x:f>
      </x:c>
      <x:c r="H447" s="2" t="str">
        <x:f>IF(COUNTA(A447:F447)=0,"",COUNTIFS('External Data'!$L$2:$L$1001,SUBSTITUTE(SUBSTITUTE(SUBSTITUTE(L447,"~","~~"),"*","~*"),"?","~?")))</x:f>
      </x:c>
      <x:c r="I447" s="13" t="str">
        <x:f>IF(OR(H447&lt;&gt;1,G447&lt;&gt;1),"",SUMIFS('External Data'!$E$2:$E$1001,'External Data'!$L$2:$L$1001,SUBSTITUTE(SUBSTITUTE(SUBSTITUTE(L447,"~","~~"),"*","~*"),"?","~?")))</x:f>
      </x:c>
      <x:c r="J447" s="13" t="str">
        <x:f>IF(OR(NOT(ISNUMBER(E447)),NOT(ISNUMBER(I447))),"",ROUND(E447-I447,2))</x:f>
      </x:c>
      <x:c r="K447" s="2" t="str">
        <x:f>IF(COUNTA(A447:F447)=0,"",IF(OR(A447="",B447="",C447="",D447="",NOT(ISNUMBER(E447))),"Missing / invalid input",IF(G447&gt;1,"Duplicate key in this source",IF(H447=0,"Missing in other source",IF(H447&gt;1,"Duplicate in other source",IF(SUMIFS('External Data'!$M$2:$M$1001,'External Data'!$L$2:$L$1001,SUBSTITUTE(SUBSTITUTE(SUBSTITUTE(L447,"~","~~"),"*","~*"),"?","~?"))&lt;&gt;1,"Other amount is invalid",IF(J447&lt;&gt;0,"Amount differs","Matched")))))))</x:f>
      </x:c>
      <x:c r="L447" t="str">
        <x:f>IF(COUNTA(A447:F447)=0,"",LEN(A447)&amp;":"&amp;A447&amp;LEN(B447)&amp;":"&amp;B447&amp;LEN(C447)&amp;":"&amp;C447&amp;LEN(D447)&amp;":"&amp;D447)</x:f>
      </x:c>
      <x:c r="M447" t="str">
        <x:f>IF(COUNTA(A447:F447)=0,"",IF(ISNUMBER(E447),1,0))</x:f>
      </x:c>
    </x:row>
    <x:row r="448">
      <x:c r="A448" s="11"/>
      <x:c r="B448" s="11"/>
      <x:c r="C448" s="11"/>
      <x:c r="D448" s="11"/>
      <x:c r="E448" s="12"/>
      <x:c r="F448" s="10"/>
      <x:c r="G448" s="2" t="str">
        <x:f>IF(COUNTA(A448:F448)=0,"",COUNTIFS('App Data'!$L$2:$L$1001,SUBSTITUTE(SUBSTITUTE(SUBSTITUTE(L448,"~","~~"),"*","~*"),"?","~?")))</x:f>
      </x:c>
      <x:c r="H448" s="2" t="str">
        <x:f>IF(COUNTA(A448:F448)=0,"",COUNTIFS('External Data'!$L$2:$L$1001,SUBSTITUTE(SUBSTITUTE(SUBSTITUTE(L448,"~","~~"),"*","~*"),"?","~?")))</x:f>
      </x:c>
      <x:c r="I448" s="13" t="str">
        <x:f>IF(OR(H448&lt;&gt;1,G448&lt;&gt;1),"",SUMIFS('External Data'!$E$2:$E$1001,'External Data'!$L$2:$L$1001,SUBSTITUTE(SUBSTITUTE(SUBSTITUTE(L448,"~","~~"),"*","~*"),"?","~?")))</x:f>
      </x:c>
      <x:c r="J448" s="13" t="str">
        <x:f>IF(OR(NOT(ISNUMBER(E448)),NOT(ISNUMBER(I448))),"",ROUND(E448-I448,2))</x:f>
      </x:c>
      <x:c r="K448" s="2" t="str">
        <x:f>IF(COUNTA(A448:F448)=0,"",IF(OR(A448="",B448="",C448="",D448="",NOT(ISNUMBER(E448))),"Missing / invalid input",IF(G448&gt;1,"Duplicate key in this source",IF(H448=0,"Missing in other source",IF(H448&gt;1,"Duplicate in other source",IF(SUMIFS('External Data'!$M$2:$M$1001,'External Data'!$L$2:$L$1001,SUBSTITUTE(SUBSTITUTE(SUBSTITUTE(L448,"~","~~"),"*","~*"),"?","~?"))&lt;&gt;1,"Other amount is invalid",IF(J448&lt;&gt;0,"Amount differs","Matched")))))))</x:f>
      </x:c>
      <x:c r="L448" t="str">
        <x:f>IF(COUNTA(A448:F448)=0,"",LEN(A448)&amp;":"&amp;A448&amp;LEN(B448)&amp;":"&amp;B448&amp;LEN(C448)&amp;":"&amp;C448&amp;LEN(D448)&amp;":"&amp;D448)</x:f>
      </x:c>
      <x:c r="M448" t="str">
        <x:f>IF(COUNTA(A448:F448)=0,"",IF(ISNUMBER(E448),1,0))</x:f>
      </x:c>
    </x:row>
    <x:row r="449">
      <x:c r="A449" s="11"/>
      <x:c r="B449" s="11"/>
      <x:c r="C449" s="11"/>
      <x:c r="D449" s="11"/>
      <x:c r="E449" s="12"/>
      <x:c r="F449" s="10"/>
      <x:c r="G449" s="2" t="str">
        <x:f>IF(COUNTA(A449:F449)=0,"",COUNTIFS('App Data'!$L$2:$L$1001,SUBSTITUTE(SUBSTITUTE(SUBSTITUTE(L449,"~","~~"),"*","~*"),"?","~?")))</x:f>
      </x:c>
      <x:c r="H449" s="2" t="str">
        <x:f>IF(COUNTA(A449:F449)=0,"",COUNTIFS('External Data'!$L$2:$L$1001,SUBSTITUTE(SUBSTITUTE(SUBSTITUTE(L449,"~","~~"),"*","~*"),"?","~?")))</x:f>
      </x:c>
      <x:c r="I449" s="13" t="str">
        <x:f>IF(OR(H449&lt;&gt;1,G449&lt;&gt;1),"",SUMIFS('External Data'!$E$2:$E$1001,'External Data'!$L$2:$L$1001,SUBSTITUTE(SUBSTITUTE(SUBSTITUTE(L449,"~","~~"),"*","~*"),"?","~?")))</x:f>
      </x:c>
      <x:c r="J449" s="13" t="str">
        <x:f>IF(OR(NOT(ISNUMBER(E449)),NOT(ISNUMBER(I449))),"",ROUND(E449-I449,2))</x:f>
      </x:c>
      <x:c r="K449" s="2" t="str">
        <x:f>IF(COUNTA(A449:F449)=0,"",IF(OR(A449="",B449="",C449="",D449="",NOT(ISNUMBER(E449))),"Missing / invalid input",IF(G449&gt;1,"Duplicate key in this source",IF(H449=0,"Missing in other source",IF(H449&gt;1,"Duplicate in other source",IF(SUMIFS('External Data'!$M$2:$M$1001,'External Data'!$L$2:$L$1001,SUBSTITUTE(SUBSTITUTE(SUBSTITUTE(L449,"~","~~"),"*","~*"),"?","~?"))&lt;&gt;1,"Other amount is invalid",IF(J449&lt;&gt;0,"Amount differs","Matched")))))))</x:f>
      </x:c>
      <x:c r="L449" t="str">
        <x:f>IF(COUNTA(A449:F449)=0,"",LEN(A449)&amp;":"&amp;A449&amp;LEN(B449)&amp;":"&amp;B449&amp;LEN(C449)&amp;":"&amp;C449&amp;LEN(D449)&amp;":"&amp;D449)</x:f>
      </x:c>
      <x:c r="M449" t="str">
        <x:f>IF(COUNTA(A449:F449)=0,"",IF(ISNUMBER(E449),1,0))</x:f>
      </x:c>
    </x:row>
    <x:row r="450">
      <x:c r="A450" s="11"/>
      <x:c r="B450" s="11"/>
      <x:c r="C450" s="11"/>
      <x:c r="D450" s="11"/>
      <x:c r="E450" s="12"/>
      <x:c r="F450" s="10"/>
      <x:c r="G450" s="2" t="str">
        <x:f>IF(COUNTA(A450:F450)=0,"",COUNTIFS('App Data'!$L$2:$L$1001,SUBSTITUTE(SUBSTITUTE(SUBSTITUTE(L450,"~","~~"),"*","~*"),"?","~?")))</x:f>
      </x:c>
      <x:c r="H450" s="2" t="str">
        <x:f>IF(COUNTA(A450:F450)=0,"",COUNTIFS('External Data'!$L$2:$L$1001,SUBSTITUTE(SUBSTITUTE(SUBSTITUTE(L450,"~","~~"),"*","~*"),"?","~?")))</x:f>
      </x:c>
      <x:c r="I450" s="13" t="str">
        <x:f>IF(OR(H450&lt;&gt;1,G450&lt;&gt;1),"",SUMIFS('External Data'!$E$2:$E$1001,'External Data'!$L$2:$L$1001,SUBSTITUTE(SUBSTITUTE(SUBSTITUTE(L450,"~","~~"),"*","~*"),"?","~?")))</x:f>
      </x:c>
      <x:c r="J450" s="13" t="str">
        <x:f>IF(OR(NOT(ISNUMBER(E450)),NOT(ISNUMBER(I450))),"",ROUND(E450-I450,2))</x:f>
      </x:c>
      <x:c r="K450" s="2" t="str">
        <x:f>IF(COUNTA(A450:F450)=0,"",IF(OR(A450="",B450="",C450="",D450="",NOT(ISNUMBER(E450))),"Missing / invalid input",IF(G450&gt;1,"Duplicate key in this source",IF(H450=0,"Missing in other source",IF(H450&gt;1,"Duplicate in other source",IF(SUMIFS('External Data'!$M$2:$M$1001,'External Data'!$L$2:$L$1001,SUBSTITUTE(SUBSTITUTE(SUBSTITUTE(L450,"~","~~"),"*","~*"),"?","~?"))&lt;&gt;1,"Other amount is invalid",IF(J450&lt;&gt;0,"Amount differs","Matched")))))))</x:f>
      </x:c>
      <x:c r="L450" t="str">
        <x:f>IF(COUNTA(A450:F450)=0,"",LEN(A450)&amp;":"&amp;A450&amp;LEN(B450)&amp;":"&amp;B450&amp;LEN(C450)&amp;":"&amp;C450&amp;LEN(D450)&amp;":"&amp;D450)</x:f>
      </x:c>
      <x:c r="M450" t="str">
        <x:f>IF(COUNTA(A450:F450)=0,"",IF(ISNUMBER(E450),1,0))</x:f>
      </x:c>
    </x:row>
    <x:row r="451">
      <x:c r="A451" s="11"/>
      <x:c r="B451" s="11"/>
      <x:c r="C451" s="11"/>
      <x:c r="D451" s="11"/>
      <x:c r="E451" s="12"/>
      <x:c r="F451" s="10"/>
      <x:c r="G451" s="2" t="str">
        <x:f>IF(COUNTA(A451:F451)=0,"",COUNTIFS('App Data'!$L$2:$L$1001,SUBSTITUTE(SUBSTITUTE(SUBSTITUTE(L451,"~","~~"),"*","~*"),"?","~?")))</x:f>
      </x:c>
      <x:c r="H451" s="2" t="str">
        <x:f>IF(COUNTA(A451:F451)=0,"",COUNTIFS('External Data'!$L$2:$L$1001,SUBSTITUTE(SUBSTITUTE(SUBSTITUTE(L451,"~","~~"),"*","~*"),"?","~?")))</x:f>
      </x:c>
      <x:c r="I451" s="13" t="str">
        <x:f>IF(OR(H451&lt;&gt;1,G451&lt;&gt;1),"",SUMIFS('External Data'!$E$2:$E$1001,'External Data'!$L$2:$L$1001,SUBSTITUTE(SUBSTITUTE(SUBSTITUTE(L451,"~","~~"),"*","~*"),"?","~?")))</x:f>
      </x:c>
      <x:c r="J451" s="13" t="str">
        <x:f>IF(OR(NOT(ISNUMBER(E451)),NOT(ISNUMBER(I451))),"",ROUND(E451-I451,2))</x:f>
      </x:c>
      <x:c r="K451" s="2" t="str">
        <x:f>IF(COUNTA(A451:F451)=0,"",IF(OR(A451="",B451="",C451="",D451="",NOT(ISNUMBER(E451))),"Missing / invalid input",IF(G451&gt;1,"Duplicate key in this source",IF(H451=0,"Missing in other source",IF(H451&gt;1,"Duplicate in other source",IF(SUMIFS('External Data'!$M$2:$M$1001,'External Data'!$L$2:$L$1001,SUBSTITUTE(SUBSTITUTE(SUBSTITUTE(L451,"~","~~"),"*","~*"),"?","~?"))&lt;&gt;1,"Other amount is invalid",IF(J451&lt;&gt;0,"Amount differs","Matched")))))))</x:f>
      </x:c>
      <x:c r="L451" t="str">
        <x:f>IF(COUNTA(A451:F451)=0,"",LEN(A451)&amp;":"&amp;A451&amp;LEN(B451)&amp;":"&amp;B451&amp;LEN(C451)&amp;":"&amp;C451&amp;LEN(D451)&amp;":"&amp;D451)</x:f>
      </x:c>
      <x:c r="M451" t="str">
        <x:f>IF(COUNTA(A451:F451)=0,"",IF(ISNUMBER(E451),1,0))</x:f>
      </x:c>
    </x:row>
    <x:row r="452">
      <x:c r="A452" s="11"/>
      <x:c r="B452" s="11"/>
      <x:c r="C452" s="11"/>
      <x:c r="D452" s="11"/>
      <x:c r="E452" s="12"/>
      <x:c r="F452" s="10"/>
      <x:c r="G452" s="2" t="str">
        <x:f>IF(COUNTA(A452:F452)=0,"",COUNTIFS('App Data'!$L$2:$L$1001,SUBSTITUTE(SUBSTITUTE(SUBSTITUTE(L452,"~","~~"),"*","~*"),"?","~?")))</x:f>
      </x:c>
      <x:c r="H452" s="2" t="str">
        <x:f>IF(COUNTA(A452:F452)=0,"",COUNTIFS('External Data'!$L$2:$L$1001,SUBSTITUTE(SUBSTITUTE(SUBSTITUTE(L452,"~","~~"),"*","~*"),"?","~?")))</x:f>
      </x:c>
      <x:c r="I452" s="13" t="str">
        <x:f>IF(OR(H452&lt;&gt;1,G452&lt;&gt;1),"",SUMIFS('External Data'!$E$2:$E$1001,'External Data'!$L$2:$L$1001,SUBSTITUTE(SUBSTITUTE(SUBSTITUTE(L452,"~","~~"),"*","~*"),"?","~?")))</x:f>
      </x:c>
      <x:c r="J452" s="13" t="str">
        <x:f>IF(OR(NOT(ISNUMBER(E452)),NOT(ISNUMBER(I452))),"",ROUND(E452-I452,2))</x:f>
      </x:c>
      <x:c r="K452" s="2" t="str">
        <x:f>IF(COUNTA(A452:F452)=0,"",IF(OR(A452="",B452="",C452="",D452="",NOT(ISNUMBER(E452))),"Missing / invalid input",IF(G452&gt;1,"Duplicate key in this source",IF(H452=0,"Missing in other source",IF(H452&gt;1,"Duplicate in other source",IF(SUMIFS('External Data'!$M$2:$M$1001,'External Data'!$L$2:$L$1001,SUBSTITUTE(SUBSTITUTE(SUBSTITUTE(L452,"~","~~"),"*","~*"),"?","~?"))&lt;&gt;1,"Other amount is invalid",IF(J452&lt;&gt;0,"Amount differs","Matched")))))))</x:f>
      </x:c>
      <x:c r="L452" t="str">
        <x:f>IF(COUNTA(A452:F452)=0,"",LEN(A452)&amp;":"&amp;A452&amp;LEN(B452)&amp;":"&amp;B452&amp;LEN(C452)&amp;":"&amp;C452&amp;LEN(D452)&amp;":"&amp;D452)</x:f>
      </x:c>
      <x:c r="M452" t="str">
        <x:f>IF(COUNTA(A452:F452)=0,"",IF(ISNUMBER(E452),1,0))</x:f>
      </x:c>
    </x:row>
    <x:row r="453">
      <x:c r="A453" s="11"/>
      <x:c r="B453" s="11"/>
      <x:c r="C453" s="11"/>
      <x:c r="D453" s="11"/>
      <x:c r="E453" s="12"/>
      <x:c r="F453" s="10"/>
      <x:c r="G453" s="2" t="str">
        <x:f>IF(COUNTA(A453:F453)=0,"",COUNTIFS('App Data'!$L$2:$L$1001,SUBSTITUTE(SUBSTITUTE(SUBSTITUTE(L453,"~","~~"),"*","~*"),"?","~?")))</x:f>
      </x:c>
      <x:c r="H453" s="2" t="str">
        <x:f>IF(COUNTA(A453:F453)=0,"",COUNTIFS('External Data'!$L$2:$L$1001,SUBSTITUTE(SUBSTITUTE(SUBSTITUTE(L453,"~","~~"),"*","~*"),"?","~?")))</x:f>
      </x:c>
      <x:c r="I453" s="13" t="str">
        <x:f>IF(OR(H453&lt;&gt;1,G453&lt;&gt;1),"",SUMIFS('External Data'!$E$2:$E$1001,'External Data'!$L$2:$L$1001,SUBSTITUTE(SUBSTITUTE(SUBSTITUTE(L453,"~","~~"),"*","~*"),"?","~?")))</x:f>
      </x:c>
      <x:c r="J453" s="13" t="str">
        <x:f>IF(OR(NOT(ISNUMBER(E453)),NOT(ISNUMBER(I453))),"",ROUND(E453-I453,2))</x:f>
      </x:c>
      <x:c r="K453" s="2" t="str">
        <x:f>IF(COUNTA(A453:F453)=0,"",IF(OR(A453="",B453="",C453="",D453="",NOT(ISNUMBER(E453))),"Missing / invalid input",IF(G453&gt;1,"Duplicate key in this source",IF(H453=0,"Missing in other source",IF(H453&gt;1,"Duplicate in other source",IF(SUMIFS('External Data'!$M$2:$M$1001,'External Data'!$L$2:$L$1001,SUBSTITUTE(SUBSTITUTE(SUBSTITUTE(L453,"~","~~"),"*","~*"),"?","~?"))&lt;&gt;1,"Other amount is invalid",IF(J453&lt;&gt;0,"Amount differs","Matched")))))))</x:f>
      </x:c>
      <x:c r="L453" t="str">
        <x:f>IF(COUNTA(A453:F453)=0,"",LEN(A453)&amp;":"&amp;A453&amp;LEN(B453)&amp;":"&amp;B453&amp;LEN(C453)&amp;":"&amp;C453&amp;LEN(D453)&amp;":"&amp;D453)</x:f>
      </x:c>
      <x:c r="M453" t="str">
        <x:f>IF(COUNTA(A453:F453)=0,"",IF(ISNUMBER(E453),1,0))</x:f>
      </x:c>
    </x:row>
    <x:row r="454">
      <x:c r="A454" s="11"/>
      <x:c r="B454" s="11"/>
      <x:c r="C454" s="11"/>
      <x:c r="D454" s="11"/>
      <x:c r="E454" s="12"/>
      <x:c r="F454" s="10"/>
      <x:c r="G454" s="2" t="str">
        <x:f>IF(COUNTA(A454:F454)=0,"",COUNTIFS('App Data'!$L$2:$L$1001,SUBSTITUTE(SUBSTITUTE(SUBSTITUTE(L454,"~","~~"),"*","~*"),"?","~?")))</x:f>
      </x:c>
      <x:c r="H454" s="2" t="str">
        <x:f>IF(COUNTA(A454:F454)=0,"",COUNTIFS('External Data'!$L$2:$L$1001,SUBSTITUTE(SUBSTITUTE(SUBSTITUTE(L454,"~","~~"),"*","~*"),"?","~?")))</x:f>
      </x:c>
      <x:c r="I454" s="13" t="str">
        <x:f>IF(OR(H454&lt;&gt;1,G454&lt;&gt;1),"",SUMIFS('External Data'!$E$2:$E$1001,'External Data'!$L$2:$L$1001,SUBSTITUTE(SUBSTITUTE(SUBSTITUTE(L454,"~","~~"),"*","~*"),"?","~?")))</x:f>
      </x:c>
      <x:c r="J454" s="13" t="str">
        <x:f>IF(OR(NOT(ISNUMBER(E454)),NOT(ISNUMBER(I454))),"",ROUND(E454-I454,2))</x:f>
      </x:c>
      <x:c r="K454" s="2" t="str">
        <x:f>IF(COUNTA(A454:F454)=0,"",IF(OR(A454="",B454="",C454="",D454="",NOT(ISNUMBER(E454))),"Missing / invalid input",IF(G454&gt;1,"Duplicate key in this source",IF(H454=0,"Missing in other source",IF(H454&gt;1,"Duplicate in other source",IF(SUMIFS('External Data'!$M$2:$M$1001,'External Data'!$L$2:$L$1001,SUBSTITUTE(SUBSTITUTE(SUBSTITUTE(L454,"~","~~"),"*","~*"),"?","~?"))&lt;&gt;1,"Other amount is invalid",IF(J454&lt;&gt;0,"Amount differs","Matched")))))))</x:f>
      </x:c>
      <x:c r="L454" t="str">
        <x:f>IF(COUNTA(A454:F454)=0,"",LEN(A454)&amp;":"&amp;A454&amp;LEN(B454)&amp;":"&amp;B454&amp;LEN(C454)&amp;":"&amp;C454&amp;LEN(D454)&amp;":"&amp;D454)</x:f>
      </x:c>
      <x:c r="M454" t="str">
        <x:f>IF(COUNTA(A454:F454)=0,"",IF(ISNUMBER(E454),1,0))</x:f>
      </x:c>
    </x:row>
    <x:row r="455">
      <x:c r="A455" s="11"/>
      <x:c r="B455" s="11"/>
      <x:c r="C455" s="11"/>
      <x:c r="D455" s="11"/>
      <x:c r="E455" s="12"/>
      <x:c r="F455" s="10"/>
      <x:c r="G455" s="2" t="str">
        <x:f>IF(COUNTA(A455:F455)=0,"",COUNTIFS('App Data'!$L$2:$L$1001,SUBSTITUTE(SUBSTITUTE(SUBSTITUTE(L455,"~","~~"),"*","~*"),"?","~?")))</x:f>
      </x:c>
      <x:c r="H455" s="2" t="str">
        <x:f>IF(COUNTA(A455:F455)=0,"",COUNTIFS('External Data'!$L$2:$L$1001,SUBSTITUTE(SUBSTITUTE(SUBSTITUTE(L455,"~","~~"),"*","~*"),"?","~?")))</x:f>
      </x:c>
      <x:c r="I455" s="13" t="str">
        <x:f>IF(OR(H455&lt;&gt;1,G455&lt;&gt;1),"",SUMIFS('External Data'!$E$2:$E$1001,'External Data'!$L$2:$L$1001,SUBSTITUTE(SUBSTITUTE(SUBSTITUTE(L455,"~","~~"),"*","~*"),"?","~?")))</x:f>
      </x:c>
      <x:c r="J455" s="13" t="str">
        <x:f>IF(OR(NOT(ISNUMBER(E455)),NOT(ISNUMBER(I455))),"",ROUND(E455-I455,2))</x:f>
      </x:c>
      <x:c r="K455" s="2" t="str">
        <x:f>IF(COUNTA(A455:F455)=0,"",IF(OR(A455="",B455="",C455="",D455="",NOT(ISNUMBER(E455))),"Missing / invalid input",IF(G455&gt;1,"Duplicate key in this source",IF(H455=0,"Missing in other source",IF(H455&gt;1,"Duplicate in other source",IF(SUMIFS('External Data'!$M$2:$M$1001,'External Data'!$L$2:$L$1001,SUBSTITUTE(SUBSTITUTE(SUBSTITUTE(L455,"~","~~"),"*","~*"),"?","~?"))&lt;&gt;1,"Other amount is invalid",IF(J455&lt;&gt;0,"Amount differs","Matched")))))))</x:f>
      </x:c>
      <x:c r="L455" t="str">
        <x:f>IF(COUNTA(A455:F455)=0,"",LEN(A455)&amp;":"&amp;A455&amp;LEN(B455)&amp;":"&amp;B455&amp;LEN(C455)&amp;":"&amp;C455&amp;LEN(D455)&amp;":"&amp;D455)</x:f>
      </x:c>
      <x:c r="M455" t="str">
        <x:f>IF(COUNTA(A455:F455)=0,"",IF(ISNUMBER(E455),1,0))</x:f>
      </x:c>
    </x:row>
    <x:row r="456">
      <x:c r="A456" s="11"/>
      <x:c r="B456" s="11"/>
      <x:c r="C456" s="11"/>
      <x:c r="D456" s="11"/>
      <x:c r="E456" s="12"/>
      <x:c r="F456" s="10"/>
      <x:c r="G456" s="2" t="str">
        <x:f>IF(COUNTA(A456:F456)=0,"",COUNTIFS('App Data'!$L$2:$L$1001,SUBSTITUTE(SUBSTITUTE(SUBSTITUTE(L456,"~","~~"),"*","~*"),"?","~?")))</x:f>
      </x:c>
      <x:c r="H456" s="2" t="str">
        <x:f>IF(COUNTA(A456:F456)=0,"",COUNTIFS('External Data'!$L$2:$L$1001,SUBSTITUTE(SUBSTITUTE(SUBSTITUTE(L456,"~","~~"),"*","~*"),"?","~?")))</x:f>
      </x:c>
      <x:c r="I456" s="13" t="str">
        <x:f>IF(OR(H456&lt;&gt;1,G456&lt;&gt;1),"",SUMIFS('External Data'!$E$2:$E$1001,'External Data'!$L$2:$L$1001,SUBSTITUTE(SUBSTITUTE(SUBSTITUTE(L456,"~","~~"),"*","~*"),"?","~?")))</x:f>
      </x:c>
      <x:c r="J456" s="13" t="str">
        <x:f>IF(OR(NOT(ISNUMBER(E456)),NOT(ISNUMBER(I456))),"",ROUND(E456-I456,2))</x:f>
      </x:c>
      <x:c r="K456" s="2" t="str">
        <x:f>IF(COUNTA(A456:F456)=0,"",IF(OR(A456="",B456="",C456="",D456="",NOT(ISNUMBER(E456))),"Missing / invalid input",IF(G456&gt;1,"Duplicate key in this source",IF(H456=0,"Missing in other source",IF(H456&gt;1,"Duplicate in other source",IF(SUMIFS('External Data'!$M$2:$M$1001,'External Data'!$L$2:$L$1001,SUBSTITUTE(SUBSTITUTE(SUBSTITUTE(L456,"~","~~"),"*","~*"),"?","~?"))&lt;&gt;1,"Other amount is invalid",IF(J456&lt;&gt;0,"Amount differs","Matched")))))))</x:f>
      </x:c>
      <x:c r="L456" t="str">
        <x:f>IF(COUNTA(A456:F456)=0,"",LEN(A456)&amp;":"&amp;A456&amp;LEN(B456)&amp;":"&amp;B456&amp;LEN(C456)&amp;":"&amp;C456&amp;LEN(D456)&amp;":"&amp;D456)</x:f>
      </x:c>
      <x:c r="M456" t="str">
        <x:f>IF(COUNTA(A456:F456)=0,"",IF(ISNUMBER(E456),1,0))</x:f>
      </x:c>
    </x:row>
    <x:row r="457">
      <x:c r="A457" s="11"/>
      <x:c r="B457" s="11"/>
      <x:c r="C457" s="11"/>
      <x:c r="D457" s="11"/>
      <x:c r="E457" s="12"/>
      <x:c r="F457" s="10"/>
      <x:c r="G457" s="2" t="str">
        <x:f>IF(COUNTA(A457:F457)=0,"",COUNTIFS('App Data'!$L$2:$L$1001,SUBSTITUTE(SUBSTITUTE(SUBSTITUTE(L457,"~","~~"),"*","~*"),"?","~?")))</x:f>
      </x:c>
      <x:c r="H457" s="2" t="str">
        <x:f>IF(COUNTA(A457:F457)=0,"",COUNTIFS('External Data'!$L$2:$L$1001,SUBSTITUTE(SUBSTITUTE(SUBSTITUTE(L457,"~","~~"),"*","~*"),"?","~?")))</x:f>
      </x:c>
      <x:c r="I457" s="13" t="str">
        <x:f>IF(OR(H457&lt;&gt;1,G457&lt;&gt;1),"",SUMIFS('External Data'!$E$2:$E$1001,'External Data'!$L$2:$L$1001,SUBSTITUTE(SUBSTITUTE(SUBSTITUTE(L457,"~","~~"),"*","~*"),"?","~?")))</x:f>
      </x:c>
      <x:c r="J457" s="13" t="str">
        <x:f>IF(OR(NOT(ISNUMBER(E457)),NOT(ISNUMBER(I457))),"",ROUND(E457-I457,2))</x:f>
      </x:c>
      <x:c r="K457" s="2" t="str">
        <x:f>IF(COUNTA(A457:F457)=0,"",IF(OR(A457="",B457="",C457="",D457="",NOT(ISNUMBER(E457))),"Missing / invalid input",IF(G457&gt;1,"Duplicate key in this source",IF(H457=0,"Missing in other source",IF(H457&gt;1,"Duplicate in other source",IF(SUMIFS('External Data'!$M$2:$M$1001,'External Data'!$L$2:$L$1001,SUBSTITUTE(SUBSTITUTE(SUBSTITUTE(L457,"~","~~"),"*","~*"),"?","~?"))&lt;&gt;1,"Other amount is invalid",IF(J457&lt;&gt;0,"Amount differs","Matched")))))))</x:f>
      </x:c>
      <x:c r="L457" t="str">
        <x:f>IF(COUNTA(A457:F457)=0,"",LEN(A457)&amp;":"&amp;A457&amp;LEN(B457)&amp;":"&amp;B457&amp;LEN(C457)&amp;":"&amp;C457&amp;LEN(D457)&amp;":"&amp;D457)</x:f>
      </x:c>
      <x:c r="M457" t="str">
        <x:f>IF(COUNTA(A457:F457)=0,"",IF(ISNUMBER(E457),1,0))</x:f>
      </x:c>
    </x:row>
    <x:row r="458">
      <x:c r="A458" s="11"/>
      <x:c r="B458" s="11"/>
      <x:c r="C458" s="11"/>
      <x:c r="D458" s="11"/>
      <x:c r="E458" s="12"/>
      <x:c r="F458" s="10"/>
      <x:c r="G458" s="2" t="str">
        <x:f>IF(COUNTA(A458:F458)=0,"",COUNTIFS('App Data'!$L$2:$L$1001,SUBSTITUTE(SUBSTITUTE(SUBSTITUTE(L458,"~","~~"),"*","~*"),"?","~?")))</x:f>
      </x:c>
      <x:c r="H458" s="2" t="str">
        <x:f>IF(COUNTA(A458:F458)=0,"",COUNTIFS('External Data'!$L$2:$L$1001,SUBSTITUTE(SUBSTITUTE(SUBSTITUTE(L458,"~","~~"),"*","~*"),"?","~?")))</x:f>
      </x:c>
      <x:c r="I458" s="13" t="str">
        <x:f>IF(OR(H458&lt;&gt;1,G458&lt;&gt;1),"",SUMIFS('External Data'!$E$2:$E$1001,'External Data'!$L$2:$L$1001,SUBSTITUTE(SUBSTITUTE(SUBSTITUTE(L458,"~","~~"),"*","~*"),"?","~?")))</x:f>
      </x:c>
      <x:c r="J458" s="13" t="str">
        <x:f>IF(OR(NOT(ISNUMBER(E458)),NOT(ISNUMBER(I458))),"",ROUND(E458-I458,2))</x:f>
      </x:c>
      <x:c r="K458" s="2" t="str">
        <x:f>IF(COUNTA(A458:F458)=0,"",IF(OR(A458="",B458="",C458="",D458="",NOT(ISNUMBER(E458))),"Missing / invalid input",IF(G458&gt;1,"Duplicate key in this source",IF(H458=0,"Missing in other source",IF(H458&gt;1,"Duplicate in other source",IF(SUMIFS('External Data'!$M$2:$M$1001,'External Data'!$L$2:$L$1001,SUBSTITUTE(SUBSTITUTE(SUBSTITUTE(L458,"~","~~"),"*","~*"),"?","~?"))&lt;&gt;1,"Other amount is invalid",IF(J458&lt;&gt;0,"Amount differs","Matched")))))))</x:f>
      </x:c>
      <x:c r="L458" t="str">
        <x:f>IF(COUNTA(A458:F458)=0,"",LEN(A458)&amp;":"&amp;A458&amp;LEN(B458)&amp;":"&amp;B458&amp;LEN(C458)&amp;":"&amp;C458&amp;LEN(D458)&amp;":"&amp;D458)</x:f>
      </x:c>
      <x:c r="M458" t="str">
        <x:f>IF(COUNTA(A458:F458)=0,"",IF(ISNUMBER(E458),1,0))</x:f>
      </x:c>
    </x:row>
    <x:row r="459">
      <x:c r="A459" s="11"/>
      <x:c r="B459" s="11"/>
      <x:c r="C459" s="11"/>
      <x:c r="D459" s="11"/>
      <x:c r="E459" s="12"/>
      <x:c r="F459" s="10"/>
      <x:c r="G459" s="2" t="str">
        <x:f>IF(COUNTA(A459:F459)=0,"",COUNTIFS('App Data'!$L$2:$L$1001,SUBSTITUTE(SUBSTITUTE(SUBSTITUTE(L459,"~","~~"),"*","~*"),"?","~?")))</x:f>
      </x:c>
      <x:c r="H459" s="2" t="str">
        <x:f>IF(COUNTA(A459:F459)=0,"",COUNTIFS('External Data'!$L$2:$L$1001,SUBSTITUTE(SUBSTITUTE(SUBSTITUTE(L459,"~","~~"),"*","~*"),"?","~?")))</x:f>
      </x:c>
      <x:c r="I459" s="13" t="str">
        <x:f>IF(OR(H459&lt;&gt;1,G459&lt;&gt;1),"",SUMIFS('External Data'!$E$2:$E$1001,'External Data'!$L$2:$L$1001,SUBSTITUTE(SUBSTITUTE(SUBSTITUTE(L459,"~","~~"),"*","~*"),"?","~?")))</x:f>
      </x:c>
      <x:c r="J459" s="13" t="str">
        <x:f>IF(OR(NOT(ISNUMBER(E459)),NOT(ISNUMBER(I459))),"",ROUND(E459-I459,2))</x:f>
      </x:c>
      <x:c r="K459" s="2" t="str">
        <x:f>IF(COUNTA(A459:F459)=0,"",IF(OR(A459="",B459="",C459="",D459="",NOT(ISNUMBER(E459))),"Missing / invalid input",IF(G459&gt;1,"Duplicate key in this source",IF(H459=0,"Missing in other source",IF(H459&gt;1,"Duplicate in other source",IF(SUMIFS('External Data'!$M$2:$M$1001,'External Data'!$L$2:$L$1001,SUBSTITUTE(SUBSTITUTE(SUBSTITUTE(L459,"~","~~"),"*","~*"),"?","~?"))&lt;&gt;1,"Other amount is invalid",IF(J459&lt;&gt;0,"Amount differs","Matched")))))))</x:f>
      </x:c>
      <x:c r="L459" t="str">
        <x:f>IF(COUNTA(A459:F459)=0,"",LEN(A459)&amp;":"&amp;A459&amp;LEN(B459)&amp;":"&amp;B459&amp;LEN(C459)&amp;":"&amp;C459&amp;LEN(D459)&amp;":"&amp;D459)</x:f>
      </x:c>
      <x:c r="M459" t="str">
        <x:f>IF(COUNTA(A459:F459)=0,"",IF(ISNUMBER(E459),1,0))</x:f>
      </x:c>
    </x:row>
    <x:row r="460">
      <x:c r="A460" s="11"/>
      <x:c r="B460" s="11"/>
      <x:c r="C460" s="11"/>
      <x:c r="D460" s="11"/>
      <x:c r="E460" s="12"/>
      <x:c r="F460" s="10"/>
      <x:c r="G460" s="2" t="str">
        <x:f>IF(COUNTA(A460:F460)=0,"",COUNTIFS('App Data'!$L$2:$L$1001,SUBSTITUTE(SUBSTITUTE(SUBSTITUTE(L460,"~","~~"),"*","~*"),"?","~?")))</x:f>
      </x:c>
      <x:c r="H460" s="2" t="str">
        <x:f>IF(COUNTA(A460:F460)=0,"",COUNTIFS('External Data'!$L$2:$L$1001,SUBSTITUTE(SUBSTITUTE(SUBSTITUTE(L460,"~","~~"),"*","~*"),"?","~?")))</x:f>
      </x:c>
      <x:c r="I460" s="13" t="str">
        <x:f>IF(OR(H460&lt;&gt;1,G460&lt;&gt;1),"",SUMIFS('External Data'!$E$2:$E$1001,'External Data'!$L$2:$L$1001,SUBSTITUTE(SUBSTITUTE(SUBSTITUTE(L460,"~","~~"),"*","~*"),"?","~?")))</x:f>
      </x:c>
      <x:c r="J460" s="13" t="str">
        <x:f>IF(OR(NOT(ISNUMBER(E460)),NOT(ISNUMBER(I460))),"",ROUND(E460-I460,2))</x:f>
      </x:c>
      <x:c r="K460" s="2" t="str">
        <x:f>IF(COUNTA(A460:F460)=0,"",IF(OR(A460="",B460="",C460="",D460="",NOT(ISNUMBER(E460))),"Missing / invalid input",IF(G460&gt;1,"Duplicate key in this source",IF(H460=0,"Missing in other source",IF(H460&gt;1,"Duplicate in other source",IF(SUMIFS('External Data'!$M$2:$M$1001,'External Data'!$L$2:$L$1001,SUBSTITUTE(SUBSTITUTE(SUBSTITUTE(L460,"~","~~"),"*","~*"),"?","~?"))&lt;&gt;1,"Other amount is invalid",IF(J460&lt;&gt;0,"Amount differs","Matched")))))))</x:f>
      </x:c>
      <x:c r="L460" t="str">
        <x:f>IF(COUNTA(A460:F460)=0,"",LEN(A460)&amp;":"&amp;A460&amp;LEN(B460)&amp;":"&amp;B460&amp;LEN(C460)&amp;":"&amp;C460&amp;LEN(D460)&amp;":"&amp;D460)</x:f>
      </x:c>
      <x:c r="M460" t="str">
        <x:f>IF(COUNTA(A460:F460)=0,"",IF(ISNUMBER(E460),1,0))</x:f>
      </x:c>
    </x:row>
    <x:row r="461">
      <x:c r="A461" s="11"/>
      <x:c r="B461" s="11"/>
      <x:c r="C461" s="11"/>
      <x:c r="D461" s="11"/>
      <x:c r="E461" s="12"/>
      <x:c r="F461" s="10"/>
      <x:c r="G461" s="2" t="str">
        <x:f>IF(COUNTA(A461:F461)=0,"",COUNTIFS('App Data'!$L$2:$L$1001,SUBSTITUTE(SUBSTITUTE(SUBSTITUTE(L461,"~","~~"),"*","~*"),"?","~?")))</x:f>
      </x:c>
      <x:c r="H461" s="2" t="str">
        <x:f>IF(COUNTA(A461:F461)=0,"",COUNTIFS('External Data'!$L$2:$L$1001,SUBSTITUTE(SUBSTITUTE(SUBSTITUTE(L461,"~","~~"),"*","~*"),"?","~?")))</x:f>
      </x:c>
      <x:c r="I461" s="13" t="str">
        <x:f>IF(OR(H461&lt;&gt;1,G461&lt;&gt;1),"",SUMIFS('External Data'!$E$2:$E$1001,'External Data'!$L$2:$L$1001,SUBSTITUTE(SUBSTITUTE(SUBSTITUTE(L461,"~","~~"),"*","~*"),"?","~?")))</x:f>
      </x:c>
      <x:c r="J461" s="13" t="str">
        <x:f>IF(OR(NOT(ISNUMBER(E461)),NOT(ISNUMBER(I461))),"",ROUND(E461-I461,2))</x:f>
      </x:c>
      <x:c r="K461" s="2" t="str">
        <x:f>IF(COUNTA(A461:F461)=0,"",IF(OR(A461="",B461="",C461="",D461="",NOT(ISNUMBER(E461))),"Missing / invalid input",IF(G461&gt;1,"Duplicate key in this source",IF(H461=0,"Missing in other source",IF(H461&gt;1,"Duplicate in other source",IF(SUMIFS('External Data'!$M$2:$M$1001,'External Data'!$L$2:$L$1001,SUBSTITUTE(SUBSTITUTE(SUBSTITUTE(L461,"~","~~"),"*","~*"),"?","~?"))&lt;&gt;1,"Other amount is invalid",IF(J461&lt;&gt;0,"Amount differs","Matched")))))))</x:f>
      </x:c>
      <x:c r="L461" t="str">
        <x:f>IF(COUNTA(A461:F461)=0,"",LEN(A461)&amp;":"&amp;A461&amp;LEN(B461)&amp;":"&amp;B461&amp;LEN(C461)&amp;":"&amp;C461&amp;LEN(D461)&amp;":"&amp;D461)</x:f>
      </x:c>
      <x:c r="M461" t="str">
        <x:f>IF(COUNTA(A461:F461)=0,"",IF(ISNUMBER(E461),1,0))</x:f>
      </x:c>
    </x:row>
    <x:row r="462">
      <x:c r="A462" s="11"/>
      <x:c r="B462" s="11"/>
      <x:c r="C462" s="11"/>
      <x:c r="D462" s="11"/>
      <x:c r="E462" s="12"/>
      <x:c r="F462" s="10"/>
      <x:c r="G462" s="2" t="str">
        <x:f>IF(COUNTA(A462:F462)=0,"",COUNTIFS('App Data'!$L$2:$L$1001,SUBSTITUTE(SUBSTITUTE(SUBSTITUTE(L462,"~","~~"),"*","~*"),"?","~?")))</x:f>
      </x:c>
      <x:c r="H462" s="2" t="str">
        <x:f>IF(COUNTA(A462:F462)=0,"",COUNTIFS('External Data'!$L$2:$L$1001,SUBSTITUTE(SUBSTITUTE(SUBSTITUTE(L462,"~","~~"),"*","~*"),"?","~?")))</x:f>
      </x:c>
      <x:c r="I462" s="13" t="str">
        <x:f>IF(OR(H462&lt;&gt;1,G462&lt;&gt;1),"",SUMIFS('External Data'!$E$2:$E$1001,'External Data'!$L$2:$L$1001,SUBSTITUTE(SUBSTITUTE(SUBSTITUTE(L462,"~","~~"),"*","~*"),"?","~?")))</x:f>
      </x:c>
      <x:c r="J462" s="13" t="str">
        <x:f>IF(OR(NOT(ISNUMBER(E462)),NOT(ISNUMBER(I462))),"",ROUND(E462-I462,2))</x:f>
      </x:c>
      <x:c r="K462" s="2" t="str">
        <x:f>IF(COUNTA(A462:F462)=0,"",IF(OR(A462="",B462="",C462="",D462="",NOT(ISNUMBER(E462))),"Missing / invalid input",IF(G462&gt;1,"Duplicate key in this source",IF(H462=0,"Missing in other source",IF(H462&gt;1,"Duplicate in other source",IF(SUMIFS('External Data'!$M$2:$M$1001,'External Data'!$L$2:$L$1001,SUBSTITUTE(SUBSTITUTE(SUBSTITUTE(L462,"~","~~"),"*","~*"),"?","~?"))&lt;&gt;1,"Other amount is invalid",IF(J462&lt;&gt;0,"Amount differs","Matched")))))))</x:f>
      </x:c>
      <x:c r="L462" t="str">
        <x:f>IF(COUNTA(A462:F462)=0,"",LEN(A462)&amp;":"&amp;A462&amp;LEN(B462)&amp;":"&amp;B462&amp;LEN(C462)&amp;":"&amp;C462&amp;LEN(D462)&amp;":"&amp;D462)</x:f>
      </x:c>
      <x:c r="M462" t="str">
        <x:f>IF(COUNTA(A462:F462)=0,"",IF(ISNUMBER(E462),1,0))</x:f>
      </x:c>
    </x:row>
    <x:row r="463">
      <x:c r="A463" s="11"/>
      <x:c r="B463" s="11"/>
      <x:c r="C463" s="11"/>
      <x:c r="D463" s="11"/>
      <x:c r="E463" s="12"/>
      <x:c r="F463" s="10"/>
      <x:c r="G463" s="2" t="str">
        <x:f>IF(COUNTA(A463:F463)=0,"",COUNTIFS('App Data'!$L$2:$L$1001,SUBSTITUTE(SUBSTITUTE(SUBSTITUTE(L463,"~","~~"),"*","~*"),"?","~?")))</x:f>
      </x:c>
      <x:c r="H463" s="2" t="str">
        <x:f>IF(COUNTA(A463:F463)=0,"",COUNTIFS('External Data'!$L$2:$L$1001,SUBSTITUTE(SUBSTITUTE(SUBSTITUTE(L463,"~","~~"),"*","~*"),"?","~?")))</x:f>
      </x:c>
      <x:c r="I463" s="13" t="str">
        <x:f>IF(OR(H463&lt;&gt;1,G463&lt;&gt;1),"",SUMIFS('External Data'!$E$2:$E$1001,'External Data'!$L$2:$L$1001,SUBSTITUTE(SUBSTITUTE(SUBSTITUTE(L463,"~","~~"),"*","~*"),"?","~?")))</x:f>
      </x:c>
      <x:c r="J463" s="13" t="str">
        <x:f>IF(OR(NOT(ISNUMBER(E463)),NOT(ISNUMBER(I463))),"",ROUND(E463-I463,2))</x:f>
      </x:c>
      <x:c r="K463" s="2" t="str">
        <x:f>IF(COUNTA(A463:F463)=0,"",IF(OR(A463="",B463="",C463="",D463="",NOT(ISNUMBER(E463))),"Missing / invalid input",IF(G463&gt;1,"Duplicate key in this source",IF(H463=0,"Missing in other source",IF(H463&gt;1,"Duplicate in other source",IF(SUMIFS('External Data'!$M$2:$M$1001,'External Data'!$L$2:$L$1001,SUBSTITUTE(SUBSTITUTE(SUBSTITUTE(L463,"~","~~"),"*","~*"),"?","~?"))&lt;&gt;1,"Other amount is invalid",IF(J463&lt;&gt;0,"Amount differs","Matched")))))))</x:f>
      </x:c>
      <x:c r="L463" t="str">
        <x:f>IF(COUNTA(A463:F463)=0,"",LEN(A463)&amp;":"&amp;A463&amp;LEN(B463)&amp;":"&amp;B463&amp;LEN(C463)&amp;":"&amp;C463&amp;LEN(D463)&amp;":"&amp;D463)</x:f>
      </x:c>
      <x:c r="M463" t="str">
        <x:f>IF(COUNTA(A463:F463)=0,"",IF(ISNUMBER(E463),1,0))</x:f>
      </x:c>
    </x:row>
    <x:row r="464">
      <x:c r="A464" s="11"/>
      <x:c r="B464" s="11"/>
      <x:c r="C464" s="11"/>
      <x:c r="D464" s="11"/>
      <x:c r="E464" s="12"/>
      <x:c r="F464" s="10"/>
      <x:c r="G464" s="2" t="str">
        <x:f>IF(COUNTA(A464:F464)=0,"",COUNTIFS('App Data'!$L$2:$L$1001,SUBSTITUTE(SUBSTITUTE(SUBSTITUTE(L464,"~","~~"),"*","~*"),"?","~?")))</x:f>
      </x:c>
      <x:c r="H464" s="2" t="str">
        <x:f>IF(COUNTA(A464:F464)=0,"",COUNTIFS('External Data'!$L$2:$L$1001,SUBSTITUTE(SUBSTITUTE(SUBSTITUTE(L464,"~","~~"),"*","~*"),"?","~?")))</x:f>
      </x:c>
      <x:c r="I464" s="13" t="str">
        <x:f>IF(OR(H464&lt;&gt;1,G464&lt;&gt;1),"",SUMIFS('External Data'!$E$2:$E$1001,'External Data'!$L$2:$L$1001,SUBSTITUTE(SUBSTITUTE(SUBSTITUTE(L464,"~","~~"),"*","~*"),"?","~?")))</x:f>
      </x:c>
      <x:c r="J464" s="13" t="str">
        <x:f>IF(OR(NOT(ISNUMBER(E464)),NOT(ISNUMBER(I464))),"",ROUND(E464-I464,2))</x:f>
      </x:c>
      <x:c r="K464" s="2" t="str">
        <x:f>IF(COUNTA(A464:F464)=0,"",IF(OR(A464="",B464="",C464="",D464="",NOT(ISNUMBER(E464))),"Missing / invalid input",IF(G464&gt;1,"Duplicate key in this source",IF(H464=0,"Missing in other source",IF(H464&gt;1,"Duplicate in other source",IF(SUMIFS('External Data'!$M$2:$M$1001,'External Data'!$L$2:$L$1001,SUBSTITUTE(SUBSTITUTE(SUBSTITUTE(L464,"~","~~"),"*","~*"),"?","~?"))&lt;&gt;1,"Other amount is invalid",IF(J464&lt;&gt;0,"Amount differs","Matched")))))))</x:f>
      </x:c>
      <x:c r="L464" t="str">
        <x:f>IF(COUNTA(A464:F464)=0,"",LEN(A464)&amp;":"&amp;A464&amp;LEN(B464)&amp;":"&amp;B464&amp;LEN(C464)&amp;":"&amp;C464&amp;LEN(D464)&amp;":"&amp;D464)</x:f>
      </x:c>
      <x:c r="M464" t="str">
        <x:f>IF(COUNTA(A464:F464)=0,"",IF(ISNUMBER(E464),1,0))</x:f>
      </x:c>
    </x:row>
    <x:row r="465">
      <x:c r="A465" s="11"/>
      <x:c r="B465" s="11"/>
      <x:c r="C465" s="11"/>
      <x:c r="D465" s="11"/>
      <x:c r="E465" s="12"/>
      <x:c r="F465" s="10"/>
      <x:c r="G465" s="2" t="str">
        <x:f>IF(COUNTA(A465:F465)=0,"",COUNTIFS('App Data'!$L$2:$L$1001,SUBSTITUTE(SUBSTITUTE(SUBSTITUTE(L465,"~","~~"),"*","~*"),"?","~?")))</x:f>
      </x:c>
      <x:c r="H465" s="2" t="str">
        <x:f>IF(COUNTA(A465:F465)=0,"",COUNTIFS('External Data'!$L$2:$L$1001,SUBSTITUTE(SUBSTITUTE(SUBSTITUTE(L465,"~","~~"),"*","~*"),"?","~?")))</x:f>
      </x:c>
      <x:c r="I465" s="13" t="str">
        <x:f>IF(OR(H465&lt;&gt;1,G465&lt;&gt;1),"",SUMIFS('External Data'!$E$2:$E$1001,'External Data'!$L$2:$L$1001,SUBSTITUTE(SUBSTITUTE(SUBSTITUTE(L465,"~","~~"),"*","~*"),"?","~?")))</x:f>
      </x:c>
      <x:c r="J465" s="13" t="str">
        <x:f>IF(OR(NOT(ISNUMBER(E465)),NOT(ISNUMBER(I465))),"",ROUND(E465-I465,2))</x:f>
      </x:c>
      <x:c r="K465" s="2" t="str">
        <x:f>IF(COUNTA(A465:F465)=0,"",IF(OR(A465="",B465="",C465="",D465="",NOT(ISNUMBER(E465))),"Missing / invalid input",IF(G465&gt;1,"Duplicate key in this source",IF(H465=0,"Missing in other source",IF(H465&gt;1,"Duplicate in other source",IF(SUMIFS('External Data'!$M$2:$M$1001,'External Data'!$L$2:$L$1001,SUBSTITUTE(SUBSTITUTE(SUBSTITUTE(L465,"~","~~"),"*","~*"),"?","~?"))&lt;&gt;1,"Other amount is invalid",IF(J465&lt;&gt;0,"Amount differs","Matched")))))))</x:f>
      </x:c>
      <x:c r="L465" t="str">
        <x:f>IF(COUNTA(A465:F465)=0,"",LEN(A465)&amp;":"&amp;A465&amp;LEN(B465)&amp;":"&amp;B465&amp;LEN(C465)&amp;":"&amp;C465&amp;LEN(D465)&amp;":"&amp;D465)</x:f>
      </x:c>
      <x:c r="M465" t="str">
        <x:f>IF(COUNTA(A465:F465)=0,"",IF(ISNUMBER(E465),1,0))</x:f>
      </x:c>
    </x:row>
    <x:row r="466">
      <x:c r="A466" s="11"/>
      <x:c r="B466" s="11"/>
      <x:c r="C466" s="11"/>
      <x:c r="D466" s="11"/>
      <x:c r="E466" s="12"/>
      <x:c r="F466" s="10"/>
      <x:c r="G466" s="2" t="str">
        <x:f>IF(COUNTA(A466:F466)=0,"",COUNTIFS('App Data'!$L$2:$L$1001,SUBSTITUTE(SUBSTITUTE(SUBSTITUTE(L466,"~","~~"),"*","~*"),"?","~?")))</x:f>
      </x:c>
      <x:c r="H466" s="2" t="str">
        <x:f>IF(COUNTA(A466:F466)=0,"",COUNTIFS('External Data'!$L$2:$L$1001,SUBSTITUTE(SUBSTITUTE(SUBSTITUTE(L466,"~","~~"),"*","~*"),"?","~?")))</x:f>
      </x:c>
      <x:c r="I466" s="13" t="str">
        <x:f>IF(OR(H466&lt;&gt;1,G466&lt;&gt;1),"",SUMIFS('External Data'!$E$2:$E$1001,'External Data'!$L$2:$L$1001,SUBSTITUTE(SUBSTITUTE(SUBSTITUTE(L466,"~","~~"),"*","~*"),"?","~?")))</x:f>
      </x:c>
      <x:c r="J466" s="13" t="str">
        <x:f>IF(OR(NOT(ISNUMBER(E466)),NOT(ISNUMBER(I466))),"",ROUND(E466-I466,2))</x:f>
      </x:c>
      <x:c r="K466" s="2" t="str">
        <x:f>IF(COUNTA(A466:F466)=0,"",IF(OR(A466="",B466="",C466="",D466="",NOT(ISNUMBER(E466))),"Missing / invalid input",IF(G466&gt;1,"Duplicate key in this source",IF(H466=0,"Missing in other source",IF(H466&gt;1,"Duplicate in other source",IF(SUMIFS('External Data'!$M$2:$M$1001,'External Data'!$L$2:$L$1001,SUBSTITUTE(SUBSTITUTE(SUBSTITUTE(L466,"~","~~"),"*","~*"),"?","~?"))&lt;&gt;1,"Other amount is invalid",IF(J466&lt;&gt;0,"Amount differs","Matched")))))))</x:f>
      </x:c>
      <x:c r="L466" t="str">
        <x:f>IF(COUNTA(A466:F466)=0,"",LEN(A466)&amp;":"&amp;A466&amp;LEN(B466)&amp;":"&amp;B466&amp;LEN(C466)&amp;":"&amp;C466&amp;LEN(D466)&amp;":"&amp;D466)</x:f>
      </x:c>
      <x:c r="M466" t="str">
        <x:f>IF(COUNTA(A466:F466)=0,"",IF(ISNUMBER(E466),1,0))</x:f>
      </x:c>
    </x:row>
    <x:row r="467">
      <x:c r="A467" s="11"/>
      <x:c r="B467" s="11"/>
      <x:c r="C467" s="11"/>
      <x:c r="D467" s="11"/>
      <x:c r="E467" s="12"/>
      <x:c r="F467" s="10"/>
      <x:c r="G467" s="2" t="str">
        <x:f>IF(COUNTA(A467:F467)=0,"",COUNTIFS('App Data'!$L$2:$L$1001,SUBSTITUTE(SUBSTITUTE(SUBSTITUTE(L467,"~","~~"),"*","~*"),"?","~?")))</x:f>
      </x:c>
      <x:c r="H467" s="2" t="str">
        <x:f>IF(COUNTA(A467:F467)=0,"",COUNTIFS('External Data'!$L$2:$L$1001,SUBSTITUTE(SUBSTITUTE(SUBSTITUTE(L467,"~","~~"),"*","~*"),"?","~?")))</x:f>
      </x:c>
      <x:c r="I467" s="13" t="str">
        <x:f>IF(OR(H467&lt;&gt;1,G467&lt;&gt;1),"",SUMIFS('External Data'!$E$2:$E$1001,'External Data'!$L$2:$L$1001,SUBSTITUTE(SUBSTITUTE(SUBSTITUTE(L467,"~","~~"),"*","~*"),"?","~?")))</x:f>
      </x:c>
      <x:c r="J467" s="13" t="str">
        <x:f>IF(OR(NOT(ISNUMBER(E467)),NOT(ISNUMBER(I467))),"",ROUND(E467-I467,2))</x:f>
      </x:c>
      <x:c r="K467" s="2" t="str">
        <x:f>IF(COUNTA(A467:F467)=0,"",IF(OR(A467="",B467="",C467="",D467="",NOT(ISNUMBER(E467))),"Missing / invalid input",IF(G467&gt;1,"Duplicate key in this source",IF(H467=0,"Missing in other source",IF(H467&gt;1,"Duplicate in other source",IF(SUMIFS('External Data'!$M$2:$M$1001,'External Data'!$L$2:$L$1001,SUBSTITUTE(SUBSTITUTE(SUBSTITUTE(L467,"~","~~"),"*","~*"),"?","~?"))&lt;&gt;1,"Other amount is invalid",IF(J467&lt;&gt;0,"Amount differs","Matched")))))))</x:f>
      </x:c>
      <x:c r="L467" t="str">
        <x:f>IF(COUNTA(A467:F467)=0,"",LEN(A467)&amp;":"&amp;A467&amp;LEN(B467)&amp;":"&amp;B467&amp;LEN(C467)&amp;":"&amp;C467&amp;LEN(D467)&amp;":"&amp;D467)</x:f>
      </x:c>
      <x:c r="M467" t="str">
        <x:f>IF(COUNTA(A467:F467)=0,"",IF(ISNUMBER(E467),1,0))</x:f>
      </x:c>
    </x:row>
    <x:row r="468">
      <x:c r="A468" s="11"/>
      <x:c r="B468" s="11"/>
      <x:c r="C468" s="11"/>
      <x:c r="D468" s="11"/>
      <x:c r="E468" s="12"/>
      <x:c r="F468" s="10"/>
      <x:c r="G468" s="2" t="str">
        <x:f>IF(COUNTA(A468:F468)=0,"",COUNTIFS('App Data'!$L$2:$L$1001,SUBSTITUTE(SUBSTITUTE(SUBSTITUTE(L468,"~","~~"),"*","~*"),"?","~?")))</x:f>
      </x:c>
      <x:c r="H468" s="2" t="str">
        <x:f>IF(COUNTA(A468:F468)=0,"",COUNTIFS('External Data'!$L$2:$L$1001,SUBSTITUTE(SUBSTITUTE(SUBSTITUTE(L468,"~","~~"),"*","~*"),"?","~?")))</x:f>
      </x:c>
      <x:c r="I468" s="13" t="str">
        <x:f>IF(OR(H468&lt;&gt;1,G468&lt;&gt;1),"",SUMIFS('External Data'!$E$2:$E$1001,'External Data'!$L$2:$L$1001,SUBSTITUTE(SUBSTITUTE(SUBSTITUTE(L468,"~","~~"),"*","~*"),"?","~?")))</x:f>
      </x:c>
      <x:c r="J468" s="13" t="str">
        <x:f>IF(OR(NOT(ISNUMBER(E468)),NOT(ISNUMBER(I468))),"",ROUND(E468-I468,2))</x:f>
      </x:c>
      <x:c r="K468" s="2" t="str">
        <x:f>IF(COUNTA(A468:F468)=0,"",IF(OR(A468="",B468="",C468="",D468="",NOT(ISNUMBER(E468))),"Missing / invalid input",IF(G468&gt;1,"Duplicate key in this source",IF(H468=0,"Missing in other source",IF(H468&gt;1,"Duplicate in other source",IF(SUMIFS('External Data'!$M$2:$M$1001,'External Data'!$L$2:$L$1001,SUBSTITUTE(SUBSTITUTE(SUBSTITUTE(L468,"~","~~"),"*","~*"),"?","~?"))&lt;&gt;1,"Other amount is invalid",IF(J468&lt;&gt;0,"Amount differs","Matched")))))))</x:f>
      </x:c>
      <x:c r="L468" t="str">
        <x:f>IF(COUNTA(A468:F468)=0,"",LEN(A468)&amp;":"&amp;A468&amp;LEN(B468)&amp;":"&amp;B468&amp;LEN(C468)&amp;":"&amp;C468&amp;LEN(D468)&amp;":"&amp;D468)</x:f>
      </x:c>
      <x:c r="M468" t="str">
        <x:f>IF(COUNTA(A468:F468)=0,"",IF(ISNUMBER(E468),1,0))</x:f>
      </x:c>
    </x:row>
    <x:row r="469">
      <x:c r="A469" s="11"/>
      <x:c r="B469" s="11"/>
      <x:c r="C469" s="11"/>
      <x:c r="D469" s="11"/>
      <x:c r="E469" s="12"/>
      <x:c r="F469" s="10"/>
      <x:c r="G469" s="2" t="str">
        <x:f>IF(COUNTA(A469:F469)=0,"",COUNTIFS('App Data'!$L$2:$L$1001,SUBSTITUTE(SUBSTITUTE(SUBSTITUTE(L469,"~","~~"),"*","~*"),"?","~?")))</x:f>
      </x:c>
      <x:c r="H469" s="2" t="str">
        <x:f>IF(COUNTA(A469:F469)=0,"",COUNTIFS('External Data'!$L$2:$L$1001,SUBSTITUTE(SUBSTITUTE(SUBSTITUTE(L469,"~","~~"),"*","~*"),"?","~?")))</x:f>
      </x:c>
      <x:c r="I469" s="13" t="str">
        <x:f>IF(OR(H469&lt;&gt;1,G469&lt;&gt;1),"",SUMIFS('External Data'!$E$2:$E$1001,'External Data'!$L$2:$L$1001,SUBSTITUTE(SUBSTITUTE(SUBSTITUTE(L469,"~","~~"),"*","~*"),"?","~?")))</x:f>
      </x:c>
      <x:c r="J469" s="13" t="str">
        <x:f>IF(OR(NOT(ISNUMBER(E469)),NOT(ISNUMBER(I469))),"",ROUND(E469-I469,2))</x:f>
      </x:c>
      <x:c r="K469" s="2" t="str">
        <x:f>IF(COUNTA(A469:F469)=0,"",IF(OR(A469="",B469="",C469="",D469="",NOT(ISNUMBER(E469))),"Missing / invalid input",IF(G469&gt;1,"Duplicate key in this source",IF(H469=0,"Missing in other source",IF(H469&gt;1,"Duplicate in other source",IF(SUMIFS('External Data'!$M$2:$M$1001,'External Data'!$L$2:$L$1001,SUBSTITUTE(SUBSTITUTE(SUBSTITUTE(L469,"~","~~"),"*","~*"),"?","~?"))&lt;&gt;1,"Other amount is invalid",IF(J469&lt;&gt;0,"Amount differs","Matched")))))))</x:f>
      </x:c>
      <x:c r="L469" t="str">
        <x:f>IF(COUNTA(A469:F469)=0,"",LEN(A469)&amp;":"&amp;A469&amp;LEN(B469)&amp;":"&amp;B469&amp;LEN(C469)&amp;":"&amp;C469&amp;LEN(D469)&amp;":"&amp;D469)</x:f>
      </x:c>
      <x:c r="M469" t="str">
        <x:f>IF(COUNTA(A469:F469)=0,"",IF(ISNUMBER(E469),1,0))</x:f>
      </x:c>
    </x:row>
    <x:row r="470">
      <x:c r="A470" s="11"/>
      <x:c r="B470" s="11"/>
      <x:c r="C470" s="11"/>
      <x:c r="D470" s="11"/>
      <x:c r="E470" s="12"/>
      <x:c r="F470" s="10"/>
      <x:c r="G470" s="2" t="str">
        <x:f>IF(COUNTA(A470:F470)=0,"",COUNTIFS('App Data'!$L$2:$L$1001,SUBSTITUTE(SUBSTITUTE(SUBSTITUTE(L470,"~","~~"),"*","~*"),"?","~?")))</x:f>
      </x:c>
      <x:c r="H470" s="2" t="str">
        <x:f>IF(COUNTA(A470:F470)=0,"",COUNTIFS('External Data'!$L$2:$L$1001,SUBSTITUTE(SUBSTITUTE(SUBSTITUTE(L470,"~","~~"),"*","~*"),"?","~?")))</x:f>
      </x:c>
      <x:c r="I470" s="13" t="str">
        <x:f>IF(OR(H470&lt;&gt;1,G470&lt;&gt;1),"",SUMIFS('External Data'!$E$2:$E$1001,'External Data'!$L$2:$L$1001,SUBSTITUTE(SUBSTITUTE(SUBSTITUTE(L470,"~","~~"),"*","~*"),"?","~?")))</x:f>
      </x:c>
      <x:c r="J470" s="13" t="str">
        <x:f>IF(OR(NOT(ISNUMBER(E470)),NOT(ISNUMBER(I470))),"",ROUND(E470-I470,2))</x:f>
      </x:c>
      <x:c r="K470" s="2" t="str">
        <x:f>IF(COUNTA(A470:F470)=0,"",IF(OR(A470="",B470="",C470="",D470="",NOT(ISNUMBER(E470))),"Missing / invalid input",IF(G470&gt;1,"Duplicate key in this source",IF(H470=0,"Missing in other source",IF(H470&gt;1,"Duplicate in other source",IF(SUMIFS('External Data'!$M$2:$M$1001,'External Data'!$L$2:$L$1001,SUBSTITUTE(SUBSTITUTE(SUBSTITUTE(L470,"~","~~"),"*","~*"),"?","~?"))&lt;&gt;1,"Other amount is invalid",IF(J470&lt;&gt;0,"Amount differs","Matched")))))))</x:f>
      </x:c>
      <x:c r="L470" t="str">
        <x:f>IF(COUNTA(A470:F470)=0,"",LEN(A470)&amp;":"&amp;A470&amp;LEN(B470)&amp;":"&amp;B470&amp;LEN(C470)&amp;":"&amp;C470&amp;LEN(D470)&amp;":"&amp;D470)</x:f>
      </x:c>
      <x:c r="M470" t="str">
        <x:f>IF(COUNTA(A470:F470)=0,"",IF(ISNUMBER(E470),1,0))</x:f>
      </x:c>
    </x:row>
    <x:row r="471">
      <x:c r="A471" s="11"/>
      <x:c r="B471" s="11"/>
      <x:c r="C471" s="11"/>
      <x:c r="D471" s="11"/>
      <x:c r="E471" s="12"/>
      <x:c r="F471" s="10"/>
      <x:c r="G471" s="2" t="str">
        <x:f>IF(COUNTA(A471:F471)=0,"",COUNTIFS('App Data'!$L$2:$L$1001,SUBSTITUTE(SUBSTITUTE(SUBSTITUTE(L471,"~","~~"),"*","~*"),"?","~?")))</x:f>
      </x:c>
      <x:c r="H471" s="2" t="str">
        <x:f>IF(COUNTA(A471:F471)=0,"",COUNTIFS('External Data'!$L$2:$L$1001,SUBSTITUTE(SUBSTITUTE(SUBSTITUTE(L471,"~","~~"),"*","~*"),"?","~?")))</x:f>
      </x:c>
      <x:c r="I471" s="13" t="str">
        <x:f>IF(OR(H471&lt;&gt;1,G471&lt;&gt;1),"",SUMIFS('External Data'!$E$2:$E$1001,'External Data'!$L$2:$L$1001,SUBSTITUTE(SUBSTITUTE(SUBSTITUTE(L471,"~","~~"),"*","~*"),"?","~?")))</x:f>
      </x:c>
      <x:c r="J471" s="13" t="str">
        <x:f>IF(OR(NOT(ISNUMBER(E471)),NOT(ISNUMBER(I471))),"",ROUND(E471-I471,2))</x:f>
      </x:c>
      <x:c r="K471" s="2" t="str">
        <x:f>IF(COUNTA(A471:F471)=0,"",IF(OR(A471="",B471="",C471="",D471="",NOT(ISNUMBER(E471))),"Missing / invalid input",IF(G471&gt;1,"Duplicate key in this source",IF(H471=0,"Missing in other source",IF(H471&gt;1,"Duplicate in other source",IF(SUMIFS('External Data'!$M$2:$M$1001,'External Data'!$L$2:$L$1001,SUBSTITUTE(SUBSTITUTE(SUBSTITUTE(L471,"~","~~"),"*","~*"),"?","~?"))&lt;&gt;1,"Other amount is invalid",IF(J471&lt;&gt;0,"Amount differs","Matched")))))))</x:f>
      </x:c>
      <x:c r="L471" t="str">
        <x:f>IF(COUNTA(A471:F471)=0,"",LEN(A471)&amp;":"&amp;A471&amp;LEN(B471)&amp;":"&amp;B471&amp;LEN(C471)&amp;":"&amp;C471&amp;LEN(D471)&amp;":"&amp;D471)</x:f>
      </x:c>
      <x:c r="M471" t="str">
        <x:f>IF(COUNTA(A471:F471)=0,"",IF(ISNUMBER(E471),1,0))</x:f>
      </x:c>
    </x:row>
    <x:row r="472">
      <x:c r="A472" s="11"/>
      <x:c r="B472" s="11"/>
      <x:c r="C472" s="11"/>
      <x:c r="D472" s="11"/>
      <x:c r="E472" s="12"/>
      <x:c r="F472" s="10"/>
      <x:c r="G472" s="2" t="str">
        <x:f>IF(COUNTA(A472:F472)=0,"",COUNTIFS('App Data'!$L$2:$L$1001,SUBSTITUTE(SUBSTITUTE(SUBSTITUTE(L472,"~","~~"),"*","~*"),"?","~?")))</x:f>
      </x:c>
      <x:c r="H472" s="2" t="str">
        <x:f>IF(COUNTA(A472:F472)=0,"",COUNTIFS('External Data'!$L$2:$L$1001,SUBSTITUTE(SUBSTITUTE(SUBSTITUTE(L472,"~","~~"),"*","~*"),"?","~?")))</x:f>
      </x:c>
      <x:c r="I472" s="13" t="str">
        <x:f>IF(OR(H472&lt;&gt;1,G472&lt;&gt;1),"",SUMIFS('External Data'!$E$2:$E$1001,'External Data'!$L$2:$L$1001,SUBSTITUTE(SUBSTITUTE(SUBSTITUTE(L472,"~","~~"),"*","~*"),"?","~?")))</x:f>
      </x:c>
      <x:c r="J472" s="13" t="str">
        <x:f>IF(OR(NOT(ISNUMBER(E472)),NOT(ISNUMBER(I472))),"",ROUND(E472-I472,2))</x:f>
      </x:c>
      <x:c r="K472" s="2" t="str">
        <x:f>IF(COUNTA(A472:F472)=0,"",IF(OR(A472="",B472="",C472="",D472="",NOT(ISNUMBER(E472))),"Missing / invalid input",IF(G472&gt;1,"Duplicate key in this source",IF(H472=0,"Missing in other source",IF(H472&gt;1,"Duplicate in other source",IF(SUMIFS('External Data'!$M$2:$M$1001,'External Data'!$L$2:$L$1001,SUBSTITUTE(SUBSTITUTE(SUBSTITUTE(L472,"~","~~"),"*","~*"),"?","~?"))&lt;&gt;1,"Other amount is invalid",IF(J472&lt;&gt;0,"Amount differs","Matched")))))))</x:f>
      </x:c>
      <x:c r="L472" t="str">
        <x:f>IF(COUNTA(A472:F472)=0,"",LEN(A472)&amp;":"&amp;A472&amp;LEN(B472)&amp;":"&amp;B472&amp;LEN(C472)&amp;":"&amp;C472&amp;LEN(D472)&amp;":"&amp;D472)</x:f>
      </x:c>
      <x:c r="M472" t="str">
        <x:f>IF(COUNTA(A472:F472)=0,"",IF(ISNUMBER(E472),1,0))</x:f>
      </x:c>
    </x:row>
    <x:row r="473">
      <x:c r="A473" s="11"/>
      <x:c r="B473" s="11"/>
      <x:c r="C473" s="11"/>
      <x:c r="D473" s="11"/>
      <x:c r="E473" s="12"/>
      <x:c r="F473" s="10"/>
      <x:c r="G473" s="2" t="str">
        <x:f>IF(COUNTA(A473:F473)=0,"",COUNTIFS('App Data'!$L$2:$L$1001,SUBSTITUTE(SUBSTITUTE(SUBSTITUTE(L473,"~","~~"),"*","~*"),"?","~?")))</x:f>
      </x:c>
      <x:c r="H473" s="2" t="str">
        <x:f>IF(COUNTA(A473:F473)=0,"",COUNTIFS('External Data'!$L$2:$L$1001,SUBSTITUTE(SUBSTITUTE(SUBSTITUTE(L473,"~","~~"),"*","~*"),"?","~?")))</x:f>
      </x:c>
      <x:c r="I473" s="13" t="str">
        <x:f>IF(OR(H473&lt;&gt;1,G473&lt;&gt;1),"",SUMIFS('External Data'!$E$2:$E$1001,'External Data'!$L$2:$L$1001,SUBSTITUTE(SUBSTITUTE(SUBSTITUTE(L473,"~","~~"),"*","~*"),"?","~?")))</x:f>
      </x:c>
      <x:c r="J473" s="13" t="str">
        <x:f>IF(OR(NOT(ISNUMBER(E473)),NOT(ISNUMBER(I473))),"",ROUND(E473-I473,2))</x:f>
      </x:c>
      <x:c r="K473" s="2" t="str">
        <x:f>IF(COUNTA(A473:F473)=0,"",IF(OR(A473="",B473="",C473="",D473="",NOT(ISNUMBER(E473))),"Missing / invalid input",IF(G473&gt;1,"Duplicate key in this source",IF(H473=0,"Missing in other source",IF(H473&gt;1,"Duplicate in other source",IF(SUMIFS('External Data'!$M$2:$M$1001,'External Data'!$L$2:$L$1001,SUBSTITUTE(SUBSTITUTE(SUBSTITUTE(L473,"~","~~"),"*","~*"),"?","~?"))&lt;&gt;1,"Other amount is invalid",IF(J473&lt;&gt;0,"Amount differs","Matched")))))))</x:f>
      </x:c>
      <x:c r="L473" t="str">
        <x:f>IF(COUNTA(A473:F473)=0,"",LEN(A473)&amp;":"&amp;A473&amp;LEN(B473)&amp;":"&amp;B473&amp;LEN(C473)&amp;":"&amp;C473&amp;LEN(D473)&amp;":"&amp;D473)</x:f>
      </x:c>
      <x:c r="M473" t="str">
        <x:f>IF(COUNTA(A473:F473)=0,"",IF(ISNUMBER(E473),1,0))</x:f>
      </x:c>
    </x:row>
    <x:row r="474">
      <x:c r="A474" s="11"/>
      <x:c r="B474" s="11"/>
      <x:c r="C474" s="11"/>
      <x:c r="D474" s="11"/>
      <x:c r="E474" s="12"/>
      <x:c r="F474" s="10"/>
      <x:c r="G474" s="2" t="str">
        <x:f>IF(COUNTA(A474:F474)=0,"",COUNTIFS('App Data'!$L$2:$L$1001,SUBSTITUTE(SUBSTITUTE(SUBSTITUTE(L474,"~","~~"),"*","~*"),"?","~?")))</x:f>
      </x:c>
      <x:c r="H474" s="2" t="str">
        <x:f>IF(COUNTA(A474:F474)=0,"",COUNTIFS('External Data'!$L$2:$L$1001,SUBSTITUTE(SUBSTITUTE(SUBSTITUTE(L474,"~","~~"),"*","~*"),"?","~?")))</x:f>
      </x:c>
      <x:c r="I474" s="13" t="str">
        <x:f>IF(OR(H474&lt;&gt;1,G474&lt;&gt;1),"",SUMIFS('External Data'!$E$2:$E$1001,'External Data'!$L$2:$L$1001,SUBSTITUTE(SUBSTITUTE(SUBSTITUTE(L474,"~","~~"),"*","~*"),"?","~?")))</x:f>
      </x:c>
      <x:c r="J474" s="13" t="str">
        <x:f>IF(OR(NOT(ISNUMBER(E474)),NOT(ISNUMBER(I474))),"",ROUND(E474-I474,2))</x:f>
      </x:c>
      <x:c r="K474" s="2" t="str">
        <x:f>IF(COUNTA(A474:F474)=0,"",IF(OR(A474="",B474="",C474="",D474="",NOT(ISNUMBER(E474))),"Missing / invalid input",IF(G474&gt;1,"Duplicate key in this source",IF(H474=0,"Missing in other source",IF(H474&gt;1,"Duplicate in other source",IF(SUMIFS('External Data'!$M$2:$M$1001,'External Data'!$L$2:$L$1001,SUBSTITUTE(SUBSTITUTE(SUBSTITUTE(L474,"~","~~"),"*","~*"),"?","~?"))&lt;&gt;1,"Other amount is invalid",IF(J474&lt;&gt;0,"Amount differs","Matched")))))))</x:f>
      </x:c>
      <x:c r="L474" t="str">
        <x:f>IF(COUNTA(A474:F474)=0,"",LEN(A474)&amp;":"&amp;A474&amp;LEN(B474)&amp;":"&amp;B474&amp;LEN(C474)&amp;":"&amp;C474&amp;LEN(D474)&amp;":"&amp;D474)</x:f>
      </x:c>
      <x:c r="M474" t="str">
        <x:f>IF(COUNTA(A474:F474)=0,"",IF(ISNUMBER(E474),1,0))</x:f>
      </x:c>
    </x:row>
    <x:row r="475">
      <x:c r="A475" s="11"/>
      <x:c r="B475" s="11"/>
      <x:c r="C475" s="11"/>
      <x:c r="D475" s="11"/>
      <x:c r="E475" s="12"/>
      <x:c r="F475" s="10"/>
      <x:c r="G475" s="2" t="str">
        <x:f>IF(COUNTA(A475:F475)=0,"",COUNTIFS('App Data'!$L$2:$L$1001,SUBSTITUTE(SUBSTITUTE(SUBSTITUTE(L475,"~","~~"),"*","~*"),"?","~?")))</x:f>
      </x:c>
      <x:c r="H475" s="2" t="str">
        <x:f>IF(COUNTA(A475:F475)=0,"",COUNTIFS('External Data'!$L$2:$L$1001,SUBSTITUTE(SUBSTITUTE(SUBSTITUTE(L475,"~","~~"),"*","~*"),"?","~?")))</x:f>
      </x:c>
      <x:c r="I475" s="13" t="str">
        <x:f>IF(OR(H475&lt;&gt;1,G475&lt;&gt;1),"",SUMIFS('External Data'!$E$2:$E$1001,'External Data'!$L$2:$L$1001,SUBSTITUTE(SUBSTITUTE(SUBSTITUTE(L475,"~","~~"),"*","~*"),"?","~?")))</x:f>
      </x:c>
      <x:c r="J475" s="13" t="str">
        <x:f>IF(OR(NOT(ISNUMBER(E475)),NOT(ISNUMBER(I475))),"",ROUND(E475-I475,2))</x:f>
      </x:c>
      <x:c r="K475" s="2" t="str">
        <x:f>IF(COUNTA(A475:F475)=0,"",IF(OR(A475="",B475="",C475="",D475="",NOT(ISNUMBER(E475))),"Missing / invalid input",IF(G475&gt;1,"Duplicate key in this source",IF(H475=0,"Missing in other source",IF(H475&gt;1,"Duplicate in other source",IF(SUMIFS('External Data'!$M$2:$M$1001,'External Data'!$L$2:$L$1001,SUBSTITUTE(SUBSTITUTE(SUBSTITUTE(L475,"~","~~"),"*","~*"),"?","~?"))&lt;&gt;1,"Other amount is invalid",IF(J475&lt;&gt;0,"Amount differs","Matched")))))))</x:f>
      </x:c>
      <x:c r="L475" t="str">
        <x:f>IF(COUNTA(A475:F475)=0,"",LEN(A475)&amp;":"&amp;A475&amp;LEN(B475)&amp;":"&amp;B475&amp;LEN(C475)&amp;":"&amp;C475&amp;LEN(D475)&amp;":"&amp;D475)</x:f>
      </x:c>
      <x:c r="M475" t="str">
        <x:f>IF(COUNTA(A475:F475)=0,"",IF(ISNUMBER(E475),1,0))</x:f>
      </x:c>
    </x:row>
    <x:row r="476">
      <x:c r="A476" s="11"/>
      <x:c r="B476" s="11"/>
      <x:c r="C476" s="11"/>
      <x:c r="D476" s="11"/>
      <x:c r="E476" s="12"/>
      <x:c r="F476" s="10"/>
      <x:c r="G476" s="2" t="str">
        <x:f>IF(COUNTA(A476:F476)=0,"",COUNTIFS('App Data'!$L$2:$L$1001,SUBSTITUTE(SUBSTITUTE(SUBSTITUTE(L476,"~","~~"),"*","~*"),"?","~?")))</x:f>
      </x:c>
      <x:c r="H476" s="2" t="str">
        <x:f>IF(COUNTA(A476:F476)=0,"",COUNTIFS('External Data'!$L$2:$L$1001,SUBSTITUTE(SUBSTITUTE(SUBSTITUTE(L476,"~","~~"),"*","~*"),"?","~?")))</x:f>
      </x:c>
      <x:c r="I476" s="13" t="str">
        <x:f>IF(OR(H476&lt;&gt;1,G476&lt;&gt;1),"",SUMIFS('External Data'!$E$2:$E$1001,'External Data'!$L$2:$L$1001,SUBSTITUTE(SUBSTITUTE(SUBSTITUTE(L476,"~","~~"),"*","~*"),"?","~?")))</x:f>
      </x:c>
      <x:c r="J476" s="13" t="str">
        <x:f>IF(OR(NOT(ISNUMBER(E476)),NOT(ISNUMBER(I476))),"",ROUND(E476-I476,2))</x:f>
      </x:c>
      <x:c r="K476" s="2" t="str">
        <x:f>IF(COUNTA(A476:F476)=0,"",IF(OR(A476="",B476="",C476="",D476="",NOT(ISNUMBER(E476))),"Missing / invalid input",IF(G476&gt;1,"Duplicate key in this source",IF(H476=0,"Missing in other source",IF(H476&gt;1,"Duplicate in other source",IF(SUMIFS('External Data'!$M$2:$M$1001,'External Data'!$L$2:$L$1001,SUBSTITUTE(SUBSTITUTE(SUBSTITUTE(L476,"~","~~"),"*","~*"),"?","~?"))&lt;&gt;1,"Other amount is invalid",IF(J476&lt;&gt;0,"Amount differs","Matched")))))))</x:f>
      </x:c>
      <x:c r="L476" t="str">
        <x:f>IF(COUNTA(A476:F476)=0,"",LEN(A476)&amp;":"&amp;A476&amp;LEN(B476)&amp;":"&amp;B476&amp;LEN(C476)&amp;":"&amp;C476&amp;LEN(D476)&amp;":"&amp;D476)</x:f>
      </x:c>
      <x:c r="M476" t="str">
        <x:f>IF(COUNTA(A476:F476)=0,"",IF(ISNUMBER(E476),1,0))</x:f>
      </x:c>
    </x:row>
    <x:row r="477">
      <x:c r="A477" s="11"/>
      <x:c r="B477" s="11"/>
      <x:c r="C477" s="11"/>
      <x:c r="D477" s="11"/>
      <x:c r="E477" s="12"/>
      <x:c r="F477" s="10"/>
      <x:c r="G477" s="2" t="str">
        <x:f>IF(COUNTA(A477:F477)=0,"",COUNTIFS('App Data'!$L$2:$L$1001,SUBSTITUTE(SUBSTITUTE(SUBSTITUTE(L477,"~","~~"),"*","~*"),"?","~?")))</x:f>
      </x:c>
      <x:c r="H477" s="2" t="str">
        <x:f>IF(COUNTA(A477:F477)=0,"",COUNTIFS('External Data'!$L$2:$L$1001,SUBSTITUTE(SUBSTITUTE(SUBSTITUTE(L477,"~","~~"),"*","~*"),"?","~?")))</x:f>
      </x:c>
      <x:c r="I477" s="13" t="str">
        <x:f>IF(OR(H477&lt;&gt;1,G477&lt;&gt;1),"",SUMIFS('External Data'!$E$2:$E$1001,'External Data'!$L$2:$L$1001,SUBSTITUTE(SUBSTITUTE(SUBSTITUTE(L477,"~","~~"),"*","~*"),"?","~?")))</x:f>
      </x:c>
      <x:c r="J477" s="13" t="str">
        <x:f>IF(OR(NOT(ISNUMBER(E477)),NOT(ISNUMBER(I477))),"",ROUND(E477-I477,2))</x:f>
      </x:c>
      <x:c r="K477" s="2" t="str">
        <x:f>IF(COUNTA(A477:F477)=0,"",IF(OR(A477="",B477="",C477="",D477="",NOT(ISNUMBER(E477))),"Missing / invalid input",IF(G477&gt;1,"Duplicate key in this source",IF(H477=0,"Missing in other source",IF(H477&gt;1,"Duplicate in other source",IF(SUMIFS('External Data'!$M$2:$M$1001,'External Data'!$L$2:$L$1001,SUBSTITUTE(SUBSTITUTE(SUBSTITUTE(L477,"~","~~"),"*","~*"),"?","~?"))&lt;&gt;1,"Other amount is invalid",IF(J477&lt;&gt;0,"Amount differs","Matched")))))))</x:f>
      </x:c>
      <x:c r="L477" t="str">
        <x:f>IF(COUNTA(A477:F477)=0,"",LEN(A477)&amp;":"&amp;A477&amp;LEN(B477)&amp;":"&amp;B477&amp;LEN(C477)&amp;":"&amp;C477&amp;LEN(D477)&amp;":"&amp;D477)</x:f>
      </x:c>
      <x:c r="M477" t="str">
        <x:f>IF(COUNTA(A477:F477)=0,"",IF(ISNUMBER(E477),1,0))</x:f>
      </x:c>
    </x:row>
    <x:row r="478">
      <x:c r="A478" s="11"/>
      <x:c r="B478" s="11"/>
      <x:c r="C478" s="11"/>
      <x:c r="D478" s="11"/>
      <x:c r="E478" s="12"/>
      <x:c r="F478" s="10"/>
      <x:c r="G478" s="2" t="str">
        <x:f>IF(COUNTA(A478:F478)=0,"",COUNTIFS('App Data'!$L$2:$L$1001,SUBSTITUTE(SUBSTITUTE(SUBSTITUTE(L478,"~","~~"),"*","~*"),"?","~?")))</x:f>
      </x:c>
      <x:c r="H478" s="2" t="str">
        <x:f>IF(COUNTA(A478:F478)=0,"",COUNTIFS('External Data'!$L$2:$L$1001,SUBSTITUTE(SUBSTITUTE(SUBSTITUTE(L478,"~","~~"),"*","~*"),"?","~?")))</x:f>
      </x:c>
      <x:c r="I478" s="13" t="str">
        <x:f>IF(OR(H478&lt;&gt;1,G478&lt;&gt;1),"",SUMIFS('External Data'!$E$2:$E$1001,'External Data'!$L$2:$L$1001,SUBSTITUTE(SUBSTITUTE(SUBSTITUTE(L478,"~","~~"),"*","~*"),"?","~?")))</x:f>
      </x:c>
      <x:c r="J478" s="13" t="str">
        <x:f>IF(OR(NOT(ISNUMBER(E478)),NOT(ISNUMBER(I478))),"",ROUND(E478-I478,2))</x:f>
      </x:c>
      <x:c r="K478" s="2" t="str">
        <x:f>IF(COUNTA(A478:F478)=0,"",IF(OR(A478="",B478="",C478="",D478="",NOT(ISNUMBER(E478))),"Missing / invalid input",IF(G478&gt;1,"Duplicate key in this source",IF(H478=0,"Missing in other source",IF(H478&gt;1,"Duplicate in other source",IF(SUMIFS('External Data'!$M$2:$M$1001,'External Data'!$L$2:$L$1001,SUBSTITUTE(SUBSTITUTE(SUBSTITUTE(L478,"~","~~"),"*","~*"),"?","~?"))&lt;&gt;1,"Other amount is invalid",IF(J478&lt;&gt;0,"Amount differs","Matched")))))))</x:f>
      </x:c>
      <x:c r="L478" t="str">
        <x:f>IF(COUNTA(A478:F478)=0,"",LEN(A478)&amp;":"&amp;A478&amp;LEN(B478)&amp;":"&amp;B478&amp;LEN(C478)&amp;":"&amp;C478&amp;LEN(D478)&amp;":"&amp;D478)</x:f>
      </x:c>
      <x:c r="M478" t="str">
        <x:f>IF(COUNTA(A478:F478)=0,"",IF(ISNUMBER(E478),1,0))</x:f>
      </x:c>
    </x:row>
    <x:row r="479">
      <x:c r="A479" s="11"/>
      <x:c r="B479" s="11"/>
      <x:c r="C479" s="11"/>
      <x:c r="D479" s="11"/>
      <x:c r="E479" s="12"/>
      <x:c r="F479" s="10"/>
      <x:c r="G479" s="2" t="str">
        <x:f>IF(COUNTA(A479:F479)=0,"",COUNTIFS('App Data'!$L$2:$L$1001,SUBSTITUTE(SUBSTITUTE(SUBSTITUTE(L479,"~","~~"),"*","~*"),"?","~?")))</x:f>
      </x:c>
      <x:c r="H479" s="2" t="str">
        <x:f>IF(COUNTA(A479:F479)=0,"",COUNTIFS('External Data'!$L$2:$L$1001,SUBSTITUTE(SUBSTITUTE(SUBSTITUTE(L479,"~","~~"),"*","~*"),"?","~?")))</x:f>
      </x:c>
      <x:c r="I479" s="13" t="str">
        <x:f>IF(OR(H479&lt;&gt;1,G479&lt;&gt;1),"",SUMIFS('External Data'!$E$2:$E$1001,'External Data'!$L$2:$L$1001,SUBSTITUTE(SUBSTITUTE(SUBSTITUTE(L479,"~","~~"),"*","~*"),"?","~?")))</x:f>
      </x:c>
      <x:c r="J479" s="13" t="str">
        <x:f>IF(OR(NOT(ISNUMBER(E479)),NOT(ISNUMBER(I479))),"",ROUND(E479-I479,2))</x:f>
      </x:c>
      <x:c r="K479" s="2" t="str">
        <x:f>IF(COUNTA(A479:F479)=0,"",IF(OR(A479="",B479="",C479="",D479="",NOT(ISNUMBER(E479))),"Missing / invalid input",IF(G479&gt;1,"Duplicate key in this source",IF(H479=0,"Missing in other source",IF(H479&gt;1,"Duplicate in other source",IF(SUMIFS('External Data'!$M$2:$M$1001,'External Data'!$L$2:$L$1001,SUBSTITUTE(SUBSTITUTE(SUBSTITUTE(L479,"~","~~"),"*","~*"),"?","~?"))&lt;&gt;1,"Other amount is invalid",IF(J479&lt;&gt;0,"Amount differs","Matched")))))))</x:f>
      </x:c>
      <x:c r="L479" t="str">
        <x:f>IF(COUNTA(A479:F479)=0,"",LEN(A479)&amp;":"&amp;A479&amp;LEN(B479)&amp;":"&amp;B479&amp;LEN(C479)&amp;":"&amp;C479&amp;LEN(D479)&amp;":"&amp;D479)</x:f>
      </x:c>
      <x:c r="M479" t="str">
        <x:f>IF(COUNTA(A479:F479)=0,"",IF(ISNUMBER(E479),1,0))</x:f>
      </x:c>
    </x:row>
    <x:row r="480">
      <x:c r="A480" s="11"/>
      <x:c r="B480" s="11"/>
      <x:c r="C480" s="11"/>
      <x:c r="D480" s="11"/>
      <x:c r="E480" s="12"/>
      <x:c r="F480" s="10"/>
      <x:c r="G480" s="2" t="str">
        <x:f>IF(COUNTA(A480:F480)=0,"",COUNTIFS('App Data'!$L$2:$L$1001,SUBSTITUTE(SUBSTITUTE(SUBSTITUTE(L480,"~","~~"),"*","~*"),"?","~?")))</x:f>
      </x:c>
      <x:c r="H480" s="2" t="str">
        <x:f>IF(COUNTA(A480:F480)=0,"",COUNTIFS('External Data'!$L$2:$L$1001,SUBSTITUTE(SUBSTITUTE(SUBSTITUTE(L480,"~","~~"),"*","~*"),"?","~?")))</x:f>
      </x:c>
      <x:c r="I480" s="13" t="str">
        <x:f>IF(OR(H480&lt;&gt;1,G480&lt;&gt;1),"",SUMIFS('External Data'!$E$2:$E$1001,'External Data'!$L$2:$L$1001,SUBSTITUTE(SUBSTITUTE(SUBSTITUTE(L480,"~","~~"),"*","~*"),"?","~?")))</x:f>
      </x:c>
      <x:c r="J480" s="13" t="str">
        <x:f>IF(OR(NOT(ISNUMBER(E480)),NOT(ISNUMBER(I480))),"",ROUND(E480-I480,2))</x:f>
      </x:c>
      <x:c r="K480" s="2" t="str">
        <x:f>IF(COUNTA(A480:F480)=0,"",IF(OR(A480="",B480="",C480="",D480="",NOT(ISNUMBER(E480))),"Missing / invalid input",IF(G480&gt;1,"Duplicate key in this source",IF(H480=0,"Missing in other source",IF(H480&gt;1,"Duplicate in other source",IF(SUMIFS('External Data'!$M$2:$M$1001,'External Data'!$L$2:$L$1001,SUBSTITUTE(SUBSTITUTE(SUBSTITUTE(L480,"~","~~"),"*","~*"),"?","~?"))&lt;&gt;1,"Other amount is invalid",IF(J480&lt;&gt;0,"Amount differs","Matched")))))))</x:f>
      </x:c>
      <x:c r="L480" t="str">
        <x:f>IF(COUNTA(A480:F480)=0,"",LEN(A480)&amp;":"&amp;A480&amp;LEN(B480)&amp;":"&amp;B480&amp;LEN(C480)&amp;":"&amp;C480&amp;LEN(D480)&amp;":"&amp;D480)</x:f>
      </x:c>
      <x:c r="M480" t="str">
        <x:f>IF(COUNTA(A480:F480)=0,"",IF(ISNUMBER(E480),1,0))</x:f>
      </x:c>
    </x:row>
    <x:row r="481">
      <x:c r="A481" s="11"/>
      <x:c r="B481" s="11"/>
      <x:c r="C481" s="11"/>
      <x:c r="D481" s="11"/>
      <x:c r="E481" s="12"/>
      <x:c r="F481" s="10"/>
      <x:c r="G481" s="2" t="str">
        <x:f>IF(COUNTA(A481:F481)=0,"",COUNTIFS('App Data'!$L$2:$L$1001,SUBSTITUTE(SUBSTITUTE(SUBSTITUTE(L481,"~","~~"),"*","~*"),"?","~?")))</x:f>
      </x:c>
      <x:c r="H481" s="2" t="str">
        <x:f>IF(COUNTA(A481:F481)=0,"",COUNTIFS('External Data'!$L$2:$L$1001,SUBSTITUTE(SUBSTITUTE(SUBSTITUTE(L481,"~","~~"),"*","~*"),"?","~?")))</x:f>
      </x:c>
      <x:c r="I481" s="13" t="str">
        <x:f>IF(OR(H481&lt;&gt;1,G481&lt;&gt;1),"",SUMIFS('External Data'!$E$2:$E$1001,'External Data'!$L$2:$L$1001,SUBSTITUTE(SUBSTITUTE(SUBSTITUTE(L481,"~","~~"),"*","~*"),"?","~?")))</x:f>
      </x:c>
      <x:c r="J481" s="13" t="str">
        <x:f>IF(OR(NOT(ISNUMBER(E481)),NOT(ISNUMBER(I481))),"",ROUND(E481-I481,2))</x:f>
      </x:c>
      <x:c r="K481" s="2" t="str">
        <x:f>IF(COUNTA(A481:F481)=0,"",IF(OR(A481="",B481="",C481="",D481="",NOT(ISNUMBER(E481))),"Missing / invalid input",IF(G481&gt;1,"Duplicate key in this source",IF(H481=0,"Missing in other source",IF(H481&gt;1,"Duplicate in other source",IF(SUMIFS('External Data'!$M$2:$M$1001,'External Data'!$L$2:$L$1001,SUBSTITUTE(SUBSTITUTE(SUBSTITUTE(L481,"~","~~"),"*","~*"),"?","~?"))&lt;&gt;1,"Other amount is invalid",IF(J481&lt;&gt;0,"Amount differs","Matched")))))))</x:f>
      </x:c>
      <x:c r="L481" t="str">
        <x:f>IF(COUNTA(A481:F481)=0,"",LEN(A481)&amp;":"&amp;A481&amp;LEN(B481)&amp;":"&amp;B481&amp;LEN(C481)&amp;":"&amp;C481&amp;LEN(D481)&amp;":"&amp;D481)</x:f>
      </x:c>
      <x:c r="M481" t="str">
        <x:f>IF(COUNTA(A481:F481)=0,"",IF(ISNUMBER(E481),1,0))</x:f>
      </x:c>
    </x:row>
    <x:row r="482">
      <x:c r="A482" s="11"/>
      <x:c r="B482" s="11"/>
      <x:c r="C482" s="11"/>
      <x:c r="D482" s="11"/>
      <x:c r="E482" s="12"/>
      <x:c r="F482" s="10"/>
      <x:c r="G482" s="2" t="str">
        <x:f>IF(COUNTA(A482:F482)=0,"",COUNTIFS('App Data'!$L$2:$L$1001,SUBSTITUTE(SUBSTITUTE(SUBSTITUTE(L482,"~","~~"),"*","~*"),"?","~?")))</x:f>
      </x:c>
      <x:c r="H482" s="2" t="str">
        <x:f>IF(COUNTA(A482:F482)=0,"",COUNTIFS('External Data'!$L$2:$L$1001,SUBSTITUTE(SUBSTITUTE(SUBSTITUTE(L482,"~","~~"),"*","~*"),"?","~?")))</x:f>
      </x:c>
      <x:c r="I482" s="13" t="str">
        <x:f>IF(OR(H482&lt;&gt;1,G482&lt;&gt;1),"",SUMIFS('External Data'!$E$2:$E$1001,'External Data'!$L$2:$L$1001,SUBSTITUTE(SUBSTITUTE(SUBSTITUTE(L482,"~","~~"),"*","~*"),"?","~?")))</x:f>
      </x:c>
      <x:c r="J482" s="13" t="str">
        <x:f>IF(OR(NOT(ISNUMBER(E482)),NOT(ISNUMBER(I482))),"",ROUND(E482-I482,2))</x:f>
      </x:c>
      <x:c r="K482" s="2" t="str">
        <x:f>IF(COUNTA(A482:F482)=0,"",IF(OR(A482="",B482="",C482="",D482="",NOT(ISNUMBER(E482))),"Missing / invalid input",IF(G482&gt;1,"Duplicate key in this source",IF(H482=0,"Missing in other source",IF(H482&gt;1,"Duplicate in other source",IF(SUMIFS('External Data'!$M$2:$M$1001,'External Data'!$L$2:$L$1001,SUBSTITUTE(SUBSTITUTE(SUBSTITUTE(L482,"~","~~"),"*","~*"),"?","~?"))&lt;&gt;1,"Other amount is invalid",IF(J482&lt;&gt;0,"Amount differs","Matched")))))))</x:f>
      </x:c>
      <x:c r="L482" t="str">
        <x:f>IF(COUNTA(A482:F482)=0,"",LEN(A482)&amp;":"&amp;A482&amp;LEN(B482)&amp;":"&amp;B482&amp;LEN(C482)&amp;":"&amp;C482&amp;LEN(D482)&amp;":"&amp;D482)</x:f>
      </x:c>
      <x:c r="M482" t="str">
        <x:f>IF(COUNTA(A482:F482)=0,"",IF(ISNUMBER(E482),1,0))</x:f>
      </x:c>
    </x:row>
    <x:row r="483">
      <x:c r="A483" s="11"/>
      <x:c r="B483" s="11"/>
      <x:c r="C483" s="11"/>
      <x:c r="D483" s="11"/>
      <x:c r="E483" s="12"/>
      <x:c r="F483" s="10"/>
      <x:c r="G483" s="2" t="str">
        <x:f>IF(COUNTA(A483:F483)=0,"",COUNTIFS('App Data'!$L$2:$L$1001,SUBSTITUTE(SUBSTITUTE(SUBSTITUTE(L483,"~","~~"),"*","~*"),"?","~?")))</x:f>
      </x:c>
      <x:c r="H483" s="2" t="str">
        <x:f>IF(COUNTA(A483:F483)=0,"",COUNTIFS('External Data'!$L$2:$L$1001,SUBSTITUTE(SUBSTITUTE(SUBSTITUTE(L483,"~","~~"),"*","~*"),"?","~?")))</x:f>
      </x:c>
      <x:c r="I483" s="13" t="str">
        <x:f>IF(OR(H483&lt;&gt;1,G483&lt;&gt;1),"",SUMIFS('External Data'!$E$2:$E$1001,'External Data'!$L$2:$L$1001,SUBSTITUTE(SUBSTITUTE(SUBSTITUTE(L483,"~","~~"),"*","~*"),"?","~?")))</x:f>
      </x:c>
      <x:c r="J483" s="13" t="str">
        <x:f>IF(OR(NOT(ISNUMBER(E483)),NOT(ISNUMBER(I483))),"",ROUND(E483-I483,2))</x:f>
      </x:c>
      <x:c r="K483" s="2" t="str">
        <x:f>IF(COUNTA(A483:F483)=0,"",IF(OR(A483="",B483="",C483="",D483="",NOT(ISNUMBER(E483))),"Missing / invalid input",IF(G483&gt;1,"Duplicate key in this source",IF(H483=0,"Missing in other source",IF(H483&gt;1,"Duplicate in other source",IF(SUMIFS('External Data'!$M$2:$M$1001,'External Data'!$L$2:$L$1001,SUBSTITUTE(SUBSTITUTE(SUBSTITUTE(L483,"~","~~"),"*","~*"),"?","~?"))&lt;&gt;1,"Other amount is invalid",IF(J483&lt;&gt;0,"Amount differs","Matched")))))))</x:f>
      </x:c>
      <x:c r="L483" t="str">
        <x:f>IF(COUNTA(A483:F483)=0,"",LEN(A483)&amp;":"&amp;A483&amp;LEN(B483)&amp;":"&amp;B483&amp;LEN(C483)&amp;":"&amp;C483&amp;LEN(D483)&amp;":"&amp;D483)</x:f>
      </x:c>
      <x:c r="M483" t="str">
        <x:f>IF(COUNTA(A483:F483)=0,"",IF(ISNUMBER(E483),1,0))</x:f>
      </x:c>
    </x:row>
    <x:row r="484">
      <x:c r="A484" s="11"/>
      <x:c r="B484" s="11"/>
      <x:c r="C484" s="11"/>
      <x:c r="D484" s="11"/>
      <x:c r="E484" s="12"/>
      <x:c r="F484" s="10"/>
      <x:c r="G484" s="2" t="str">
        <x:f>IF(COUNTA(A484:F484)=0,"",COUNTIFS('App Data'!$L$2:$L$1001,SUBSTITUTE(SUBSTITUTE(SUBSTITUTE(L484,"~","~~"),"*","~*"),"?","~?")))</x:f>
      </x:c>
      <x:c r="H484" s="2" t="str">
        <x:f>IF(COUNTA(A484:F484)=0,"",COUNTIFS('External Data'!$L$2:$L$1001,SUBSTITUTE(SUBSTITUTE(SUBSTITUTE(L484,"~","~~"),"*","~*"),"?","~?")))</x:f>
      </x:c>
      <x:c r="I484" s="13" t="str">
        <x:f>IF(OR(H484&lt;&gt;1,G484&lt;&gt;1),"",SUMIFS('External Data'!$E$2:$E$1001,'External Data'!$L$2:$L$1001,SUBSTITUTE(SUBSTITUTE(SUBSTITUTE(L484,"~","~~"),"*","~*"),"?","~?")))</x:f>
      </x:c>
      <x:c r="J484" s="13" t="str">
        <x:f>IF(OR(NOT(ISNUMBER(E484)),NOT(ISNUMBER(I484))),"",ROUND(E484-I484,2))</x:f>
      </x:c>
      <x:c r="K484" s="2" t="str">
        <x:f>IF(COUNTA(A484:F484)=0,"",IF(OR(A484="",B484="",C484="",D484="",NOT(ISNUMBER(E484))),"Missing / invalid input",IF(G484&gt;1,"Duplicate key in this source",IF(H484=0,"Missing in other source",IF(H484&gt;1,"Duplicate in other source",IF(SUMIFS('External Data'!$M$2:$M$1001,'External Data'!$L$2:$L$1001,SUBSTITUTE(SUBSTITUTE(SUBSTITUTE(L484,"~","~~"),"*","~*"),"?","~?"))&lt;&gt;1,"Other amount is invalid",IF(J484&lt;&gt;0,"Amount differs","Matched")))))))</x:f>
      </x:c>
      <x:c r="L484" t="str">
        <x:f>IF(COUNTA(A484:F484)=0,"",LEN(A484)&amp;":"&amp;A484&amp;LEN(B484)&amp;":"&amp;B484&amp;LEN(C484)&amp;":"&amp;C484&amp;LEN(D484)&amp;":"&amp;D484)</x:f>
      </x:c>
      <x:c r="M484" t="str">
        <x:f>IF(COUNTA(A484:F484)=0,"",IF(ISNUMBER(E484),1,0))</x:f>
      </x:c>
    </x:row>
    <x:row r="485">
      <x:c r="A485" s="11"/>
      <x:c r="B485" s="11"/>
      <x:c r="C485" s="11"/>
      <x:c r="D485" s="11"/>
      <x:c r="E485" s="12"/>
      <x:c r="F485" s="10"/>
      <x:c r="G485" s="2" t="str">
        <x:f>IF(COUNTA(A485:F485)=0,"",COUNTIFS('App Data'!$L$2:$L$1001,SUBSTITUTE(SUBSTITUTE(SUBSTITUTE(L485,"~","~~"),"*","~*"),"?","~?")))</x:f>
      </x:c>
      <x:c r="H485" s="2" t="str">
        <x:f>IF(COUNTA(A485:F485)=0,"",COUNTIFS('External Data'!$L$2:$L$1001,SUBSTITUTE(SUBSTITUTE(SUBSTITUTE(L485,"~","~~"),"*","~*"),"?","~?")))</x:f>
      </x:c>
      <x:c r="I485" s="13" t="str">
        <x:f>IF(OR(H485&lt;&gt;1,G485&lt;&gt;1),"",SUMIFS('External Data'!$E$2:$E$1001,'External Data'!$L$2:$L$1001,SUBSTITUTE(SUBSTITUTE(SUBSTITUTE(L485,"~","~~"),"*","~*"),"?","~?")))</x:f>
      </x:c>
      <x:c r="J485" s="13" t="str">
        <x:f>IF(OR(NOT(ISNUMBER(E485)),NOT(ISNUMBER(I485))),"",ROUND(E485-I485,2))</x:f>
      </x:c>
      <x:c r="K485" s="2" t="str">
        <x:f>IF(COUNTA(A485:F485)=0,"",IF(OR(A485="",B485="",C485="",D485="",NOT(ISNUMBER(E485))),"Missing / invalid input",IF(G485&gt;1,"Duplicate key in this source",IF(H485=0,"Missing in other source",IF(H485&gt;1,"Duplicate in other source",IF(SUMIFS('External Data'!$M$2:$M$1001,'External Data'!$L$2:$L$1001,SUBSTITUTE(SUBSTITUTE(SUBSTITUTE(L485,"~","~~"),"*","~*"),"?","~?"))&lt;&gt;1,"Other amount is invalid",IF(J485&lt;&gt;0,"Amount differs","Matched")))))))</x:f>
      </x:c>
      <x:c r="L485" t="str">
        <x:f>IF(COUNTA(A485:F485)=0,"",LEN(A485)&amp;":"&amp;A485&amp;LEN(B485)&amp;":"&amp;B485&amp;LEN(C485)&amp;":"&amp;C485&amp;LEN(D485)&amp;":"&amp;D485)</x:f>
      </x:c>
      <x:c r="M485" t="str">
        <x:f>IF(COUNTA(A485:F485)=0,"",IF(ISNUMBER(E485),1,0))</x:f>
      </x:c>
    </x:row>
    <x:row r="486">
      <x:c r="A486" s="11"/>
      <x:c r="B486" s="11"/>
      <x:c r="C486" s="11"/>
      <x:c r="D486" s="11"/>
      <x:c r="E486" s="12"/>
      <x:c r="F486" s="10"/>
      <x:c r="G486" s="2" t="str">
        <x:f>IF(COUNTA(A486:F486)=0,"",COUNTIFS('App Data'!$L$2:$L$1001,SUBSTITUTE(SUBSTITUTE(SUBSTITUTE(L486,"~","~~"),"*","~*"),"?","~?")))</x:f>
      </x:c>
      <x:c r="H486" s="2" t="str">
        <x:f>IF(COUNTA(A486:F486)=0,"",COUNTIFS('External Data'!$L$2:$L$1001,SUBSTITUTE(SUBSTITUTE(SUBSTITUTE(L486,"~","~~"),"*","~*"),"?","~?")))</x:f>
      </x:c>
      <x:c r="I486" s="13" t="str">
        <x:f>IF(OR(H486&lt;&gt;1,G486&lt;&gt;1),"",SUMIFS('External Data'!$E$2:$E$1001,'External Data'!$L$2:$L$1001,SUBSTITUTE(SUBSTITUTE(SUBSTITUTE(L486,"~","~~"),"*","~*"),"?","~?")))</x:f>
      </x:c>
      <x:c r="J486" s="13" t="str">
        <x:f>IF(OR(NOT(ISNUMBER(E486)),NOT(ISNUMBER(I486))),"",ROUND(E486-I486,2))</x:f>
      </x:c>
      <x:c r="K486" s="2" t="str">
        <x:f>IF(COUNTA(A486:F486)=0,"",IF(OR(A486="",B486="",C486="",D486="",NOT(ISNUMBER(E486))),"Missing / invalid input",IF(G486&gt;1,"Duplicate key in this source",IF(H486=0,"Missing in other source",IF(H486&gt;1,"Duplicate in other source",IF(SUMIFS('External Data'!$M$2:$M$1001,'External Data'!$L$2:$L$1001,SUBSTITUTE(SUBSTITUTE(SUBSTITUTE(L486,"~","~~"),"*","~*"),"?","~?"))&lt;&gt;1,"Other amount is invalid",IF(J486&lt;&gt;0,"Amount differs","Matched")))))))</x:f>
      </x:c>
      <x:c r="L486" t="str">
        <x:f>IF(COUNTA(A486:F486)=0,"",LEN(A486)&amp;":"&amp;A486&amp;LEN(B486)&amp;":"&amp;B486&amp;LEN(C486)&amp;":"&amp;C486&amp;LEN(D486)&amp;":"&amp;D486)</x:f>
      </x:c>
      <x:c r="M486" t="str">
        <x:f>IF(COUNTA(A486:F486)=0,"",IF(ISNUMBER(E486),1,0))</x:f>
      </x:c>
    </x:row>
    <x:row r="487">
      <x:c r="A487" s="11"/>
      <x:c r="B487" s="11"/>
      <x:c r="C487" s="11"/>
      <x:c r="D487" s="11"/>
      <x:c r="E487" s="12"/>
      <x:c r="F487" s="10"/>
      <x:c r="G487" s="2" t="str">
        <x:f>IF(COUNTA(A487:F487)=0,"",COUNTIFS('App Data'!$L$2:$L$1001,SUBSTITUTE(SUBSTITUTE(SUBSTITUTE(L487,"~","~~"),"*","~*"),"?","~?")))</x:f>
      </x:c>
      <x:c r="H487" s="2" t="str">
        <x:f>IF(COUNTA(A487:F487)=0,"",COUNTIFS('External Data'!$L$2:$L$1001,SUBSTITUTE(SUBSTITUTE(SUBSTITUTE(L487,"~","~~"),"*","~*"),"?","~?")))</x:f>
      </x:c>
      <x:c r="I487" s="13" t="str">
        <x:f>IF(OR(H487&lt;&gt;1,G487&lt;&gt;1),"",SUMIFS('External Data'!$E$2:$E$1001,'External Data'!$L$2:$L$1001,SUBSTITUTE(SUBSTITUTE(SUBSTITUTE(L487,"~","~~"),"*","~*"),"?","~?")))</x:f>
      </x:c>
      <x:c r="J487" s="13" t="str">
        <x:f>IF(OR(NOT(ISNUMBER(E487)),NOT(ISNUMBER(I487))),"",ROUND(E487-I487,2))</x:f>
      </x:c>
      <x:c r="K487" s="2" t="str">
        <x:f>IF(COUNTA(A487:F487)=0,"",IF(OR(A487="",B487="",C487="",D487="",NOT(ISNUMBER(E487))),"Missing / invalid input",IF(G487&gt;1,"Duplicate key in this source",IF(H487=0,"Missing in other source",IF(H487&gt;1,"Duplicate in other source",IF(SUMIFS('External Data'!$M$2:$M$1001,'External Data'!$L$2:$L$1001,SUBSTITUTE(SUBSTITUTE(SUBSTITUTE(L487,"~","~~"),"*","~*"),"?","~?"))&lt;&gt;1,"Other amount is invalid",IF(J487&lt;&gt;0,"Amount differs","Matched")))))))</x:f>
      </x:c>
      <x:c r="L487" t="str">
        <x:f>IF(COUNTA(A487:F487)=0,"",LEN(A487)&amp;":"&amp;A487&amp;LEN(B487)&amp;":"&amp;B487&amp;LEN(C487)&amp;":"&amp;C487&amp;LEN(D487)&amp;":"&amp;D487)</x:f>
      </x:c>
      <x:c r="M487" t="str">
        <x:f>IF(COUNTA(A487:F487)=0,"",IF(ISNUMBER(E487),1,0))</x:f>
      </x:c>
    </x:row>
    <x:row r="488">
      <x:c r="A488" s="11"/>
      <x:c r="B488" s="11"/>
      <x:c r="C488" s="11"/>
      <x:c r="D488" s="11"/>
      <x:c r="E488" s="12"/>
      <x:c r="F488" s="10"/>
      <x:c r="G488" s="2" t="str">
        <x:f>IF(COUNTA(A488:F488)=0,"",COUNTIFS('App Data'!$L$2:$L$1001,SUBSTITUTE(SUBSTITUTE(SUBSTITUTE(L488,"~","~~"),"*","~*"),"?","~?")))</x:f>
      </x:c>
      <x:c r="H488" s="2" t="str">
        <x:f>IF(COUNTA(A488:F488)=0,"",COUNTIFS('External Data'!$L$2:$L$1001,SUBSTITUTE(SUBSTITUTE(SUBSTITUTE(L488,"~","~~"),"*","~*"),"?","~?")))</x:f>
      </x:c>
      <x:c r="I488" s="13" t="str">
        <x:f>IF(OR(H488&lt;&gt;1,G488&lt;&gt;1),"",SUMIFS('External Data'!$E$2:$E$1001,'External Data'!$L$2:$L$1001,SUBSTITUTE(SUBSTITUTE(SUBSTITUTE(L488,"~","~~"),"*","~*"),"?","~?")))</x:f>
      </x:c>
      <x:c r="J488" s="13" t="str">
        <x:f>IF(OR(NOT(ISNUMBER(E488)),NOT(ISNUMBER(I488))),"",ROUND(E488-I488,2))</x:f>
      </x:c>
      <x:c r="K488" s="2" t="str">
        <x:f>IF(COUNTA(A488:F488)=0,"",IF(OR(A488="",B488="",C488="",D488="",NOT(ISNUMBER(E488))),"Missing / invalid input",IF(G488&gt;1,"Duplicate key in this source",IF(H488=0,"Missing in other source",IF(H488&gt;1,"Duplicate in other source",IF(SUMIFS('External Data'!$M$2:$M$1001,'External Data'!$L$2:$L$1001,SUBSTITUTE(SUBSTITUTE(SUBSTITUTE(L488,"~","~~"),"*","~*"),"?","~?"))&lt;&gt;1,"Other amount is invalid",IF(J488&lt;&gt;0,"Amount differs","Matched")))))))</x:f>
      </x:c>
      <x:c r="L488" t="str">
        <x:f>IF(COUNTA(A488:F488)=0,"",LEN(A488)&amp;":"&amp;A488&amp;LEN(B488)&amp;":"&amp;B488&amp;LEN(C488)&amp;":"&amp;C488&amp;LEN(D488)&amp;":"&amp;D488)</x:f>
      </x:c>
      <x:c r="M488" t="str">
        <x:f>IF(COUNTA(A488:F488)=0,"",IF(ISNUMBER(E488),1,0))</x:f>
      </x:c>
    </x:row>
    <x:row r="489">
      <x:c r="A489" s="11"/>
      <x:c r="B489" s="11"/>
      <x:c r="C489" s="11"/>
      <x:c r="D489" s="11"/>
      <x:c r="E489" s="12"/>
      <x:c r="F489" s="10"/>
      <x:c r="G489" s="2" t="str">
        <x:f>IF(COUNTA(A489:F489)=0,"",COUNTIFS('App Data'!$L$2:$L$1001,SUBSTITUTE(SUBSTITUTE(SUBSTITUTE(L489,"~","~~"),"*","~*"),"?","~?")))</x:f>
      </x:c>
      <x:c r="H489" s="2" t="str">
        <x:f>IF(COUNTA(A489:F489)=0,"",COUNTIFS('External Data'!$L$2:$L$1001,SUBSTITUTE(SUBSTITUTE(SUBSTITUTE(L489,"~","~~"),"*","~*"),"?","~?")))</x:f>
      </x:c>
      <x:c r="I489" s="13" t="str">
        <x:f>IF(OR(H489&lt;&gt;1,G489&lt;&gt;1),"",SUMIFS('External Data'!$E$2:$E$1001,'External Data'!$L$2:$L$1001,SUBSTITUTE(SUBSTITUTE(SUBSTITUTE(L489,"~","~~"),"*","~*"),"?","~?")))</x:f>
      </x:c>
      <x:c r="J489" s="13" t="str">
        <x:f>IF(OR(NOT(ISNUMBER(E489)),NOT(ISNUMBER(I489))),"",ROUND(E489-I489,2))</x:f>
      </x:c>
      <x:c r="K489" s="2" t="str">
        <x:f>IF(COUNTA(A489:F489)=0,"",IF(OR(A489="",B489="",C489="",D489="",NOT(ISNUMBER(E489))),"Missing / invalid input",IF(G489&gt;1,"Duplicate key in this source",IF(H489=0,"Missing in other source",IF(H489&gt;1,"Duplicate in other source",IF(SUMIFS('External Data'!$M$2:$M$1001,'External Data'!$L$2:$L$1001,SUBSTITUTE(SUBSTITUTE(SUBSTITUTE(L489,"~","~~"),"*","~*"),"?","~?"))&lt;&gt;1,"Other amount is invalid",IF(J489&lt;&gt;0,"Amount differs","Matched")))))))</x:f>
      </x:c>
      <x:c r="L489" t="str">
        <x:f>IF(COUNTA(A489:F489)=0,"",LEN(A489)&amp;":"&amp;A489&amp;LEN(B489)&amp;":"&amp;B489&amp;LEN(C489)&amp;":"&amp;C489&amp;LEN(D489)&amp;":"&amp;D489)</x:f>
      </x:c>
      <x:c r="M489" t="str">
        <x:f>IF(COUNTA(A489:F489)=0,"",IF(ISNUMBER(E489),1,0))</x:f>
      </x:c>
    </x:row>
    <x:row r="490">
      <x:c r="A490" s="11"/>
      <x:c r="B490" s="11"/>
      <x:c r="C490" s="11"/>
      <x:c r="D490" s="11"/>
      <x:c r="E490" s="12"/>
      <x:c r="F490" s="10"/>
      <x:c r="G490" s="2" t="str">
        <x:f>IF(COUNTA(A490:F490)=0,"",COUNTIFS('App Data'!$L$2:$L$1001,SUBSTITUTE(SUBSTITUTE(SUBSTITUTE(L490,"~","~~"),"*","~*"),"?","~?")))</x:f>
      </x:c>
      <x:c r="H490" s="2" t="str">
        <x:f>IF(COUNTA(A490:F490)=0,"",COUNTIFS('External Data'!$L$2:$L$1001,SUBSTITUTE(SUBSTITUTE(SUBSTITUTE(L490,"~","~~"),"*","~*"),"?","~?")))</x:f>
      </x:c>
      <x:c r="I490" s="13" t="str">
        <x:f>IF(OR(H490&lt;&gt;1,G490&lt;&gt;1),"",SUMIFS('External Data'!$E$2:$E$1001,'External Data'!$L$2:$L$1001,SUBSTITUTE(SUBSTITUTE(SUBSTITUTE(L490,"~","~~"),"*","~*"),"?","~?")))</x:f>
      </x:c>
      <x:c r="J490" s="13" t="str">
        <x:f>IF(OR(NOT(ISNUMBER(E490)),NOT(ISNUMBER(I490))),"",ROUND(E490-I490,2))</x:f>
      </x:c>
      <x:c r="K490" s="2" t="str">
        <x:f>IF(COUNTA(A490:F490)=0,"",IF(OR(A490="",B490="",C490="",D490="",NOT(ISNUMBER(E490))),"Missing / invalid input",IF(G490&gt;1,"Duplicate key in this source",IF(H490=0,"Missing in other source",IF(H490&gt;1,"Duplicate in other source",IF(SUMIFS('External Data'!$M$2:$M$1001,'External Data'!$L$2:$L$1001,SUBSTITUTE(SUBSTITUTE(SUBSTITUTE(L490,"~","~~"),"*","~*"),"?","~?"))&lt;&gt;1,"Other amount is invalid",IF(J490&lt;&gt;0,"Amount differs","Matched")))))))</x:f>
      </x:c>
      <x:c r="L490" t="str">
        <x:f>IF(COUNTA(A490:F490)=0,"",LEN(A490)&amp;":"&amp;A490&amp;LEN(B490)&amp;":"&amp;B490&amp;LEN(C490)&amp;":"&amp;C490&amp;LEN(D490)&amp;":"&amp;D490)</x:f>
      </x:c>
      <x:c r="M490" t="str">
        <x:f>IF(COUNTA(A490:F490)=0,"",IF(ISNUMBER(E490),1,0))</x:f>
      </x:c>
    </x:row>
    <x:row r="491">
      <x:c r="A491" s="11"/>
      <x:c r="B491" s="11"/>
      <x:c r="C491" s="11"/>
      <x:c r="D491" s="11"/>
      <x:c r="E491" s="12"/>
      <x:c r="F491" s="10"/>
      <x:c r="G491" s="2" t="str">
        <x:f>IF(COUNTA(A491:F491)=0,"",COUNTIFS('App Data'!$L$2:$L$1001,SUBSTITUTE(SUBSTITUTE(SUBSTITUTE(L491,"~","~~"),"*","~*"),"?","~?")))</x:f>
      </x:c>
      <x:c r="H491" s="2" t="str">
        <x:f>IF(COUNTA(A491:F491)=0,"",COUNTIFS('External Data'!$L$2:$L$1001,SUBSTITUTE(SUBSTITUTE(SUBSTITUTE(L491,"~","~~"),"*","~*"),"?","~?")))</x:f>
      </x:c>
      <x:c r="I491" s="13" t="str">
        <x:f>IF(OR(H491&lt;&gt;1,G491&lt;&gt;1),"",SUMIFS('External Data'!$E$2:$E$1001,'External Data'!$L$2:$L$1001,SUBSTITUTE(SUBSTITUTE(SUBSTITUTE(L491,"~","~~"),"*","~*"),"?","~?")))</x:f>
      </x:c>
      <x:c r="J491" s="13" t="str">
        <x:f>IF(OR(NOT(ISNUMBER(E491)),NOT(ISNUMBER(I491))),"",ROUND(E491-I491,2))</x:f>
      </x:c>
      <x:c r="K491" s="2" t="str">
        <x:f>IF(COUNTA(A491:F491)=0,"",IF(OR(A491="",B491="",C491="",D491="",NOT(ISNUMBER(E491))),"Missing / invalid input",IF(G491&gt;1,"Duplicate key in this source",IF(H491=0,"Missing in other source",IF(H491&gt;1,"Duplicate in other source",IF(SUMIFS('External Data'!$M$2:$M$1001,'External Data'!$L$2:$L$1001,SUBSTITUTE(SUBSTITUTE(SUBSTITUTE(L491,"~","~~"),"*","~*"),"?","~?"))&lt;&gt;1,"Other amount is invalid",IF(J491&lt;&gt;0,"Amount differs","Matched")))))))</x:f>
      </x:c>
      <x:c r="L491" t="str">
        <x:f>IF(COUNTA(A491:F491)=0,"",LEN(A491)&amp;":"&amp;A491&amp;LEN(B491)&amp;":"&amp;B491&amp;LEN(C491)&amp;":"&amp;C491&amp;LEN(D491)&amp;":"&amp;D491)</x:f>
      </x:c>
      <x:c r="M491" t="str">
        <x:f>IF(COUNTA(A491:F491)=0,"",IF(ISNUMBER(E491),1,0))</x:f>
      </x:c>
    </x:row>
    <x:row r="492">
      <x:c r="A492" s="11"/>
      <x:c r="B492" s="11"/>
      <x:c r="C492" s="11"/>
      <x:c r="D492" s="11"/>
      <x:c r="E492" s="12"/>
      <x:c r="F492" s="10"/>
      <x:c r="G492" s="2" t="str">
        <x:f>IF(COUNTA(A492:F492)=0,"",COUNTIFS('App Data'!$L$2:$L$1001,SUBSTITUTE(SUBSTITUTE(SUBSTITUTE(L492,"~","~~"),"*","~*"),"?","~?")))</x:f>
      </x:c>
      <x:c r="H492" s="2" t="str">
        <x:f>IF(COUNTA(A492:F492)=0,"",COUNTIFS('External Data'!$L$2:$L$1001,SUBSTITUTE(SUBSTITUTE(SUBSTITUTE(L492,"~","~~"),"*","~*"),"?","~?")))</x:f>
      </x:c>
      <x:c r="I492" s="13" t="str">
        <x:f>IF(OR(H492&lt;&gt;1,G492&lt;&gt;1),"",SUMIFS('External Data'!$E$2:$E$1001,'External Data'!$L$2:$L$1001,SUBSTITUTE(SUBSTITUTE(SUBSTITUTE(L492,"~","~~"),"*","~*"),"?","~?")))</x:f>
      </x:c>
      <x:c r="J492" s="13" t="str">
        <x:f>IF(OR(NOT(ISNUMBER(E492)),NOT(ISNUMBER(I492))),"",ROUND(E492-I492,2))</x:f>
      </x:c>
      <x:c r="K492" s="2" t="str">
        <x:f>IF(COUNTA(A492:F492)=0,"",IF(OR(A492="",B492="",C492="",D492="",NOT(ISNUMBER(E492))),"Missing / invalid input",IF(G492&gt;1,"Duplicate key in this source",IF(H492=0,"Missing in other source",IF(H492&gt;1,"Duplicate in other source",IF(SUMIFS('External Data'!$M$2:$M$1001,'External Data'!$L$2:$L$1001,SUBSTITUTE(SUBSTITUTE(SUBSTITUTE(L492,"~","~~"),"*","~*"),"?","~?"))&lt;&gt;1,"Other amount is invalid",IF(J492&lt;&gt;0,"Amount differs","Matched")))))))</x:f>
      </x:c>
      <x:c r="L492" t="str">
        <x:f>IF(COUNTA(A492:F492)=0,"",LEN(A492)&amp;":"&amp;A492&amp;LEN(B492)&amp;":"&amp;B492&amp;LEN(C492)&amp;":"&amp;C492&amp;LEN(D492)&amp;":"&amp;D492)</x:f>
      </x:c>
      <x:c r="M492" t="str">
        <x:f>IF(COUNTA(A492:F492)=0,"",IF(ISNUMBER(E492),1,0))</x:f>
      </x:c>
    </x:row>
    <x:row r="493">
      <x:c r="A493" s="11"/>
      <x:c r="B493" s="11"/>
      <x:c r="C493" s="11"/>
      <x:c r="D493" s="11"/>
      <x:c r="E493" s="12"/>
      <x:c r="F493" s="10"/>
      <x:c r="G493" s="2" t="str">
        <x:f>IF(COUNTA(A493:F493)=0,"",COUNTIFS('App Data'!$L$2:$L$1001,SUBSTITUTE(SUBSTITUTE(SUBSTITUTE(L493,"~","~~"),"*","~*"),"?","~?")))</x:f>
      </x:c>
      <x:c r="H493" s="2" t="str">
        <x:f>IF(COUNTA(A493:F493)=0,"",COUNTIFS('External Data'!$L$2:$L$1001,SUBSTITUTE(SUBSTITUTE(SUBSTITUTE(L493,"~","~~"),"*","~*"),"?","~?")))</x:f>
      </x:c>
      <x:c r="I493" s="13" t="str">
        <x:f>IF(OR(H493&lt;&gt;1,G493&lt;&gt;1),"",SUMIFS('External Data'!$E$2:$E$1001,'External Data'!$L$2:$L$1001,SUBSTITUTE(SUBSTITUTE(SUBSTITUTE(L493,"~","~~"),"*","~*"),"?","~?")))</x:f>
      </x:c>
      <x:c r="J493" s="13" t="str">
        <x:f>IF(OR(NOT(ISNUMBER(E493)),NOT(ISNUMBER(I493))),"",ROUND(E493-I493,2))</x:f>
      </x:c>
      <x:c r="K493" s="2" t="str">
        <x:f>IF(COUNTA(A493:F493)=0,"",IF(OR(A493="",B493="",C493="",D493="",NOT(ISNUMBER(E493))),"Missing / invalid input",IF(G493&gt;1,"Duplicate key in this source",IF(H493=0,"Missing in other source",IF(H493&gt;1,"Duplicate in other source",IF(SUMIFS('External Data'!$M$2:$M$1001,'External Data'!$L$2:$L$1001,SUBSTITUTE(SUBSTITUTE(SUBSTITUTE(L493,"~","~~"),"*","~*"),"?","~?"))&lt;&gt;1,"Other amount is invalid",IF(J493&lt;&gt;0,"Amount differs","Matched")))))))</x:f>
      </x:c>
      <x:c r="L493" t="str">
        <x:f>IF(COUNTA(A493:F493)=0,"",LEN(A493)&amp;":"&amp;A493&amp;LEN(B493)&amp;":"&amp;B493&amp;LEN(C493)&amp;":"&amp;C493&amp;LEN(D493)&amp;":"&amp;D493)</x:f>
      </x:c>
      <x:c r="M493" t="str">
        <x:f>IF(COUNTA(A493:F493)=0,"",IF(ISNUMBER(E493),1,0))</x:f>
      </x:c>
    </x:row>
    <x:row r="494">
      <x:c r="A494" s="11"/>
      <x:c r="B494" s="11"/>
      <x:c r="C494" s="11"/>
      <x:c r="D494" s="11"/>
      <x:c r="E494" s="12"/>
      <x:c r="F494" s="10"/>
      <x:c r="G494" s="2" t="str">
        <x:f>IF(COUNTA(A494:F494)=0,"",COUNTIFS('App Data'!$L$2:$L$1001,SUBSTITUTE(SUBSTITUTE(SUBSTITUTE(L494,"~","~~"),"*","~*"),"?","~?")))</x:f>
      </x:c>
      <x:c r="H494" s="2" t="str">
        <x:f>IF(COUNTA(A494:F494)=0,"",COUNTIFS('External Data'!$L$2:$L$1001,SUBSTITUTE(SUBSTITUTE(SUBSTITUTE(L494,"~","~~"),"*","~*"),"?","~?")))</x:f>
      </x:c>
      <x:c r="I494" s="13" t="str">
        <x:f>IF(OR(H494&lt;&gt;1,G494&lt;&gt;1),"",SUMIFS('External Data'!$E$2:$E$1001,'External Data'!$L$2:$L$1001,SUBSTITUTE(SUBSTITUTE(SUBSTITUTE(L494,"~","~~"),"*","~*"),"?","~?")))</x:f>
      </x:c>
      <x:c r="J494" s="13" t="str">
        <x:f>IF(OR(NOT(ISNUMBER(E494)),NOT(ISNUMBER(I494))),"",ROUND(E494-I494,2))</x:f>
      </x:c>
      <x:c r="K494" s="2" t="str">
        <x:f>IF(COUNTA(A494:F494)=0,"",IF(OR(A494="",B494="",C494="",D494="",NOT(ISNUMBER(E494))),"Missing / invalid input",IF(G494&gt;1,"Duplicate key in this source",IF(H494=0,"Missing in other source",IF(H494&gt;1,"Duplicate in other source",IF(SUMIFS('External Data'!$M$2:$M$1001,'External Data'!$L$2:$L$1001,SUBSTITUTE(SUBSTITUTE(SUBSTITUTE(L494,"~","~~"),"*","~*"),"?","~?"))&lt;&gt;1,"Other amount is invalid",IF(J494&lt;&gt;0,"Amount differs","Matched")))))))</x:f>
      </x:c>
      <x:c r="L494" t="str">
        <x:f>IF(COUNTA(A494:F494)=0,"",LEN(A494)&amp;":"&amp;A494&amp;LEN(B494)&amp;":"&amp;B494&amp;LEN(C494)&amp;":"&amp;C494&amp;LEN(D494)&amp;":"&amp;D494)</x:f>
      </x:c>
      <x:c r="M494" t="str">
        <x:f>IF(COUNTA(A494:F494)=0,"",IF(ISNUMBER(E494),1,0))</x:f>
      </x:c>
    </x:row>
    <x:row r="495">
      <x:c r="A495" s="11"/>
      <x:c r="B495" s="11"/>
      <x:c r="C495" s="11"/>
      <x:c r="D495" s="11"/>
      <x:c r="E495" s="12"/>
      <x:c r="F495" s="10"/>
      <x:c r="G495" s="2" t="str">
        <x:f>IF(COUNTA(A495:F495)=0,"",COUNTIFS('App Data'!$L$2:$L$1001,SUBSTITUTE(SUBSTITUTE(SUBSTITUTE(L495,"~","~~"),"*","~*"),"?","~?")))</x:f>
      </x:c>
      <x:c r="H495" s="2" t="str">
        <x:f>IF(COUNTA(A495:F495)=0,"",COUNTIFS('External Data'!$L$2:$L$1001,SUBSTITUTE(SUBSTITUTE(SUBSTITUTE(L495,"~","~~"),"*","~*"),"?","~?")))</x:f>
      </x:c>
      <x:c r="I495" s="13" t="str">
        <x:f>IF(OR(H495&lt;&gt;1,G495&lt;&gt;1),"",SUMIFS('External Data'!$E$2:$E$1001,'External Data'!$L$2:$L$1001,SUBSTITUTE(SUBSTITUTE(SUBSTITUTE(L495,"~","~~"),"*","~*"),"?","~?")))</x:f>
      </x:c>
      <x:c r="J495" s="13" t="str">
        <x:f>IF(OR(NOT(ISNUMBER(E495)),NOT(ISNUMBER(I495))),"",ROUND(E495-I495,2))</x:f>
      </x:c>
      <x:c r="K495" s="2" t="str">
        <x:f>IF(COUNTA(A495:F495)=0,"",IF(OR(A495="",B495="",C495="",D495="",NOT(ISNUMBER(E495))),"Missing / invalid input",IF(G495&gt;1,"Duplicate key in this source",IF(H495=0,"Missing in other source",IF(H495&gt;1,"Duplicate in other source",IF(SUMIFS('External Data'!$M$2:$M$1001,'External Data'!$L$2:$L$1001,SUBSTITUTE(SUBSTITUTE(SUBSTITUTE(L495,"~","~~"),"*","~*"),"?","~?"))&lt;&gt;1,"Other amount is invalid",IF(J495&lt;&gt;0,"Amount differs","Matched")))))))</x:f>
      </x:c>
      <x:c r="L495" t="str">
        <x:f>IF(COUNTA(A495:F495)=0,"",LEN(A495)&amp;":"&amp;A495&amp;LEN(B495)&amp;":"&amp;B495&amp;LEN(C495)&amp;":"&amp;C495&amp;LEN(D495)&amp;":"&amp;D495)</x:f>
      </x:c>
      <x:c r="M495" t="str">
        <x:f>IF(COUNTA(A495:F495)=0,"",IF(ISNUMBER(E495),1,0))</x:f>
      </x:c>
    </x:row>
    <x:row r="496">
      <x:c r="A496" s="11"/>
      <x:c r="B496" s="11"/>
      <x:c r="C496" s="11"/>
      <x:c r="D496" s="11"/>
      <x:c r="E496" s="12"/>
      <x:c r="F496" s="10"/>
      <x:c r="G496" s="2" t="str">
        <x:f>IF(COUNTA(A496:F496)=0,"",COUNTIFS('App Data'!$L$2:$L$1001,SUBSTITUTE(SUBSTITUTE(SUBSTITUTE(L496,"~","~~"),"*","~*"),"?","~?")))</x:f>
      </x:c>
      <x:c r="H496" s="2" t="str">
        <x:f>IF(COUNTA(A496:F496)=0,"",COUNTIFS('External Data'!$L$2:$L$1001,SUBSTITUTE(SUBSTITUTE(SUBSTITUTE(L496,"~","~~"),"*","~*"),"?","~?")))</x:f>
      </x:c>
      <x:c r="I496" s="13" t="str">
        <x:f>IF(OR(H496&lt;&gt;1,G496&lt;&gt;1),"",SUMIFS('External Data'!$E$2:$E$1001,'External Data'!$L$2:$L$1001,SUBSTITUTE(SUBSTITUTE(SUBSTITUTE(L496,"~","~~"),"*","~*"),"?","~?")))</x:f>
      </x:c>
      <x:c r="J496" s="13" t="str">
        <x:f>IF(OR(NOT(ISNUMBER(E496)),NOT(ISNUMBER(I496))),"",ROUND(E496-I496,2))</x:f>
      </x:c>
      <x:c r="K496" s="2" t="str">
        <x:f>IF(COUNTA(A496:F496)=0,"",IF(OR(A496="",B496="",C496="",D496="",NOT(ISNUMBER(E496))),"Missing / invalid input",IF(G496&gt;1,"Duplicate key in this source",IF(H496=0,"Missing in other source",IF(H496&gt;1,"Duplicate in other source",IF(SUMIFS('External Data'!$M$2:$M$1001,'External Data'!$L$2:$L$1001,SUBSTITUTE(SUBSTITUTE(SUBSTITUTE(L496,"~","~~"),"*","~*"),"?","~?"))&lt;&gt;1,"Other amount is invalid",IF(J496&lt;&gt;0,"Amount differs","Matched")))))))</x:f>
      </x:c>
      <x:c r="L496" t="str">
        <x:f>IF(COUNTA(A496:F496)=0,"",LEN(A496)&amp;":"&amp;A496&amp;LEN(B496)&amp;":"&amp;B496&amp;LEN(C496)&amp;":"&amp;C496&amp;LEN(D496)&amp;":"&amp;D496)</x:f>
      </x:c>
      <x:c r="M496" t="str">
        <x:f>IF(COUNTA(A496:F496)=0,"",IF(ISNUMBER(E496),1,0))</x:f>
      </x:c>
    </x:row>
    <x:row r="497">
      <x:c r="A497" s="11"/>
      <x:c r="B497" s="11"/>
      <x:c r="C497" s="11"/>
      <x:c r="D497" s="11"/>
      <x:c r="E497" s="12"/>
      <x:c r="F497" s="10"/>
      <x:c r="G497" s="2" t="str">
        <x:f>IF(COUNTA(A497:F497)=0,"",COUNTIFS('App Data'!$L$2:$L$1001,SUBSTITUTE(SUBSTITUTE(SUBSTITUTE(L497,"~","~~"),"*","~*"),"?","~?")))</x:f>
      </x:c>
      <x:c r="H497" s="2" t="str">
        <x:f>IF(COUNTA(A497:F497)=0,"",COUNTIFS('External Data'!$L$2:$L$1001,SUBSTITUTE(SUBSTITUTE(SUBSTITUTE(L497,"~","~~"),"*","~*"),"?","~?")))</x:f>
      </x:c>
      <x:c r="I497" s="13" t="str">
        <x:f>IF(OR(H497&lt;&gt;1,G497&lt;&gt;1),"",SUMIFS('External Data'!$E$2:$E$1001,'External Data'!$L$2:$L$1001,SUBSTITUTE(SUBSTITUTE(SUBSTITUTE(L497,"~","~~"),"*","~*"),"?","~?")))</x:f>
      </x:c>
      <x:c r="J497" s="13" t="str">
        <x:f>IF(OR(NOT(ISNUMBER(E497)),NOT(ISNUMBER(I497))),"",ROUND(E497-I497,2))</x:f>
      </x:c>
      <x:c r="K497" s="2" t="str">
        <x:f>IF(COUNTA(A497:F497)=0,"",IF(OR(A497="",B497="",C497="",D497="",NOT(ISNUMBER(E497))),"Missing / invalid input",IF(G497&gt;1,"Duplicate key in this source",IF(H497=0,"Missing in other source",IF(H497&gt;1,"Duplicate in other source",IF(SUMIFS('External Data'!$M$2:$M$1001,'External Data'!$L$2:$L$1001,SUBSTITUTE(SUBSTITUTE(SUBSTITUTE(L497,"~","~~"),"*","~*"),"?","~?"))&lt;&gt;1,"Other amount is invalid",IF(J497&lt;&gt;0,"Amount differs","Matched")))))))</x:f>
      </x:c>
      <x:c r="L497" t="str">
        <x:f>IF(COUNTA(A497:F497)=0,"",LEN(A497)&amp;":"&amp;A497&amp;LEN(B497)&amp;":"&amp;B497&amp;LEN(C497)&amp;":"&amp;C497&amp;LEN(D497)&amp;":"&amp;D497)</x:f>
      </x:c>
      <x:c r="M497" t="str">
        <x:f>IF(COUNTA(A497:F497)=0,"",IF(ISNUMBER(E497),1,0))</x:f>
      </x:c>
    </x:row>
    <x:row r="498">
      <x:c r="A498" s="11"/>
      <x:c r="B498" s="11"/>
      <x:c r="C498" s="11"/>
      <x:c r="D498" s="11"/>
      <x:c r="E498" s="12"/>
      <x:c r="F498" s="10"/>
      <x:c r="G498" s="2" t="str">
        <x:f>IF(COUNTA(A498:F498)=0,"",COUNTIFS('App Data'!$L$2:$L$1001,SUBSTITUTE(SUBSTITUTE(SUBSTITUTE(L498,"~","~~"),"*","~*"),"?","~?")))</x:f>
      </x:c>
      <x:c r="H498" s="2" t="str">
        <x:f>IF(COUNTA(A498:F498)=0,"",COUNTIFS('External Data'!$L$2:$L$1001,SUBSTITUTE(SUBSTITUTE(SUBSTITUTE(L498,"~","~~"),"*","~*"),"?","~?")))</x:f>
      </x:c>
      <x:c r="I498" s="13" t="str">
        <x:f>IF(OR(H498&lt;&gt;1,G498&lt;&gt;1),"",SUMIFS('External Data'!$E$2:$E$1001,'External Data'!$L$2:$L$1001,SUBSTITUTE(SUBSTITUTE(SUBSTITUTE(L498,"~","~~"),"*","~*"),"?","~?")))</x:f>
      </x:c>
      <x:c r="J498" s="13" t="str">
        <x:f>IF(OR(NOT(ISNUMBER(E498)),NOT(ISNUMBER(I498))),"",ROUND(E498-I498,2))</x:f>
      </x:c>
      <x:c r="K498" s="2" t="str">
        <x:f>IF(COUNTA(A498:F498)=0,"",IF(OR(A498="",B498="",C498="",D498="",NOT(ISNUMBER(E498))),"Missing / invalid input",IF(G498&gt;1,"Duplicate key in this source",IF(H498=0,"Missing in other source",IF(H498&gt;1,"Duplicate in other source",IF(SUMIFS('External Data'!$M$2:$M$1001,'External Data'!$L$2:$L$1001,SUBSTITUTE(SUBSTITUTE(SUBSTITUTE(L498,"~","~~"),"*","~*"),"?","~?"))&lt;&gt;1,"Other amount is invalid",IF(J498&lt;&gt;0,"Amount differs","Matched")))))))</x:f>
      </x:c>
      <x:c r="L498" t="str">
        <x:f>IF(COUNTA(A498:F498)=0,"",LEN(A498)&amp;":"&amp;A498&amp;LEN(B498)&amp;":"&amp;B498&amp;LEN(C498)&amp;":"&amp;C498&amp;LEN(D498)&amp;":"&amp;D498)</x:f>
      </x:c>
      <x:c r="M498" t="str">
        <x:f>IF(COUNTA(A498:F498)=0,"",IF(ISNUMBER(E498),1,0))</x:f>
      </x:c>
    </x:row>
    <x:row r="499">
      <x:c r="A499" s="11"/>
      <x:c r="B499" s="11"/>
      <x:c r="C499" s="11"/>
      <x:c r="D499" s="11"/>
      <x:c r="E499" s="12"/>
      <x:c r="F499" s="10"/>
      <x:c r="G499" s="2" t="str">
        <x:f>IF(COUNTA(A499:F499)=0,"",COUNTIFS('App Data'!$L$2:$L$1001,SUBSTITUTE(SUBSTITUTE(SUBSTITUTE(L499,"~","~~"),"*","~*"),"?","~?")))</x:f>
      </x:c>
      <x:c r="H499" s="2" t="str">
        <x:f>IF(COUNTA(A499:F499)=0,"",COUNTIFS('External Data'!$L$2:$L$1001,SUBSTITUTE(SUBSTITUTE(SUBSTITUTE(L499,"~","~~"),"*","~*"),"?","~?")))</x:f>
      </x:c>
      <x:c r="I499" s="13" t="str">
        <x:f>IF(OR(H499&lt;&gt;1,G499&lt;&gt;1),"",SUMIFS('External Data'!$E$2:$E$1001,'External Data'!$L$2:$L$1001,SUBSTITUTE(SUBSTITUTE(SUBSTITUTE(L499,"~","~~"),"*","~*"),"?","~?")))</x:f>
      </x:c>
      <x:c r="J499" s="13" t="str">
        <x:f>IF(OR(NOT(ISNUMBER(E499)),NOT(ISNUMBER(I499))),"",ROUND(E499-I499,2))</x:f>
      </x:c>
      <x:c r="K499" s="2" t="str">
        <x:f>IF(COUNTA(A499:F499)=0,"",IF(OR(A499="",B499="",C499="",D499="",NOT(ISNUMBER(E499))),"Missing / invalid input",IF(G499&gt;1,"Duplicate key in this source",IF(H499=0,"Missing in other source",IF(H499&gt;1,"Duplicate in other source",IF(SUMIFS('External Data'!$M$2:$M$1001,'External Data'!$L$2:$L$1001,SUBSTITUTE(SUBSTITUTE(SUBSTITUTE(L499,"~","~~"),"*","~*"),"?","~?"))&lt;&gt;1,"Other amount is invalid",IF(J499&lt;&gt;0,"Amount differs","Matched")))))))</x:f>
      </x:c>
      <x:c r="L499" t="str">
        <x:f>IF(COUNTA(A499:F499)=0,"",LEN(A499)&amp;":"&amp;A499&amp;LEN(B499)&amp;":"&amp;B499&amp;LEN(C499)&amp;":"&amp;C499&amp;LEN(D499)&amp;":"&amp;D499)</x:f>
      </x:c>
      <x:c r="M499" t="str">
        <x:f>IF(COUNTA(A499:F499)=0,"",IF(ISNUMBER(E499),1,0))</x:f>
      </x:c>
    </x:row>
    <x:row r="500">
      <x:c r="A500" s="11"/>
      <x:c r="B500" s="11"/>
      <x:c r="C500" s="11"/>
      <x:c r="D500" s="11"/>
      <x:c r="E500" s="12"/>
      <x:c r="F500" s="10"/>
      <x:c r="G500" s="2" t="str">
        <x:f>IF(COUNTA(A500:F500)=0,"",COUNTIFS('App Data'!$L$2:$L$1001,SUBSTITUTE(SUBSTITUTE(SUBSTITUTE(L500,"~","~~"),"*","~*"),"?","~?")))</x:f>
      </x:c>
      <x:c r="H500" s="2" t="str">
        <x:f>IF(COUNTA(A500:F500)=0,"",COUNTIFS('External Data'!$L$2:$L$1001,SUBSTITUTE(SUBSTITUTE(SUBSTITUTE(L500,"~","~~"),"*","~*"),"?","~?")))</x:f>
      </x:c>
      <x:c r="I500" s="13" t="str">
        <x:f>IF(OR(H500&lt;&gt;1,G500&lt;&gt;1),"",SUMIFS('External Data'!$E$2:$E$1001,'External Data'!$L$2:$L$1001,SUBSTITUTE(SUBSTITUTE(SUBSTITUTE(L500,"~","~~"),"*","~*"),"?","~?")))</x:f>
      </x:c>
      <x:c r="J500" s="13" t="str">
        <x:f>IF(OR(NOT(ISNUMBER(E500)),NOT(ISNUMBER(I500))),"",ROUND(E500-I500,2))</x:f>
      </x:c>
      <x:c r="K500" s="2" t="str">
        <x:f>IF(COUNTA(A500:F500)=0,"",IF(OR(A500="",B500="",C500="",D500="",NOT(ISNUMBER(E500))),"Missing / invalid input",IF(G500&gt;1,"Duplicate key in this source",IF(H500=0,"Missing in other source",IF(H500&gt;1,"Duplicate in other source",IF(SUMIFS('External Data'!$M$2:$M$1001,'External Data'!$L$2:$L$1001,SUBSTITUTE(SUBSTITUTE(SUBSTITUTE(L500,"~","~~"),"*","~*"),"?","~?"))&lt;&gt;1,"Other amount is invalid",IF(J500&lt;&gt;0,"Amount differs","Matched")))))))</x:f>
      </x:c>
      <x:c r="L500" t="str">
        <x:f>IF(COUNTA(A500:F500)=0,"",LEN(A500)&amp;":"&amp;A500&amp;LEN(B500)&amp;":"&amp;B500&amp;LEN(C500)&amp;":"&amp;C500&amp;LEN(D500)&amp;":"&amp;D500)</x:f>
      </x:c>
      <x:c r="M500" t="str">
        <x:f>IF(COUNTA(A500:F500)=0,"",IF(ISNUMBER(E500),1,0))</x:f>
      </x:c>
    </x:row>
    <x:row r="501">
      <x:c r="A501" s="11"/>
      <x:c r="B501" s="11"/>
      <x:c r="C501" s="11"/>
      <x:c r="D501" s="11"/>
      <x:c r="E501" s="12"/>
      <x:c r="F501" s="10"/>
      <x:c r="G501" s="2" t="str">
        <x:f>IF(COUNTA(A501:F501)=0,"",COUNTIFS('App Data'!$L$2:$L$1001,SUBSTITUTE(SUBSTITUTE(SUBSTITUTE(L501,"~","~~"),"*","~*"),"?","~?")))</x:f>
      </x:c>
      <x:c r="H501" s="2" t="str">
        <x:f>IF(COUNTA(A501:F501)=0,"",COUNTIFS('External Data'!$L$2:$L$1001,SUBSTITUTE(SUBSTITUTE(SUBSTITUTE(L501,"~","~~"),"*","~*"),"?","~?")))</x:f>
      </x:c>
      <x:c r="I501" s="13" t="str">
        <x:f>IF(OR(H501&lt;&gt;1,G501&lt;&gt;1),"",SUMIFS('External Data'!$E$2:$E$1001,'External Data'!$L$2:$L$1001,SUBSTITUTE(SUBSTITUTE(SUBSTITUTE(L501,"~","~~"),"*","~*"),"?","~?")))</x:f>
      </x:c>
      <x:c r="J501" s="13" t="str">
        <x:f>IF(OR(NOT(ISNUMBER(E501)),NOT(ISNUMBER(I501))),"",ROUND(E501-I501,2))</x:f>
      </x:c>
      <x:c r="K501" s="2" t="str">
        <x:f>IF(COUNTA(A501:F501)=0,"",IF(OR(A501="",B501="",C501="",D501="",NOT(ISNUMBER(E501))),"Missing / invalid input",IF(G501&gt;1,"Duplicate key in this source",IF(H501=0,"Missing in other source",IF(H501&gt;1,"Duplicate in other source",IF(SUMIFS('External Data'!$M$2:$M$1001,'External Data'!$L$2:$L$1001,SUBSTITUTE(SUBSTITUTE(SUBSTITUTE(L501,"~","~~"),"*","~*"),"?","~?"))&lt;&gt;1,"Other amount is invalid",IF(J501&lt;&gt;0,"Amount differs","Matched")))))))</x:f>
      </x:c>
      <x:c r="L501" t="str">
        <x:f>IF(COUNTA(A501:F501)=0,"",LEN(A501)&amp;":"&amp;A501&amp;LEN(B501)&amp;":"&amp;B501&amp;LEN(C501)&amp;":"&amp;C501&amp;LEN(D501)&amp;":"&amp;D501)</x:f>
      </x:c>
      <x:c r="M501" t="str">
        <x:f>IF(COUNTA(A501:F501)=0,"",IF(ISNUMBER(E501),1,0))</x:f>
      </x:c>
    </x:row>
    <x:row r="502">
      <x:c r="A502" s="11"/>
      <x:c r="B502" s="11"/>
      <x:c r="C502" s="11"/>
      <x:c r="D502" s="11"/>
      <x:c r="E502" s="12"/>
      <x:c r="F502" s="10"/>
      <x:c r="G502" s="2" t="str">
        <x:f>IF(COUNTA(A502:F502)=0,"",COUNTIFS('App Data'!$L$2:$L$1001,SUBSTITUTE(SUBSTITUTE(SUBSTITUTE(L502,"~","~~"),"*","~*"),"?","~?")))</x:f>
      </x:c>
      <x:c r="H502" s="2" t="str">
        <x:f>IF(COUNTA(A502:F502)=0,"",COUNTIFS('External Data'!$L$2:$L$1001,SUBSTITUTE(SUBSTITUTE(SUBSTITUTE(L502,"~","~~"),"*","~*"),"?","~?")))</x:f>
      </x:c>
      <x:c r="I502" s="13" t="str">
        <x:f>IF(OR(H502&lt;&gt;1,G502&lt;&gt;1),"",SUMIFS('External Data'!$E$2:$E$1001,'External Data'!$L$2:$L$1001,SUBSTITUTE(SUBSTITUTE(SUBSTITUTE(L502,"~","~~"),"*","~*"),"?","~?")))</x:f>
      </x:c>
      <x:c r="J502" s="13" t="str">
        <x:f>IF(OR(NOT(ISNUMBER(E502)),NOT(ISNUMBER(I502))),"",ROUND(E502-I502,2))</x:f>
      </x:c>
      <x:c r="K502" s="2" t="str">
        <x:f>IF(COUNTA(A502:F502)=0,"",IF(OR(A502="",B502="",C502="",D502="",NOT(ISNUMBER(E502))),"Missing / invalid input",IF(G502&gt;1,"Duplicate key in this source",IF(H502=0,"Missing in other source",IF(H502&gt;1,"Duplicate in other source",IF(SUMIFS('External Data'!$M$2:$M$1001,'External Data'!$L$2:$L$1001,SUBSTITUTE(SUBSTITUTE(SUBSTITUTE(L502,"~","~~"),"*","~*"),"?","~?"))&lt;&gt;1,"Other amount is invalid",IF(J502&lt;&gt;0,"Amount differs","Matched")))))))</x:f>
      </x:c>
      <x:c r="L502" t="str">
        <x:f>IF(COUNTA(A502:F502)=0,"",LEN(A502)&amp;":"&amp;A502&amp;LEN(B502)&amp;":"&amp;B502&amp;LEN(C502)&amp;":"&amp;C502&amp;LEN(D502)&amp;":"&amp;D502)</x:f>
      </x:c>
      <x:c r="M502" t="str">
        <x:f>IF(COUNTA(A502:F502)=0,"",IF(ISNUMBER(E502),1,0))</x:f>
      </x:c>
    </x:row>
    <x:row r="503">
      <x:c r="A503" s="11"/>
      <x:c r="B503" s="11"/>
      <x:c r="C503" s="11"/>
      <x:c r="D503" s="11"/>
      <x:c r="E503" s="12"/>
      <x:c r="F503" s="10"/>
      <x:c r="G503" s="2" t="str">
        <x:f>IF(COUNTA(A503:F503)=0,"",COUNTIFS('App Data'!$L$2:$L$1001,SUBSTITUTE(SUBSTITUTE(SUBSTITUTE(L503,"~","~~"),"*","~*"),"?","~?")))</x:f>
      </x:c>
      <x:c r="H503" s="2" t="str">
        <x:f>IF(COUNTA(A503:F503)=0,"",COUNTIFS('External Data'!$L$2:$L$1001,SUBSTITUTE(SUBSTITUTE(SUBSTITUTE(L503,"~","~~"),"*","~*"),"?","~?")))</x:f>
      </x:c>
      <x:c r="I503" s="13" t="str">
        <x:f>IF(OR(H503&lt;&gt;1,G503&lt;&gt;1),"",SUMIFS('External Data'!$E$2:$E$1001,'External Data'!$L$2:$L$1001,SUBSTITUTE(SUBSTITUTE(SUBSTITUTE(L503,"~","~~"),"*","~*"),"?","~?")))</x:f>
      </x:c>
      <x:c r="J503" s="13" t="str">
        <x:f>IF(OR(NOT(ISNUMBER(E503)),NOT(ISNUMBER(I503))),"",ROUND(E503-I503,2))</x:f>
      </x:c>
      <x:c r="K503" s="2" t="str">
        <x:f>IF(COUNTA(A503:F503)=0,"",IF(OR(A503="",B503="",C503="",D503="",NOT(ISNUMBER(E503))),"Missing / invalid input",IF(G503&gt;1,"Duplicate key in this source",IF(H503=0,"Missing in other source",IF(H503&gt;1,"Duplicate in other source",IF(SUMIFS('External Data'!$M$2:$M$1001,'External Data'!$L$2:$L$1001,SUBSTITUTE(SUBSTITUTE(SUBSTITUTE(L503,"~","~~"),"*","~*"),"?","~?"))&lt;&gt;1,"Other amount is invalid",IF(J503&lt;&gt;0,"Amount differs","Matched")))))))</x:f>
      </x:c>
      <x:c r="L503" t="str">
        <x:f>IF(COUNTA(A503:F503)=0,"",LEN(A503)&amp;":"&amp;A503&amp;LEN(B503)&amp;":"&amp;B503&amp;LEN(C503)&amp;":"&amp;C503&amp;LEN(D503)&amp;":"&amp;D503)</x:f>
      </x:c>
      <x:c r="M503" t="str">
        <x:f>IF(COUNTA(A503:F503)=0,"",IF(ISNUMBER(E503),1,0))</x:f>
      </x:c>
    </x:row>
    <x:row r="504">
      <x:c r="A504" s="11"/>
      <x:c r="B504" s="11"/>
      <x:c r="C504" s="11"/>
      <x:c r="D504" s="11"/>
      <x:c r="E504" s="12"/>
      <x:c r="F504" s="10"/>
      <x:c r="G504" s="2" t="str">
        <x:f>IF(COUNTA(A504:F504)=0,"",COUNTIFS('App Data'!$L$2:$L$1001,SUBSTITUTE(SUBSTITUTE(SUBSTITUTE(L504,"~","~~"),"*","~*"),"?","~?")))</x:f>
      </x:c>
      <x:c r="H504" s="2" t="str">
        <x:f>IF(COUNTA(A504:F504)=0,"",COUNTIFS('External Data'!$L$2:$L$1001,SUBSTITUTE(SUBSTITUTE(SUBSTITUTE(L504,"~","~~"),"*","~*"),"?","~?")))</x:f>
      </x:c>
      <x:c r="I504" s="13" t="str">
        <x:f>IF(OR(H504&lt;&gt;1,G504&lt;&gt;1),"",SUMIFS('External Data'!$E$2:$E$1001,'External Data'!$L$2:$L$1001,SUBSTITUTE(SUBSTITUTE(SUBSTITUTE(L504,"~","~~"),"*","~*"),"?","~?")))</x:f>
      </x:c>
      <x:c r="J504" s="13" t="str">
        <x:f>IF(OR(NOT(ISNUMBER(E504)),NOT(ISNUMBER(I504))),"",ROUND(E504-I504,2))</x:f>
      </x:c>
      <x:c r="K504" s="2" t="str">
        <x:f>IF(COUNTA(A504:F504)=0,"",IF(OR(A504="",B504="",C504="",D504="",NOT(ISNUMBER(E504))),"Missing / invalid input",IF(G504&gt;1,"Duplicate key in this source",IF(H504=0,"Missing in other source",IF(H504&gt;1,"Duplicate in other source",IF(SUMIFS('External Data'!$M$2:$M$1001,'External Data'!$L$2:$L$1001,SUBSTITUTE(SUBSTITUTE(SUBSTITUTE(L504,"~","~~"),"*","~*"),"?","~?"))&lt;&gt;1,"Other amount is invalid",IF(J504&lt;&gt;0,"Amount differs","Matched")))))))</x:f>
      </x:c>
      <x:c r="L504" t="str">
        <x:f>IF(COUNTA(A504:F504)=0,"",LEN(A504)&amp;":"&amp;A504&amp;LEN(B504)&amp;":"&amp;B504&amp;LEN(C504)&amp;":"&amp;C504&amp;LEN(D504)&amp;":"&amp;D504)</x:f>
      </x:c>
      <x:c r="M504" t="str">
        <x:f>IF(COUNTA(A504:F504)=0,"",IF(ISNUMBER(E504),1,0))</x:f>
      </x:c>
    </x:row>
    <x:row r="505">
      <x:c r="A505" s="11"/>
      <x:c r="B505" s="11"/>
      <x:c r="C505" s="11"/>
      <x:c r="D505" s="11"/>
      <x:c r="E505" s="12"/>
      <x:c r="F505" s="10"/>
      <x:c r="G505" s="2" t="str">
        <x:f>IF(COUNTA(A505:F505)=0,"",COUNTIFS('App Data'!$L$2:$L$1001,SUBSTITUTE(SUBSTITUTE(SUBSTITUTE(L505,"~","~~"),"*","~*"),"?","~?")))</x:f>
      </x:c>
      <x:c r="H505" s="2" t="str">
        <x:f>IF(COUNTA(A505:F505)=0,"",COUNTIFS('External Data'!$L$2:$L$1001,SUBSTITUTE(SUBSTITUTE(SUBSTITUTE(L505,"~","~~"),"*","~*"),"?","~?")))</x:f>
      </x:c>
      <x:c r="I505" s="13" t="str">
        <x:f>IF(OR(H505&lt;&gt;1,G505&lt;&gt;1),"",SUMIFS('External Data'!$E$2:$E$1001,'External Data'!$L$2:$L$1001,SUBSTITUTE(SUBSTITUTE(SUBSTITUTE(L505,"~","~~"),"*","~*"),"?","~?")))</x:f>
      </x:c>
      <x:c r="J505" s="13" t="str">
        <x:f>IF(OR(NOT(ISNUMBER(E505)),NOT(ISNUMBER(I505))),"",ROUND(E505-I505,2))</x:f>
      </x:c>
      <x:c r="K505" s="2" t="str">
        <x:f>IF(COUNTA(A505:F505)=0,"",IF(OR(A505="",B505="",C505="",D505="",NOT(ISNUMBER(E505))),"Missing / invalid input",IF(G505&gt;1,"Duplicate key in this source",IF(H505=0,"Missing in other source",IF(H505&gt;1,"Duplicate in other source",IF(SUMIFS('External Data'!$M$2:$M$1001,'External Data'!$L$2:$L$1001,SUBSTITUTE(SUBSTITUTE(SUBSTITUTE(L505,"~","~~"),"*","~*"),"?","~?"))&lt;&gt;1,"Other amount is invalid",IF(J505&lt;&gt;0,"Amount differs","Matched")))))))</x:f>
      </x:c>
      <x:c r="L505" t="str">
        <x:f>IF(COUNTA(A505:F505)=0,"",LEN(A505)&amp;":"&amp;A505&amp;LEN(B505)&amp;":"&amp;B505&amp;LEN(C505)&amp;":"&amp;C505&amp;LEN(D505)&amp;":"&amp;D505)</x:f>
      </x:c>
      <x:c r="M505" t="str">
        <x:f>IF(COUNTA(A505:F505)=0,"",IF(ISNUMBER(E505),1,0))</x:f>
      </x:c>
    </x:row>
    <x:row r="506">
      <x:c r="A506" s="11"/>
      <x:c r="B506" s="11"/>
      <x:c r="C506" s="11"/>
      <x:c r="D506" s="11"/>
      <x:c r="E506" s="12"/>
      <x:c r="F506" s="10"/>
      <x:c r="G506" s="2" t="str">
        <x:f>IF(COUNTA(A506:F506)=0,"",COUNTIFS('App Data'!$L$2:$L$1001,SUBSTITUTE(SUBSTITUTE(SUBSTITUTE(L506,"~","~~"),"*","~*"),"?","~?")))</x:f>
      </x:c>
      <x:c r="H506" s="2" t="str">
        <x:f>IF(COUNTA(A506:F506)=0,"",COUNTIFS('External Data'!$L$2:$L$1001,SUBSTITUTE(SUBSTITUTE(SUBSTITUTE(L506,"~","~~"),"*","~*"),"?","~?")))</x:f>
      </x:c>
      <x:c r="I506" s="13" t="str">
        <x:f>IF(OR(H506&lt;&gt;1,G506&lt;&gt;1),"",SUMIFS('External Data'!$E$2:$E$1001,'External Data'!$L$2:$L$1001,SUBSTITUTE(SUBSTITUTE(SUBSTITUTE(L506,"~","~~"),"*","~*"),"?","~?")))</x:f>
      </x:c>
      <x:c r="J506" s="13" t="str">
        <x:f>IF(OR(NOT(ISNUMBER(E506)),NOT(ISNUMBER(I506))),"",ROUND(E506-I506,2))</x:f>
      </x:c>
      <x:c r="K506" s="2" t="str">
        <x:f>IF(COUNTA(A506:F506)=0,"",IF(OR(A506="",B506="",C506="",D506="",NOT(ISNUMBER(E506))),"Missing / invalid input",IF(G506&gt;1,"Duplicate key in this source",IF(H506=0,"Missing in other source",IF(H506&gt;1,"Duplicate in other source",IF(SUMIFS('External Data'!$M$2:$M$1001,'External Data'!$L$2:$L$1001,SUBSTITUTE(SUBSTITUTE(SUBSTITUTE(L506,"~","~~"),"*","~*"),"?","~?"))&lt;&gt;1,"Other amount is invalid",IF(J506&lt;&gt;0,"Amount differs","Matched")))))))</x:f>
      </x:c>
      <x:c r="L506" t="str">
        <x:f>IF(COUNTA(A506:F506)=0,"",LEN(A506)&amp;":"&amp;A506&amp;LEN(B506)&amp;":"&amp;B506&amp;LEN(C506)&amp;":"&amp;C506&amp;LEN(D506)&amp;":"&amp;D506)</x:f>
      </x:c>
      <x:c r="M506" t="str">
        <x:f>IF(COUNTA(A506:F506)=0,"",IF(ISNUMBER(E506),1,0))</x:f>
      </x:c>
    </x:row>
    <x:row r="507">
      <x:c r="A507" s="11"/>
      <x:c r="B507" s="11"/>
      <x:c r="C507" s="11"/>
      <x:c r="D507" s="11"/>
      <x:c r="E507" s="12"/>
      <x:c r="F507" s="10"/>
      <x:c r="G507" s="2" t="str">
        <x:f>IF(COUNTA(A507:F507)=0,"",COUNTIFS('App Data'!$L$2:$L$1001,SUBSTITUTE(SUBSTITUTE(SUBSTITUTE(L507,"~","~~"),"*","~*"),"?","~?")))</x:f>
      </x:c>
      <x:c r="H507" s="2" t="str">
        <x:f>IF(COUNTA(A507:F507)=0,"",COUNTIFS('External Data'!$L$2:$L$1001,SUBSTITUTE(SUBSTITUTE(SUBSTITUTE(L507,"~","~~"),"*","~*"),"?","~?")))</x:f>
      </x:c>
      <x:c r="I507" s="13" t="str">
        <x:f>IF(OR(H507&lt;&gt;1,G507&lt;&gt;1),"",SUMIFS('External Data'!$E$2:$E$1001,'External Data'!$L$2:$L$1001,SUBSTITUTE(SUBSTITUTE(SUBSTITUTE(L507,"~","~~"),"*","~*"),"?","~?")))</x:f>
      </x:c>
      <x:c r="J507" s="13" t="str">
        <x:f>IF(OR(NOT(ISNUMBER(E507)),NOT(ISNUMBER(I507))),"",ROUND(E507-I507,2))</x:f>
      </x:c>
      <x:c r="K507" s="2" t="str">
        <x:f>IF(COUNTA(A507:F507)=0,"",IF(OR(A507="",B507="",C507="",D507="",NOT(ISNUMBER(E507))),"Missing / invalid input",IF(G507&gt;1,"Duplicate key in this source",IF(H507=0,"Missing in other source",IF(H507&gt;1,"Duplicate in other source",IF(SUMIFS('External Data'!$M$2:$M$1001,'External Data'!$L$2:$L$1001,SUBSTITUTE(SUBSTITUTE(SUBSTITUTE(L507,"~","~~"),"*","~*"),"?","~?"))&lt;&gt;1,"Other amount is invalid",IF(J507&lt;&gt;0,"Amount differs","Matched")))))))</x:f>
      </x:c>
      <x:c r="L507" t="str">
        <x:f>IF(COUNTA(A507:F507)=0,"",LEN(A507)&amp;":"&amp;A507&amp;LEN(B507)&amp;":"&amp;B507&amp;LEN(C507)&amp;":"&amp;C507&amp;LEN(D507)&amp;":"&amp;D507)</x:f>
      </x:c>
      <x:c r="M507" t="str">
        <x:f>IF(COUNTA(A507:F507)=0,"",IF(ISNUMBER(E507),1,0))</x:f>
      </x:c>
    </x:row>
    <x:row r="508">
      <x:c r="A508" s="11"/>
      <x:c r="B508" s="11"/>
      <x:c r="C508" s="11"/>
      <x:c r="D508" s="11"/>
      <x:c r="E508" s="12"/>
      <x:c r="F508" s="10"/>
      <x:c r="G508" s="2" t="str">
        <x:f>IF(COUNTA(A508:F508)=0,"",COUNTIFS('App Data'!$L$2:$L$1001,SUBSTITUTE(SUBSTITUTE(SUBSTITUTE(L508,"~","~~"),"*","~*"),"?","~?")))</x:f>
      </x:c>
      <x:c r="H508" s="2" t="str">
        <x:f>IF(COUNTA(A508:F508)=0,"",COUNTIFS('External Data'!$L$2:$L$1001,SUBSTITUTE(SUBSTITUTE(SUBSTITUTE(L508,"~","~~"),"*","~*"),"?","~?")))</x:f>
      </x:c>
      <x:c r="I508" s="13" t="str">
        <x:f>IF(OR(H508&lt;&gt;1,G508&lt;&gt;1),"",SUMIFS('External Data'!$E$2:$E$1001,'External Data'!$L$2:$L$1001,SUBSTITUTE(SUBSTITUTE(SUBSTITUTE(L508,"~","~~"),"*","~*"),"?","~?")))</x:f>
      </x:c>
      <x:c r="J508" s="13" t="str">
        <x:f>IF(OR(NOT(ISNUMBER(E508)),NOT(ISNUMBER(I508))),"",ROUND(E508-I508,2))</x:f>
      </x:c>
      <x:c r="K508" s="2" t="str">
        <x:f>IF(COUNTA(A508:F508)=0,"",IF(OR(A508="",B508="",C508="",D508="",NOT(ISNUMBER(E508))),"Missing / invalid input",IF(G508&gt;1,"Duplicate key in this source",IF(H508=0,"Missing in other source",IF(H508&gt;1,"Duplicate in other source",IF(SUMIFS('External Data'!$M$2:$M$1001,'External Data'!$L$2:$L$1001,SUBSTITUTE(SUBSTITUTE(SUBSTITUTE(L508,"~","~~"),"*","~*"),"?","~?"))&lt;&gt;1,"Other amount is invalid",IF(J508&lt;&gt;0,"Amount differs","Matched")))))))</x:f>
      </x:c>
      <x:c r="L508" t="str">
        <x:f>IF(COUNTA(A508:F508)=0,"",LEN(A508)&amp;":"&amp;A508&amp;LEN(B508)&amp;":"&amp;B508&amp;LEN(C508)&amp;":"&amp;C508&amp;LEN(D508)&amp;":"&amp;D508)</x:f>
      </x:c>
      <x:c r="M508" t="str">
        <x:f>IF(COUNTA(A508:F508)=0,"",IF(ISNUMBER(E508),1,0))</x:f>
      </x:c>
    </x:row>
    <x:row r="509">
      <x:c r="A509" s="11"/>
      <x:c r="B509" s="11"/>
      <x:c r="C509" s="11"/>
      <x:c r="D509" s="11"/>
      <x:c r="E509" s="12"/>
      <x:c r="F509" s="10"/>
      <x:c r="G509" s="2" t="str">
        <x:f>IF(COUNTA(A509:F509)=0,"",COUNTIFS('App Data'!$L$2:$L$1001,SUBSTITUTE(SUBSTITUTE(SUBSTITUTE(L509,"~","~~"),"*","~*"),"?","~?")))</x:f>
      </x:c>
      <x:c r="H509" s="2" t="str">
        <x:f>IF(COUNTA(A509:F509)=0,"",COUNTIFS('External Data'!$L$2:$L$1001,SUBSTITUTE(SUBSTITUTE(SUBSTITUTE(L509,"~","~~"),"*","~*"),"?","~?")))</x:f>
      </x:c>
      <x:c r="I509" s="13" t="str">
        <x:f>IF(OR(H509&lt;&gt;1,G509&lt;&gt;1),"",SUMIFS('External Data'!$E$2:$E$1001,'External Data'!$L$2:$L$1001,SUBSTITUTE(SUBSTITUTE(SUBSTITUTE(L509,"~","~~"),"*","~*"),"?","~?")))</x:f>
      </x:c>
      <x:c r="J509" s="13" t="str">
        <x:f>IF(OR(NOT(ISNUMBER(E509)),NOT(ISNUMBER(I509))),"",ROUND(E509-I509,2))</x:f>
      </x:c>
      <x:c r="K509" s="2" t="str">
        <x:f>IF(COUNTA(A509:F509)=0,"",IF(OR(A509="",B509="",C509="",D509="",NOT(ISNUMBER(E509))),"Missing / invalid input",IF(G509&gt;1,"Duplicate key in this source",IF(H509=0,"Missing in other source",IF(H509&gt;1,"Duplicate in other source",IF(SUMIFS('External Data'!$M$2:$M$1001,'External Data'!$L$2:$L$1001,SUBSTITUTE(SUBSTITUTE(SUBSTITUTE(L509,"~","~~"),"*","~*"),"?","~?"))&lt;&gt;1,"Other amount is invalid",IF(J509&lt;&gt;0,"Amount differs","Matched")))))))</x:f>
      </x:c>
      <x:c r="L509" t="str">
        <x:f>IF(COUNTA(A509:F509)=0,"",LEN(A509)&amp;":"&amp;A509&amp;LEN(B509)&amp;":"&amp;B509&amp;LEN(C509)&amp;":"&amp;C509&amp;LEN(D509)&amp;":"&amp;D509)</x:f>
      </x:c>
      <x:c r="M509" t="str">
        <x:f>IF(COUNTA(A509:F509)=0,"",IF(ISNUMBER(E509),1,0))</x:f>
      </x:c>
    </x:row>
    <x:row r="510">
      <x:c r="A510" s="11"/>
      <x:c r="B510" s="11"/>
      <x:c r="C510" s="11"/>
      <x:c r="D510" s="11"/>
      <x:c r="E510" s="12"/>
      <x:c r="F510" s="10"/>
      <x:c r="G510" s="2" t="str">
        <x:f>IF(COUNTA(A510:F510)=0,"",COUNTIFS('App Data'!$L$2:$L$1001,SUBSTITUTE(SUBSTITUTE(SUBSTITUTE(L510,"~","~~"),"*","~*"),"?","~?")))</x:f>
      </x:c>
      <x:c r="H510" s="2" t="str">
        <x:f>IF(COUNTA(A510:F510)=0,"",COUNTIFS('External Data'!$L$2:$L$1001,SUBSTITUTE(SUBSTITUTE(SUBSTITUTE(L510,"~","~~"),"*","~*"),"?","~?")))</x:f>
      </x:c>
      <x:c r="I510" s="13" t="str">
        <x:f>IF(OR(H510&lt;&gt;1,G510&lt;&gt;1),"",SUMIFS('External Data'!$E$2:$E$1001,'External Data'!$L$2:$L$1001,SUBSTITUTE(SUBSTITUTE(SUBSTITUTE(L510,"~","~~"),"*","~*"),"?","~?")))</x:f>
      </x:c>
      <x:c r="J510" s="13" t="str">
        <x:f>IF(OR(NOT(ISNUMBER(E510)),NOT(ISNUMBER(I510))),"",ROUND(E510-I510,2))</x:f>
      </x:c>
      <x:c r="K510" s="2" t="str">
        <x:f>IF(COUNTA(A510:F510)=0,"",IF(OR(A510="",B510="",C510="",D510="",NOT(ISNUMBER(E510))),"Missing / invalid input",IF(G510&gt;1,"Duplicate key in this source",IF(H510=0,"Missing in other source",IF(H510&gt;1,"Duplicate in other source",IF(SUMIFS('External Data'!$M$2:$M$1001,'External Data'!$L$2:$L$1001,SUBSTITUTE(SUBSTITUTE(SUBSTITUTE(L510,"~","~~"),"*","~*"),"?","~?"))&lt;&gt;1,"Other amount is invalid",IF(J510&lt;&gt;0,"Amount differs","Matched")))))))</x:f>
      </x:c>
      <x:c r="L510" t="str">
        <x:f>IF(COUNTA(A510:F510)=0,"",LEN(A510)&amp;":"&amp;A510&amp;LEN(B510)&amp;":"&amp;B510&amp;LEN(C510)&amp;":"&amp;C510&amp;LEN(D510)&amp;":"&amp;D510)</x:f>
      </x:c>
      <x:c r="M510" t="str">
        <x:f>IF(COUNTA(A510:F510)=0,"",IF(ISNUMBER(E510),1,0))</x:f>
      </x:c>
    </x:row>
    <x:row r="511">
      <x:c r="A511" s="11"/>
      <x:c r="B511" s="11"/>
      <x:c r="C511" s="11"/>
      <x:c r="D511" s="11"/>
      <x:c r="E511" s="12"/>
      <x:c r="F511" s="10"/>
      <x:c r="G511" s="2" t="str">
        <x:f>IF(COUNTA(A511:F511)=0,"",COUNTIFS('App Data'!$L$2:$L$1001,SUBSTITUTE(SUBSTITUTE(SUBSTITUTE(L511,"~","~~"),"*","~*"),"?","~?")))</x:f>
      </x:c>
      <x:c r="H511" s="2" t="str">
        <x:f>IF(COUNTA(A511:F511)=0,"",COUNTIFS('External Data'!$L$2:$L$1001,SUBSTITUTE(SUBSTITUTE(SUBSTITUTE(L511,"~","~~"),"*","~*"),"?","~?")))</x:f>
      </x:c>
      <x:c r="I511" s="13" t="str">
        <x:f>IF(OR(H511&lt;&gt;1,G511&lt;&gt;1),"",SUMIFS('External Data'!$E$2:$E$1001,'External Data'!$L$2:$L$1001,SUBSTITUTE(SUBSTITUTE(SUBSTITUTE(L511,"~","~~"),"*","~*"),"?","~?")))</x:f>
      </x:c>
      <x:c r="J511" s="13" t="str">
        <x:f>IF(OR(NOT(ISNUMBER(E511)),NOT(ISNUMBER(I511))),"",ROUND(E511-I511,2))</x:f>
      </x:c>
      <x:c r="K511" s="2" t="str">
        <x:f>IF(COUNTA(A511:F511)=0,"",IF(OR(A511="",B511="",C511="",D511="",NOT(ISNUMBER(E511))),"Missing / invalid input",IF(G511&gt;1,"Duplicate key in this source",IF(H511=0,"Missing in other source",IF(H511&gt;1,"Duplicate in other source",IF(SUMIFS('External Data'!$M$2:$M$1001,'External Data'!$L$2:$L$1001,SUBSTITUTE(SUBSTITUTE(SUBSTITUTE(L511,"~","~~"),"*","~*"),"?","~?"))&lt;&gt;1,"Other amount is invalid",IF(J511&lt;&gt;0,"Amount differs","Matched")))))))</x:f>
      </x:c>
      <x:c r="L511" t="str">
        <x:f>IF(COUNTA(A511:F511)=0,"",LEN(A511)&amp;":"&amp;A511&amp;LEN(B511)&amp;":"&amp;B511&amp;LEN(C511)&amp;":"&amp;C511&amp;LEN(D511)&amp;":"&amp;D511)</x:f>
      </x:c>
      <x:c r="M511" t="str">
        <x:f>IF(COUNTA(A511:F511)=0,"",IF(ISNUMBER(E511),1,0))</x:f>
      </x:c>
    </x:row>
    <x:row r="512">
      <x:c r="A512" s="11"/>
      <x:c r="B512" s="11"/>
      <x:c r="C512" s="11"/>
      <x:c r="D512" s="11"/>
      <x:c r="E512" s="12"/>
      <x:c r="F512" s="10"/>
      <x:c r="G512" s="2" t="str">
        <x:f>IF(COUNTA(A512:F512)=0,"",COUNTIFS('App Data'!$L$2:$L$1001,SUBSTITUTE(SUBSTITUTE(SUBSTITUTE(L512,"~","~~"),"*","~*"),"?","~?")))</x:f>
      </x:c>
      <x:c r="H512" s="2" t="str">
        <x:f>IF(COUNTA(A512:F512)=0,"",COUNTIFS('External Data'!$L$2:$L$1001,SUBSTITUTE(SUBSTITUTE(SUBSTITUTE(L512,"~","~~"),"*","~*"),"?","~?")))</x:f>
      </x:c>
      <x:c r="I512" s="13" t="str">
        <x:f>IF(OR(H512&lt;&gt;1,G512&lt;&gt;1),"",SUMIFS('External Data'!$E$2:$E$1001,'External Data'!$L$2:$L$1001,SUBSTITUTE(SUBSTITUTE(SUBSTITUTE(L512,"~","~~"),"*","~*"),"?","~?")))</x:f>
      </x:c>
      <x:c r="J512" s="13" t="str">
        <x:f>IF(OR(NOT(ISNUMBER(E512)),NOT(ISNUMBER(I512))),"",ROUND(E512-I512,2))</x:f>
      </x:c>
      <x:c r="K512" s="2" t="str">
        <x:f>IF(COUNTA(A512:F512)=0,"",IF(OR(A512="",B512="",C512="",D512="",NOT(ISNUMBER(E512))),"Missing / invalid input",IF(G512&gt;1,"Duplicate key in this source",IF(H512=0,"Missing in other source",IF(H512&gt;1,"Duplicate in other source",IF(SUMIFS('External Data'!$M$2:$M$1001,'External Data'!$L$2:$L$1001,SUBSTITUTE(SUBSTITUTE(SUBSTITUTE(L512,"~","~~"),"*","~*"),"?","~?"))&lt;&gt;1,"Other amount is invalid",IF(J512&lt;&gt;0,"Amount differs","Matched")))))))</x:f>
      </x:c>
      <x:c r="L512" t="str">
        <x:f>IF(COUNTA(A512:F512)=0,"",LEN(A512)&amp;":"&amp;A512&amp;LEN(B512)&amp;":"&amp;B512&amp;LEN(C512)&amp;":"&amp;C512&amp;LEN(D512)&amp;":"&amp;D512)</x:f>
      </x:c>
      <x:c r="M512" t="str">
        <x:f>IF(COUNTA(A512:F512)=0,"",IF(ISNUMBER(E512),1,0))</x:f>
      </x:c>
    </x:row>
    <x:row r="513">
      <x:c r="A513" s="11"/>
      <x:c r="B513" s="11"/>
      <x:c r="C513" s="11"/>
      <x:c r="D513" s="11"/>
      <x:c r="E513" s="12"/>
      <x:c r="F513" s="10"/>
      <x:c r="G513" s="2" t="str">
        <x:f>IF(COUNTA(A513:F513)=0,"",COUNTIFS('App Data'!$L$2:$L$1001,SUBSTITUTE(SUBSTITUTE(SUBSTITUTE(L513,"~","~~"),"*","~*"),"?","~?")))</x:f>
      </x:c>
      <x:c r="H513" s="2" t="str">
        <x:f>IF(COUNTA(A513:F513)=0,"",COUNTIFS('External Data'!$L$2:$L$1001,SUBSTITUTE(SUBSTITUTE(SUBSTITUTE(L513,"~","~~"),"*","~*"),"?","~?")))</x:f>
      </x:c>
      <x:c r="I513" s="13" t="str">
        <x:f>IF(OR(H513&lt;&gt;1,G513&lt;&gt;1),"",SUMIFS('External Data'!$E$2:$E$1001,'External Data'!$L$2:$L$1001,SUBSTITUTE(SUBSTITUTE(SUBSTITUTE(L513,"~","~~"),"*","~*"),"?","~?")))</x:f>
      </x:c>
      <x:c r="J513" s="13" t="str">
        <x:f>IF(OR(NOT(ISNUMBER(E513)),NOT(ISNUMBER(I513))),"",ROUND(E513-I513,2))</x:f>
      </x:c>
      <x:c r="K513" s="2" t="str">
        <x:f>IF(COUNTA(A513:F513)=0,"",IF(OR(A513="",B513="",C513="",D513="",NOT(ISNUMBER(E513))),"Missing / invalid input",IF(G513&gt;1,"Duplicate key in this source",IF(H513=0,"Missing in other source",IF(H513&gt;1,"Duplicate in other source",IF(SUMIFS('External Data'!$M$2:$M$1001,'External Data'!$L$2:$L$1001,SUBSTITUTE(SUBSTITUTE(SUBSTITUTE(L513,"~","~~"),"*","~*"),"?","~?"))&lt;&gt;1,"Other amount is invalid",IF(J513&lt;&gt;0,"Amount differs","Matched")))))))</x:f>
      </x:c>
      <x:c r="L513" t="str">
        <x:f>IF(COUNTA(A513:F513)=0,"",LEN(A513)&amp;":"&amp;A513&amp;LEN(B513)&amp;":"&amp;B513&amp;LEN(C513)&amp;":"&amp;C513&amp;LEN(D513)&amp;":"&amp;D513)</x:f>
      </x:c>
      <x:c r="M513" t="str">
        <x:f>IF(COUNTA(A513:F513)=0,"",IF(ISNUMBER(E513),1,0))</x:f>
      </x:c>
    </x:row>
    <x:row r="514">
      <x:c r="A514" s="11"/>
      <x:c r="B514" s="11"/>
      <x:c r="C514" s="11"/>
      <x:c r="D514" s="11"/>
      <x:c r="E514" s="12"/>
      <x:c r="F514" s="10"/>
      <x:c r="G514" s="2" t="str">
        <x:f>IF(COUNTA(A514:F514)=0,"",COUNTIFS('App Data'!$L$2:$L$1001,SUBSTITUTE(SUBSTITUTE(SUBSTITUTE(L514,"~","~~"),"*","~*"),"?","~?")))</x:f>
      </x:c>
      <x:c r="H514" s="2" t="str">
        <x:f>IF(COUNTA(A514:F514)=0,"",COUNTIFS('External Data'!$L$2:$L$1001,SUBSTITUTE(SUBSTITUTE(SUBSTITUTE(L514,"~","~~"),"*","~*"),"?","~?")))</x:f>
      </x:c>
      <x:c r="I514" s="13" t="str">
        <x:f>IF(OR(H514&lt;&gt;1,G514&lt;&gt;1),"",SUMIFS('External Data'!$E$2:$E$1001,'External Data'!$L$2:$L$1001,SUBSTITUTE(SUBSTITUTE(SUBSTITUTE(L514,"~","~~"),"*","~*"),"?","~?")))</x:f>
      </x:c>
      <x:c r="J514" s="13" t="str">
        <x:f>IF(OR(NOT(ISNUMBER(E514)),NOT(ISNUMBER(I514))),"",ROUND(E514-I514,2))</x:f>
      </x:c>
      <x:c r="K514" s="2" t="str">
        <x:f>IF(COUNTA(A514:F514)=0,"",IF(OR(A514="",B514="",C514="",D514="",NOT(ISNUMBER(E514))),"Missing / invalid input",IF(G514&gt;1,"Duplicate key in this source",IF(H514=0,"Missing in other source",IF(H514&gt;1,"Duplicate in other source",IF(SUMIFS('External Data'!$M$2:$M$1001,'External Data'!$L$2:$L$1001,SUBSTITUTE(SUBSTITUTE(SUBSTITUTE(L514,"~","~~"),"*","~*"),"?","~?"))&lt;&gt;1,"Other amount is invalid",IF(J514&lt;&gt;0,"Amount differs","Matched")))))))</x:f>
      </x:c>
      <x:c r="L514" t="str">
        <x:f>IF(COUNTA(A514:F514)=0,"",LEN(A514)&amp;":"&amp;A514&amp;LEN(B514)&amp;":"&amp;B514&amp;LEN(C514)&amp;":"&amp;C514&amp;LEN(D514)&amp;":"&amp;D514)</x:f>
      </x:c>
      <x:c r="M514" t="str">
        <x:f>IF(COUNTA(A514:F514)=0,"",IF(ISNUMBER(E514),1,0))</x:f>
      </x:c>
    </x:row>
    <x:row r="515">
      <x:c r="A515" s="11"/>
      <x:c r="B515" s="11"/>
      <x:c r="C515" s="11"/>
      <x:c r="D515" s="11"/>
      <x:c r="E515" s="12"/>
      <x:c r="F515" s="10"/>
      <x:c r="G515" s="2" t="str">
        <x:f>IF(COUNTA(A515:F515)=0,"",COUNTIFS('App Data'!$L$2:$L$1001,SUBSTITUTE(SUBSTITUTE(SUBSTITUTE(L515,"~","~~"),"*","~*"),"?","~?")))</x:f>
      </x:c>
      <x:c r="H515" s="2" t="str">
        <x:f>IF(COUNTA(A515:F515)=0,"",COUNTIFS('External Data'!$L$2:$L$1001,SUBSTITUTE(SUBSTITUTE(SUBSTITUTE(L515,"~","~~"),"*","~*"),"?","~?")))</x:f>
      </x:c>
      <x:c r="I515" s="13" t="str">
        <x:f>IF(OR(H515&lt;&gt;1,G515&lt;&gt;1),"",SUMIFS('External Data'!$E$2:$E$1001,'External Data'!$L$2:$L$1001,SUBSTITUTE(SUBSTITUTE(SUBSTITUTE(L515,"~","~~"),"*","~*"),"?","~?")))</x:f>
      </x:c>
      <x:c r="J515" s="13" t="str">
        <x:f>IF(OR(NOT(ISNUMBER(E515)),NOT(ISNUMBER(I515))),"",ROUND(E515-I515,2))</x:f>
      </x:c>
      <x:c r="K515" s="2" t="str">
        <x:f>IF(COUNTA(A515:F515)=0,"",IF(OR(A515="",B515="",C515="",D515="",NOT(ISNUMBER(E515))),"Missing / invalid input",IF(G515&gt;1,"Duplicate key in this source",IF(H515=0,"Missing in other source",IF(H515&gt;1,"Duplicate in other source",IF(SUMIFS('External Data'!$M$2:$M$1001,'External Data'!$L$2:$L$1001,SUBSTITUTE(SUBSTITUTE(SUBSTITUTE(L515,"~","~~"),"*","~*"),"?","~?"))&lt;&gt;1,"Other amount is invalid",IF(J515&lt;&gt;0,"Amount differs","Matched")))))))</x:f>
      </x:c>
      <x:c r="L515" t="str">
        <x:f>IF(COUNTA(A515:F515)=0,"",LEN(A515)&amp;":"&amp;A515&amp;LEN(B515)&amp;":"&amp;B515&amp;LEN(C515)&amp;":"&amp;C515&amp;LEN(D515)&amp;":"&amp;D515)</x:f>
      </x:c>
      <x:c r="M515" t="str">
        <x:f>IF(COUNTA(A515:F515)=0,"",IF(ISNUMBER(E515),1,0))</x:f>
      </x:c>
    </x:row>
    <x:row r="516">
      <x:c r="A516" s="11"/>
      <x:c r="B516" s="11"/>
      <x:c r="C516" s="11"/>
      <x:c r="D516" s="11"/>
      <x:c r="E516" s="12"/>
      <x:c r="F516" s="10"/>
      <x:c r="G516" s="2" t="str">
        <x:f>IF(COUNTA(A516:F516)=0,"",COUNTIFS('App Data'!$L$2:$L$1001,SUBSTITUTE(SUBSTITUTE(SUBSTITUTE(L516,"~","~~"),"*","~*"),"?","~?")))</x:f>
      </x:c>
      <x:c r="H516" s="2" t="str">
        <x:f>IF(COUNTA(A516:F516)=0,"",COUNTIFS('External Data'!$L$2:$L$1001,SUBSTITUTE(SUBSTITUTE(SUBSTITUTE(L516,"~","~~"),"*","~*"),"?","~?")))</x:f>
      </x:c>
      <x:c r="I516" s="13" t="str">
        <x:f>IF(OR(H516&lt;&gt;1,G516&lt;&gt;1),"",SUMIFS('External Data'!$E$2:$E$1001,'External Data'!$L$2:$L$1001,SUBSTITUTE(SUBSTITUTE(SUBSTITUTE(L516,"~","~~"),"*","~*"),"?","~?")))</x:f>
      </x:c>
      <x:c r="J516" s="13" t="str">
        <x:f>IF(OR(NOT(ISNUMBER(E516)),NOT(ISNUMBER(I516))),"",ROUND(E516-I516,2))</x:f>
      </x:c>
      <x:c r="K516" s="2" t="str">
        <x:f>IF(COUNTA(A516:F516)=0,"",IF(OR(A516="",B516="",C516="",D516="",NOT(ISNUMBER(E516))),"Missing / invalid input",IF(G516&gt;1,"Duplicate key in this source",IF(H516=0,"Missing in other source",IF(H516&gt;1,"Duplicate in other source",IF(SUMIFS('External Data'!$M$2:$M$1001,'External Data'!$L$2:$L$1001,SUBSTITUTE(SUBSTITUTE(SUBSTITUTE(L516,"~","~~"),"*","~*"),"?","~?"))&lt;&gt;1,"Other amount is invalid",IF(J516&lt;&gt;0,"Amount differs","Matched")))))))</x:f>
      </x:c>
      <x:c r="L516" t="str">
        <x:f>IF(COUNTA(A516:F516)=0,"",LEN(A516)&amp;":"&amp;A516&amp;LEN(B516)&amp;":"&amp;B516&amp;LEN(C516)&amp;":"&amp;C516&amp;LEN(D516)&amp;":"&amp;D516)</x:f>
      </x:c>
      <x:c r="M516" t="str">
        <x:f>IF(COUNTA(A516:F516)=0,"",IF(ISNUMBER(E516),1,0))</x:f>
      </x:c>
    </x:row>
    <x:row r="517">
      <x:c r="A517" s="11"/>
      <x:c r="B517" s="11"/>
      <x:c r="C517" s="11"/>
      <x:c r="D517" s="11"/>
      <x:c r="E517" s="12"/>
      <x:c r="F517" s="10"/>
      <x:c r="G517" s="2" t="str">
        <x:f>IF(COUNTA(A517:F517)=0,"",COUNTIFS('App Data'!$L$2:$L$1001,SUBSTITUTE(SUBSTITUTE(SUBSTITUTE(L517,"~","~~"),"*","~*"),"?","~?")))</x:f>
      </x:c>
      <x:c r="H517" s="2" t="str">
        <x:f>IF(COUNTA(A517:F517)=0,"",COUNTIFS('External Data'!$L$2:$L$1001,SUBSTITUTE(SUBSTITUTE(SUBSTITUTE(L517,"~","~~"),"*","~*"),"?","~?")))</x:f>
      </x:c>
      <x:c r="I517" s="13" t="str">
        <x:f>IF(OR(H517&lt;&gt;1,G517&lt;&gt;1),"",SUMIFS('External Data'!$E$2:$E$1001,'External Data'!$L$2:$L$1001,SUBSTITUTE(SUBSTITUTE(SUBSTITUTE(L517,"~","~~"),"*","~*"),"?","~?")))</x:f>
      </x:c>
      <x:c r="J517" s="13" t="str">
        <x:f>IF(OR(NOT(ISNUMBER(E517)),NOT(ISNUMBER(I517))),"",ROUND(E517-I517,2))</x:f>
      </x:c>
      <x:c r="K517" s="2" t="str">
        <x:f>IF(COUNTA(A517:F517)=0,"",IF(OR(A517="",B517="",C517="",D517="",NOT(ISNUMBER(E517))),"Missing / invalid input",IF(G517&gt;1,"Duplicate key in this source",IF(H517=0,"Missing in other source",IF(H517&gt;1,"Duplicate in other source",IF(SUMIFS('External Data'!$M$2:$M$1001,'External Data'!$L$2:$L$1001,SUBSTITUTE(SUBSTITUTE(SUBSTITUTE(L517,"~","~~"),"*","~*"),"?","~?"))&lt;&gt;1,"Other amount is invalid",IF(J517&lt;&gt;0,"Amount differs","Matched")))))))</x:f>
      </x:c>
      <x:c r="L517" t="str">
        <x:f>IF(COUNTA(A517:F517)=0,"",LEN(A517)&amp;":"&amp;A517&amp;LEN(B517)&amp;":"&amp;B517&amp;LEN(C517)&amp;":"&amp;C517&amp;LEN(D517)&amp;":"&amp;D517)</x:f>
      </x:c>
      <x:c r="M517" t="str">
        <x:f>IF(COUNTA(A517:F517)=0,"",IF(ISNUMBER(E517),1,0))</x:f>
      </x:c>
    </x:row>
    <x:row r="518">
      <x:c r="A518" s="11"/>
      <x:c r="B518" s="11"/>
      <x:c r="C518" s="11"/>
      <x:c r="D518" s="11"/>
      <x:c r="E518" s="12"/>
      <x:c r="F518" s="10"/>
      <x:c r="G518" s="2" t="str">
        <x:f>IF(COUNTA(A518:F518)=0,"",COUNTIFS('App Data'!$L$2:$L$1001,SUBSTITUTE(SUBSTITUTE(SUBSTITUTE(L518,"~","~~"),"*","~*"),"?","~?")))</x:f>
      </x:c>
      <x:c r="H518" s="2" t="str">
        <x:f>IF(COUNTA(A518:F518)=0,"",COUNTIFS('External Data'!$L$2:$L$1001,SUBSTITUTE(SUBSTITUTE(SUBSTITUTE(L518,"~","~~"),"*","~*"),"?","~?")))</x:f>
      </x:c>
      <x:c r="I518" s="13" t="str">
        <x:f>IF(OR(H518&lt;&gt;1,G518&lt;&gt;1),"",SUMIFS('External Data'!$E$2:$E$1001,'External Data'!$L$2:$L$1001,SUBSTITUTE(SUBSTITUTE(SUBSTITUTE(L518,"~","~~"),"*","~*"),"?","~?")))</x:f>
      </x:c>
      <x:c r="J518" s="13" t="str">
        <x:f>IF(OR(NOT(ISNUMBER(E518)),NOT(ISNUMBER(I518))),"",ROUND(E518-I518,2))</x:f>
      </x:c>
      <x:c r="K518" s="2" t="str">
        <x:f>IF(COUNTA(A518:F518)=0,"",IF(OR(A518="",B518="",C518="",D518="",NOT(ISNUMBER(E518))),"Missing / invalid input",IF(G518&gt;1,"Duplicate key in this source",IF(H518=0,"Missing in other source",IF(H518&gt;1,"Duplicate in other source",IF(SUMIFS('External Data'!$M$2:$M$1001,'External Data'!$L$2:$L$1001,SUBSTITUTE(SUBSTITUTE(SUBSTITUTE(L518,"~","~~"),"*","~*"),"?","~?"))&lt;&gt;1,"Other amount is invalid",IF(J518&lt;&gt;0,"Amount differs","Matched")))))))</x:f>
      </x:c>
      <x:c r="L518" t="str">
        <x:f>IF(COUNTA(A518:F518)=0,"",LEN(A518)&amp;":"&amp;A518&amp;LEN(B518)&amp;":"&amp;B518&amp;LEN(C518)&amp;":"&amp;C518&amp;LEN(D518)&amp;":"&amp;D518)</x:f>
      </x:c>
      <x:c r="M518" t="str">
        <x:f>IF(COUNTA(A518:F518)=0,"",IF(ISNUMBER(E518),1,0))</x:f>
      </x:c>
    </x:row>
    <x:row r="519">
      <x:c r="A519" s="11"/>
      <x:c r="B519" s="11"/>
      <x:c r="C519" s="11"/>
      <x:c r="D519" s="11"/>
      <x:c r="E519" s="12"/>
      <x:c r="F519" s="10"/>
      <x:c r="G519" s="2" t="str">
        <x:f>IF(COUNTA(A519:F519)=0,"",COUNTIFS('App Data'!$L$2:$L$1001,SUBSTITUTE(SUBSTITUTE(SUBSTITUTE(L519,"~","~~"),"*","~*"),"?","~?")))</x:f>
      </x:c>
      <x:c r="H519" s="2" t="str">
        <x:f>IF(COUNTA(A519:F519)=0,"",COUNTIFS('External Data'!$L$2:$L$1001,SUBSTITUTE(SUBSTITUTE(SUBSTITUTE(L519,"~","~~"),"*","~*"),"?","~?")))</x:f>
      </x:c>
      <x:c r="I519" s="13" t="str">
        <x:f>IF(OR(H519&lt;&gt;1,G519&lt;&gt;1),"",SUMIFS('External Data'!$E$2:$E$1001,'External Data'!$L$2:$L$1001,SUBSTITUTE(SUBSTITUTE(SUBSTITUTE(L519,"~","~~"),"*","~*"),"?","~?")))</x:f>
      </x:c>
      <x:c r="J519" s="13" t="str">
        <x:f>IF(OR(NOT(ISNUMBER(E519)),NOT(ISNUMBER(I519))),"",ROUND(E519-I519,2))</x:f>
      </x:c>
      <x:c r="K519" s="2" t="str">
        <x:f>IF(COUNTA(A519:F519)=0,"",IF(OR(A519="",B519="",C519="",D519="",NOT(ISNUMBER(E519))),"Missing / invalid input",IF(G519&gt;1,"Duplicate key in this source",IF(H519=0,"Missing in other source",IF(H519&gt;1,"Duplicate in other source",IF(SUMIFS('External Data'!$M$2:$M$1001,'External Data'!$L$2:$L$1001,SUBSTITUTE(SUBSTITUTE(SUBSTITUTE(L519,"~","~~"),"*","~*"),"?","~?"))&lt;&gt;1,"Other amount is invalid",IF(J519&lt;&gt;0,"Amount differs","Matched")))))))</x:f>
      </x:c>
      <x:c r="L519" t="str">
        <x:f>IF(COUNTA(A519:F519)=0,"",LEN(A519)&amp;":"&amp;A519&amp;LEN(B519)&amp;":"&amp;B519&amp;LEN(C519)&amp;":"&amp;C519&amp;LEN(D519)&amp;":"&amp;D519)</x:f>
      </x:c>
      <x:c r="M519" t="str">
        <x:f>IF(COUNTA(A519:F519)=0,"",IF(ISNUMBER(E519),1,0))</x:f>
      </x:c>
    </x:row>
    <x:row r="520">
      <x:c r="A520" s="11"/>
      <x:c r="B520" s="11"/>
      <x:c r="C520" s="11"/>
      <x:c r="D520" s="11"/>
      <x:c r="E520" s="12"/>
      <x:c r="F520" s="10"/>
      <x:c r="G520" s="2" t="str">
        <x:f>IF(COUNTA(A520:F520)=0,"",COUNTIFS('App Data'!$L$2:$L$1001,SUBSTITUTE(SUBSTITUTE(SUBSTITUTE(L520,"~","~~"),"*","~*"),"?","~?")))</x:f>
      </x:c>
      <x:c r="H520" s="2" t="str">
        <x:f>IF(COUNTA(A520:F520)=0,"",COUNTIFS('External Data'!$L$2:$L$1001,SUBSTITUTE(SUBSTITUTE(SUBSTITUTE(L520,"~","~~"),"*","~*"),"?","~?")))</x:f>
      </x:c>
      <x:c r="I520" s="13" t="str">
        <x:f>IF(OR(H520&lt;&gt;1,G520&lt;&gt;1),"",SUMIFS('External Data'!$E$2:$E$1001,'External Data'!$L$2:$L$1001,SUBSTITUTE(SUBSTITUTE(SUBSTITUTE(L520,"~","~~"),"*","~*"),"?","~?")))</x:f>
      </x:c>
      <x:c r="J520" s="13" t="str">
        <x:f>IF(OR(NOT(ISNUMBER(E520)),NOT(ISNUMBER(I520))),"",ROUND(E520-I520,2))</x:f>
      </x:c>
      <x:c r="K520" s="2" t="str">
        <x:f>IF(COUNTA(A520:F520)=0,"",IF(OR(A520="",B520="",C520="",D520="",NOT(ISNUMBER(E520))),"Missing / invalid input",IF(G520&gt;1,"Duplicate key in this source",IF(H520=0,"Missing in other source",IF(H520&gt;1,"Duplicate in other source",IF(SUMIFS('External Data'!$M$2:$M$1001,'External Data'!$L$2:$L$1001,SUBSTITUTE(SUBSTITUTE(SUBSTITUTE(L520,"~","~~"),"*","~*"),"?","~?"))&lt;&gt;1,"Other amount is invalid",IF(J520&lt;&gt;0,"Amount differs","Matched")))))))</x:f>
      </x:c>
      <x:c r="L520" t="str">
        <x:f>IF(COUNTA(A520:F520)=0,"",LEN(A520)&amp;":"&amp;A520&amp;LEN(B520)&amp;":"&amp;B520&amp;LEN(C520)&amp;":"&amp;C520&amp;LEN(D520)&amp;":"&amp;D520)</x:f>
      </x:c>
      <x:c r="M520" t="str">
        <x:f>IF(COUNTA(A520:F520)=0,"",IF(ISNUMBER(E520),1,0))</x:f>
      </x:c>
    </x:row>
    <x:row r="521">
      <x:c r="A521" s="11"/>
      <x:c r="B521" s="11"/>
      <x:c r="C521" s="11"/>
      <x:c r="D521" s="11"/>
      <x:c r="E521" s="12"/>
      <x:c r="F521" s="10"/>
      <x:c r="G521" s="2" t="str">
        <x:f>IF(COUNTA(A521:F521)=0,"",COUNTIFS('App Data'!$L$2:$L$1001,SUBSTITUTE(SUBSTITUTE(SUBSTITUTE(L521,"~","~~"),"*","~*"),"?","~?")))</x:f>
      </x:c>
      <x:c r="H521" s="2" t="str">
        <x:f>IF(COUNTA(A521:F521)=0,"",COUNTIFS('External Data'!$L$2:$L$1001,SUBSTITUTE(SUBSTITUTE(SUBSTITUTE(L521,"~","~~"),"*","~*"),"?","~?")))</x:f>
      </x:c>
      <x:c r="I521" s="13" t="str">
        <x:f>IF(OR(H521&lt;&gt;1,G521&lt;&gt;1),"",SUMIFS('External Data'!$E$2:$E$1001,'External Data'!$L$2:$L$1001,SUBSTITUTE(SUBSTITUTE(SUBSTITUTE(L521,"~","~~"),"*","~*"),"?","~?")))</x:f>
      </x:c>
      <x:c r="J521" s="13" t="str">
        <x:f>IF(OR(NOT(ISNUMBER(E521)),NOT(ISNUMBER(I521))),"",ROUND(E521-I521,2))</x:f>
      </x:c>
      <x:c r="K521" s="2" t="str">
        <x:f>IF(COUNTA(A521:F521)=0,"",IF(OR(A521="",B521="",C521="",D521="",NOT(ISNUMBER(E521))),"Missing / invalid input",IF(G521&gt;1,"Duplicate key in this source",IF(H521=0,"Missing in other source",IF(H521&gt;1,"Duplicate in other source",IF(SUMIFS('External Data'!$M$2:$M$1001,'External Data'!$L$2:$L$1001,SUBSTITUTE(SUBSTITUTE(SUBSTITUTE(L521,"~","~~"),"*","~*"),"?","~?"))&lt;&gt;1,"Other amount is invalid",IF(J521&lt;&gt;0,"Amount differs","Matched")))))))</x:f>
      </x:c>
      <x:c r="L521" t="str">
        <x:f>IF(COUNTA(A521:F521)=0,"",LEN(A521)&amp;":"&amp;A521&amp;LEN(B521)&amp;":"&amp;B521&amp;LEN(C521)&amp;":"&amp;C521&amp;LEN(D521)&amp;":"&amp;D521)</x:f>
      </x:c>
      <x:c r="M521" t="str">
        <x:f>IF(COUNTA(A521:F521)=0,"",IF(ISNUMBER(E521),1,0))</x:f>
      </x:c>
    </x:row>
    <x:row r="522">
      <x:c r="A522" s="11"/>
      <x:c r="B522" s="11"/>
      <x:c r="C522" s="11"/>
      <x:c r="D522" s="11"/>
      <x:c r="E522" s="12"/>
      <x:c r="F522" s="10"/>
      <x:c r="G522" s="2" t="str">
        <x:f>IF(COUNTA(A522:F522)=0,"",COUNTIFS('App Data'!$L$2:$L$1001,SUBSTITUTE(SUBSTITUTE(SUBSTITUTE(L522,"~","~~"),"*","~*"),"?","~?")))</x:f>
      </x:c>
      <x:c r="H522" s="2" t="str">
        <x:f>IF(COUNTA(A522:F522)=0,"",COUNTIFS('External Data'!$L$2:$L$1001,SUBSTITUTE(SUBSTITUTE(SUBSTITUTE(L522,"~","~~"),"*","~*"),"?","~?")))</x:f>
      </x:c>
      <x:c r="I522" s="13" t="str">
        <x:f>IF(OR(H522&lt;&gt;1,G522&lt;&gt;1),"",SUMIFS('External Data'!$E$2:$E$1001,'External Data'!$L$2:$L$1001,SUBSTITUTE(SUBSTITUTE(SUBSTITUTE(L522,"~","~~"),"*","~*"),"?","~?")))</x:f>
      </x:c>
      <x:c r="J522" s="13" t="str">
        <x:f>IF(OR(NOT(ISNUMBER(E522)),NOT(ISNUMBER(I522))),"",ROUND(E522-I522,2))</x:f>
      </x:c>
      <x:c r="K522" s="2" t="str">
        <x:f>IF(COUNTA(A522:F522)=0,"",IF(OR(A522="",B522="",C522="",D522="",NOT(ISNUMBER(E522))),"Missing / invalid input",IF(G522&gt;1,"Duplicate key in this source",IF(H522=0,"Missing in other source",IF(H522&gt;1,"Duplicate in other source",IF(SUMIFS('External Data'!$M$2:$M$1001,'External Data'!$L$2:$L$1001,SUBSTITUTE(SUBSTITUTE(SUBSTITUTE(L522,"~","~~"),"*","~*"),"?","~?"))&lt;&gt;1,"Other amount is invalid",IF(J522&lt;&gt;0,"Amount differs","Matched")))))))</x:f>
      </x:c>
      <x:c r="L522" t="str">
        <x:f>IF(COUNTA(A522:F522)=0,"",LEN(A522)&amp;":"&amp;A522&amp;LEN(B522)&amp;":"&amp;B522&amp;LEN(C522)&amp;":"&amp;C522&amp;LEN(D522)&amp;":"&amp;D522)</x:f>
      </x:c>
      <x:c r="M522" t="str">
        <x:f>IF(COUNTA(A522:F522)=0,"",IF(ISNUMBER(E522),1,0))</x:f>
      </x:c>
    </x:row>
    <x:row r="523">
      <x:c r="A523" s="11"/>
      <x:c r="B523" s="11"/>
      <x:c r="C523" s="11"/>
      <x:c r="D523" s="11"/>
      <x:c r="E523" s="12"/>
      <x:c r="F523" s="10"/>
      <x:c r="G523" s="2" t="str">
        <x:f>IF(COUNTA(A523:F523)=0,"",COUNTIFS('App Data'!$L$2:$L$1001,SUBSTITUTE(SUBSTITUTE(SUBSTITUTE(L523,"~","~~"),"*","~*"),"?","~?")))</x:f>
      </x:c>
      <x:c r="H523" s="2" t="str">
        <x:f>IF(COUNTA(A523:F523)=0,"",COUNTIFS('External Data'!$L$2:$L$1001,SUBSTITUTE(SUBSTITUTE(SUBSTITUTE(L523,"~","~~"),"*","~*"),"?","~?")))</x:f>
      </x:c>
      <x:c r="I523" s="13" t="str">
        <x:f>IF(OR(H523&lt;&gt;1,G523&lt;&gt;1),"",SUMIFS('External Data'!$E$2:$E$1001,'External Data'!$L$2:$L$1001,SUBSTITUTE(SUBSTITUTE(SUBSTITUTE(L523,"~","~~"),"*","~*"),"?","~?")))</x:f>
      </x:c>
      <x:c r="J523" s="13" t="str">
        <x:f>IF(OR(NOT(ISNUMBER(E523)),NOT(ISNUMBER(I523))),"",ROUND(E523-I523,2))</x:f>
      </x:c>
      <x:c r="K523" s="2" t="str">
        <x:f>IF(COUNTA(A523:F523)=0,"",IF(OR(A523="",B523="",C523="",D523="",NOT(ISNUMBER(E523))),"Missing / invalid input",IF(G523&gt;1,"Duplicate key in this source",IF(H523=0,"Missing in other source",IF(H523&gt;1,"Duplicate in other source",IF(SUMIFS('External Data'!$M$2:$M$1001,'External Data'!$L$2:$L$1001,SUBSTITUTE(SUBSTITUTE(SUBSTITUTE(L523,"~","~~"),"*","~*"),"?","~?"))&lt;&gt;1,"Other amount is invalid",IF(J523&lt;&gt;0,"Amount differs","Matched")))))))</x:f>
      </x:c>
      <x:c r="L523" t="str">
        <x:f>IF(COUNTA(A523:F523)=0,"",LEN(A523)&amp;":"&amp;A523&amp;LEN(B523)&amp;":"&amp;B523&amp;LEN(C523)&amp;":"&amp;C523&amp;LEN(D523)&amp;":"&amp;D523)</x:f>
      </x:c>
      <x:c r="M523" t="str">
        <x:f>IF(COUNTA(A523:F523)=0,"",IF(ISNUMBER(E523),1,0))</x:f>
      </x:c>
    </x:row>
    <x:row r="524">
      <x:c r="A524" s="11"/>
      <x:c r="B524" s="11"/>
      <x:c r="C524" s="11"/>
      <x:c r="D524" s="11"/>
      <x:c r="E524" s="12"/>
      <x:c r="F524" s="10"/>
      <x:c r="G524" s="2" t="str">
        <x:f>IF(COUNTA(A524:F524)=0,"",COUNTIFS('App Data'!$L$2:$L$1001,SUBSTITUTE(SUBSTITUTE(SUBSTITUTE(L524,"~","~~"),"*","~*"),"?","~?")))</x:f>
      </x:c>
      <x:c r="H524" s="2" t="str">
        <x:f>IF(COUNTA(A524:F524)=0,"",COUNTIFS('External Data'!$L$2:$L$1001,SUBSTITUTE(SUBSTITUTE(SUBSTITUTE(L524,"~","~~"),"*","~*"),"?","~?")))</x:f>
      </x:c>
      <x:c r="I524" s="13" t="str">
        <x:f>IF(OR(H524&lt;&gt;1,G524&lt;&gt;1),"",SUMIFS('External Data'!$E$2:$E$1001,'External Data'!$L$2:$L$1001,SUBSTITUTE(SUBSTITUTE(SUBSTITUTE(L524,"~","~~"),"*","~*"),"?","~?")))</x:f>
      </x:c>
      <x:c r="J524" s="13" t="str">
        <x:f>IF(OR(NOT(ISNUMBER(E524)),NOT(ISNUMBER(I524))),"",ROUND(E524-I524,2))</x:f>
      </x:c>
      <x:c r="K524" s="2" t="str">
        <x:f>IF(COUNTA(A524:F524)=0,"",IF(OR(A524="",B524="",C524="",D524="",NOT(ISNUMBER(E524))),"Missing / invalid input",IF(G524&gt;1,"Duplicate key in this source",IF(H524=0,"Missing in other source",IF(H524&gt;1,"Duplicate in other source",IF(SUMIFS('External Data'!$M$2:$M$1001,'External Data'!$L$2:$L$1001,SUBSTITUTE(SUBSTITUTE(SUBSTITUTE(L524,"~","~~"),"*","~*"),"?","~?"))&lt;&gt;1,"Other amount is invalid",IF(J524&lt;&gt;0,"Amount differs","Matched")))))))</x:f>
      </x:c>
      <x:c r="L524" t="str">
        <x:f>IF(COUNTA(A524:F524)=0,"",LEN(A524)&amp;":"&amp;A524&amp;LEN(B524)&amp;":"&amp;B524&amp;LEN(C524)&amp;":"&amp;C524&amp;LEN(D524)&amp;":"&amp;D524)</x:f>
      </x:c>
      <x:c r="M524" t="str">
        <x:f>IF(COUNTA(A524:F524)=0,"",IF(ISNUMBER(E524),1,0))</x:f>
      </x:c>
    </x:row>
    <x:row r="525">
      <x:c r="A525" s="11"/>
      <x:c r="B525" s="11"/>
      <x:c r="C525" s="11"/>
      <x:c r="D525" s="11"/>
      <x:c r="E525" s="12"/>
      <x:c r="F525" s="10"/>
      <x:c r="G525" s="2" t="str">
        <x:f>IF(COUNTA(A525:F525)=0,"",COUNTIFS('App Data'!$L$2:$L$1001,SUBSTITUTE(SUBSTITUTE(SUBSTITUTE(L525,"~","~~"),"*","~*"),"?","~?")))</x:f>
      </x:c>
      <x:c r="H525" s="2" t="str">
        <x:f>IF(COUNTA(A525:F525)=0,"",COUNTIFS('External Data'!$L$2:$L$1001,SUBSTITUTE(SUBSTITUTE(SUBSTITUTE(L525,"~","~~"),"*","~*"),"?","~?")))</x:f>
      </x:c>
      <x:c r="I525" s="13" t="str">
        <x:f>IF(OR(H525&lt;&gt;1,G525&lt;&gt;1),"",SUMIFS('External Data'!$E$2:$E$1001,'External Data'!$L$2:$L$1001,SUBSTITUTE(SUBSTITUTE(SUBSTITUTE(L525,"~","~~"),"*","~*"),"?","~?")))</x:f>
      </x:c>
      <x:c r="J525" s="13" t="str">
        <x:f>IF(OR(NOT(ISNUMBER(E525)),NOT(ISNUMBER(I525))),"",ROUND(E525-I525,2))</x:f>
      </x:c>
      <x:c r="K525" s="2" t="str">
        <x:f>IF(COUNTA(A525:F525)=0,"",IF(OR(A525="",B525="",C525="",D525="",NOT(ISNUMBER(E525))),"Missing / invalid input",IF(G525&gt;1,"Duplicate key in this source",IF(H525=0,"Missing in other source",IF(H525&gt;1,"Duplicate in other source",IF(SUMIFS('External Data'!$M$2:$M$1001,'External Data'!$L$2:$L$1001,SUBSTITUTE(SUBSTITUTE(SUBSTITUTE(L525,"~","~~"),"*","~*"),"?","~?"))&lt;&gt;1,"Other amount is invalid",IF(J525&lt;&gt;0,"Amount differs","Matched")))))))</x:f>
      </x:c>
      <x:c r="L525" t="str">
        <x:f>IF(COUNTA(A525:F525)=0,"",LEN(A525)&amp;":"&amp;A525&amp;LEN(B525)&amp;":"&amp;B525&amp;LEN(C525)&amp;":"&amp;C525&amp;LEN(D525)&amp;":"&amp;D525)</x:f>
      </x:c>
      <x:c r="M525" t="str">
        <x:f>IF(COUNTA(A525:F525)=0,"",IF(ISNUMBER(E525),1,0))</x:f>
      </x:c>
    </x:row>
    <x:row r="526">
      <x:c r="A526" s="11"/>
      <x:c r="B526" s="11"/>
      <x:c r="C526" s="11"/>
      <x:c r="D526" s="11"/>
      <x:c r="E526" s="12"/>
      <x:c r="F526" s="10"/>
      <x:c r="G526" s="2" t="str">
        <x:f>IF(COUNTA(A526:F526)=0,"",COUNTIFS('App Data'!$L$2:$L$1001,SUBSTITUTE(SUBSTITUTE(SUBSTITUTE(L526,"~","~~"),"*","~*"),"?","~?")))</x:f>
      </x:c>
      <x:c r="H526" s="2" t="str">
        <x:f>IF(COUNTA(A526:F526)=0,"",COUNTIFS('External Data'!$L$2:$L$1001,SUBSTITUTE(SUBSTITUTE(SUBSTITUTE(L526,"~","~~"),"*","~*"),"?","~?")))</x:f>
      </x:c>
      <x:c r="I526" s="13" t="str">
        <x:f>IF(OR(H526&lt;&gt;1,G526&lt;&gt;1),"",SUMIFS('External Data'!$E$2:$E$1001,'External Data'!$L$2:$L$1001,SUBSTITUTE(SUBSTITUTE(SUBSTITUTE(L526,"~","~~"),"*","~*"),"?","~?")))</x:f>
      </x:c>
      <x:c r="J526" s="13" t="str">
        <x:f>IF(OR(NOT(ISNUMBER(E526)),NOT(ISNUMBER(I526))),"",ROUND(E526-I526,2))</x:f>
      </x:c>
      <x:c r="K526" s="2" t="str">
        <x:f>IF(COUNTA(A526:F526)=0,"",IF(OR(A526="",B526="",C526="",D526="",NOT(ISNUMBER(E526))),"Missing / invalid input",IF(G526&gt;1,"Duplicate key in this source",IF(H526=0,"Missing in other source",IF(H526&gt;1,"Duplicate in other source",IF(SUMIFS('External Data'!$M$2:$M$1001,'External Data'!$L$2:$L$1001,SUBSTITUTE(SUBSTITUTE(SUBSTITUTE(L526,"~","~~"),"*","~*"),"?","~?"))&lt;&gt;1,"Other amount is invalid",IF(J526&lt;&gt;0,"Amount differs","Matched")))))))</x:f>
      </x:c>
      <x:c r="L526" t="str">
        <x:f>IF(COUNTA(A526:F526)=0,"",LEN(A526)&amp;":"&amp;A526&amp;LEN(B526)&amp;":"&amp;B526&amp;LEN(C526)&amp;":"&amp;C526&amp;LEN(D526)&amp;":"&amp;D526)</x:f>
      </x:c>
      <x:c r="M526" t="str">
        <x:f>IF(COUNTA(A526:F526)=0,"",IF(ISNUMBER(E526),1,0))</x:f>
      </x:c>
    </x:row>
    <x:row r="527">
      <x:c r="A527" s="11"/>
      <x:c r="B527" s="11"/>
      <x:c r="C527" s="11"/>
      <x:c r="D527" s="11"/>
      <x:c r="E527" s="12"/>
      <x:c r="F527" s="10"/>
      <x:c r="G527" s="2" t="str">
        <x:f>IF(COUNTA(A527:F527)=0,"",COUNTIFS('App Data'!$L$2:$L$1001,SUBSTITUTE(SUBSTITUTE(SUBSTITUTE(L527,"~","~~"),"*","~*"),"?","~?")))</x:f>
      </x:c>
      <x:c r="H527" s="2" t="str">
        <x:f>IF(COUNTA(A527:F527)=0,"",COUNTIFS('External Data'!$L$2:$L$1001,SUBSTITUTE(SUBSTITUTE(SUBSTITUTE(L527,"~","~~"),"*","~*"),"?","~?")))</x:f>
      </x:c>
      <x:c r="I527" s="13" t="str">
        <x:f>IF(OR(H527&lt;&gt;1,G527&lt;&gt;1),"",SUMIFS('External Data'!$E$2:$E$1001,'External Data'!$L$2:$L$1001,SUBSTITUTE(SUBSTITUTE(SUBSTITUTE(L527,"~","~~"),"*","~*"),"?","~?")))</x:f>
      </x:c>
      <x:c r="J527" s="13" t="str">
        <x:f>IF(OR(NOT(ISNUMBER(E527)),NOT(ISNUMBER(I527))),"",ROUND(E527-I527,2))</x:f>
      </x:c>
      <x:c r="K527" s="2" t="str">
        <x:f>IF(COUNTA(A527:F527)=0,"",IF(OR(A527="",B527="",C527="",D527="",NOT(ISNUMBER(E527))),"Missing / invalid input",IF(G527&gt;1,"Duplicate key in this source",IF(H527=0,"Missing in other source",IF(H527&gt;1,"Duplicate in other source",IF(SUMIFS('External Data'!$M$2:$M$1001,'External Data'!$L$2:$L$1001,SUBSTITUTE(SUBSTITUTE(SUBSTITUTE(L527,"~","~~"),"*","~*"),"?","~?"))&lt;&gt;1,"Other amount is invalid",IF(J527&lt;&gt;0,"Amount differs","Matched")))))))</x:f>
      </x:c>
      <x:c r="L527" t="str">
        <x:f>IF(COUNTA(A527:F527)=0,"",LEN(A527)&amp;":"&amp;A527&amp;LEN(B527)&amp;":"&amp;B527&amp;LEN(C527)&amp;":"&amp;C527&amp;LEN(D527)&amp;":"&amp;D527)</x:f>
      </x:c>
      <x:c r="M527" t="str">
        <x:f>IF(COUNTA(A527:F527)=0,"",IF(ISNUMBER(E527),1,0))</x:f>
      </x:c>
    </x:row>
    <x:row r="528">
      <x:c r="A528" s="11"/>
      <x:c r="B528" s="11"/>
      <x:c r="C528" s="11"/>
      <x:c r="D528" s="11"/>
      <x:c r="E528" s="12"/>
      <x:c r="F528" s="10"/>
      <x:c r="G528" s="2" t="str">
        <x:f>IF(COUNTA(A528:F528)=0,"",COUNTIFS('App Data'!$L$2:$L$1001,SUBSTITUTE(SUBSTITUTE(SUBSTITUTE(L528,"~","~~"),"*","~*"),"?","~?")))</x:f>
      </x:c>
      <x:c r="H528" s="2" t="str">
        <x:f>IF(COUNTA(A528:F528)=0,"",COUNTIFS('External Data'!$L$2:$L$1001,SUBSTITUTE(SUBSTITUTE(SUBSTITUTE(L528,"~","~~"),"*","~*"),"?","~?")))</x:f>
      </x:c>
      <x:c r="I528" s="13" t="str">
        <x:f>IF(OR(H528&lt;&gt;1,G528&lt;&gt;1),"",SUMIFS('External Data'!$E$2:$E$1001,'External Data'!$L$2:$L$1001,SUBSTITUTE(SUBSTITUTE(SUBSTITUTE(L528,"~","~~"),"*","~*"),"?","~?")))</x:f>
      </x:c>
      <x:c r="J528" s="13" t="str">
        <x:f>IF(OR(NOT(ISNUMBER(E528)),NOT(ISNUMBER(I528))),"",ROUND(E528-I528,2))</x:f>
      </x:c>
      <x:c r="K528" s="2" t="str">
        <x:f>IF(COUNTA(A528:F528)=0,"",IF(OR(A528="",B528="",C528="",D528="",NOT(ISNUMBER(E528))),"Missing / invalid input",IF(G528&gt;1,"Duplicate key in this source",IF(H528=0,"Missing in other source",IF(H528&gt;1,"Duplicate in other source",IF(SUMIFS('External Data'!$M$2:$M$1001,'External Data'!$L$2:$L$1001,SUBSTITUTE(SUBSTITUTE(SUBSTITUTE(L528,"~","~~"),"*","~*"),"?","~?"))&lt;&gt;1,"Other amount is invalid",IF(J528&lt;&gt;0,"Amount differs","Matched")))))))</x:f>
      </x:c>
      <x:c r="L528" t="str">
        <x:f>IF(COUNTA(A528:F528)=0,"",LEN(A528)&amp;":"&amp;A528&amp;LEN(B528)&amp;":"&amp;B528&amp;LEN(C528)&amp;":"&amp;C528&amp;LEN(D528)&amp;":"&amp;D528)</x:f>
      </x:c>
      <x:c r="M528" t="str">
        <x:f>IF(COUNTA(A528:F528)=0,"",IF(ISNUMBER(E528),1,0))</x:f>
      </x:c>
    </x:row>
    <x:row r="529">
      <x:c r="A529" s="11"/>
      <x:c r="B529" s="11"/>
      <x:c r="C529" s="11"/>
      <x:c r="D529" s="11"/>
      <x:c r="E529" s="12"/>
      <x:c r="F529" s="10"/>
      <x:c r="G529" s="2" t="str">
        <x:f>IF(COUNTA(A529:F529)=0,"",COUNTIFS('App Data'!$L$2:$L$1001,SUBSTITUTE(SUBSTITUTE(SUBSTITUTE(L529,"~","~~"),"*","~*"),"?","~?")))</x:f>
      </x:c>
      <x:c r="H529" s="2" t="str">
        <x:f>IF(COUNTA(A529:F529)=0,"",COUNTIFS('External Data'!$L$2:$L$1001,SUBSTITUTE(SUBSTITUTE(SUBSTITUTE(L529,"~","~~"),"*","~*"),"?","~?")))</x:f>
      </x:c>
      <x:c r="I529" s="13" t="str">
        <x:f>IF(OR(H529&lt;&gt;1,G529&lt;&gt;1),"",SUMIFS('External Data'!$E$2:$E$1001,'External Data'!$L$2:$L$1001,SUBSTITUTE(SUBSTITUTE(SUBSTITUTE(L529,"~","~~"),"*","~*"),"?","~?")))</x:f>
      </x:c>
      <x:c r="J529" s="13" t="str">
        <x:f>IF(OR(NOT(ISNUMBER(E529)),NOT(ISNUMBER(I529))),"",ROUND(E529-I529,2))</x:f>
      </x:c>
      <x:c r="K529" s="2" t="str">
        <x:f>IF(COUNTA(A529:F529)=0,"",IF(OR(A529="",B529="",C529="",D529="",NOT(ISNUMBER(E529))),"Missing / invalid input",IF(G529&gt;1,"Duplicate key in this source",IF(H529=0,"Missing in other source",IF(H529&gt;1,"Duplicate in other source",IF(SUMIFS('External Data'!$M$2:$M$1001,'External Data'!$L$2:$L$1001,SUBSTITUTE(SUBSTITUTE(SUBSTITUTE(L529,"~","~~"),"*","~*"),"?","~?"))&lt;&gt;1,"Other amount is invalid",IF(J529&lt;&gt;0,"Amount differs","Matched")))))))</x:f>
      </x:c>
      <x:c r="L529" t="str">
        <x:f>IF(COUNTA(A529:F529)=0,"",LEN(A529)&amp;":"&amp;A529&amp;LEN(B529)&amp;":"&amp;B529&amp;LEN(C529)&amp;":"&amp;C529&amp;LEN(D529)&amp;":"&amp;D529)</x:f>
      </x:c>
      <x:c r="M529" t="str">
        <x:f>IF(COUNTA(A529:F529)=0,"",IF(ISNUMBER(E529),1,0))</x:f>
      </x:c>
    </x:row>
    <x:row r="530">
      <x:c r="A530" s="11"/>
      <x:c r="B530" s="11"/>
      <x:c r="C530" s="11"/>
      <x:c r="D530" s="11"/>
      <x:c r="E530" s="12"/>
      <x:c r="F530" s="10"/>
      <x:c r="G530" s="2" t="str">
        <x:f>IF(COUNTA(A530:F530)=0,"",COUNTIFS('App Data'!$L$2:$L$1001,SUBSTITUTE(SUBSTITUTE(SUBSTITUTE(L530,"~","~~"),"*","~*"),"?","~?")))</x:f>
      </x:c>
      <x:c r="H530" s="2" t="str">
        <x:f>IF(COUNTA(A530:F530)=0,"",COUNTIFS('External Data'!$L$2:$L$1001,SUBSTITUTE(SUBSTITUTE(SUBSTITUTE(L530,"~","~~"),"*","~*"),"?","~?")))</x:f>
      </x:c>
      <x:c r="I530" s="13" t="str">
        <x:f>IF(OR(H530&lt;&gt;1,G530&lt;&gt;1),"",SUMIFS('External Data'!$E$2:$E$1001,'External Data'!$L$2:$L$1001,SUBSTITUTE(SUBSTITUTE(SUBSTITUTE(L530,"~","~~"),"*","~*"),"?","~?")))</x:f>
      </x:c>
      <x:c r="J530" s="13" t="str">
        <x:f>IF(OR(NOT(ISNUMBER(E530)),NOT(ISNUMBER(I530))),"",ROUND(E530-I530,2))</x:f>
      </x:c>
      <x:c r="K530" s="2" t="str">
        <x:f>IF(COUNTA(A530:F530)=0,"",IF(OR(A530="",B530="",C530="",D530="",NOT(ISNUMBER(E530))),"Missing / invalid input",IF(G530&gt;1,"Duplicate key in this source",IF(H530=0,"Missing in other source",IF(H530&gt;1,"Duplicate in other source",IF(SUMIFS('External Data'!$M$2:$M$1001,'External Data'!$L$2:$L$1001,SUBSTITUTE(SUBSTITUTE(SUBSTITUTE(L530,"~","~~"),"*","~*"),"?","~?"))&lt;&gt;1,"Other amount is invalid",IF(J530&lt;&gt;0,"Amount differs","Matched")))))))</x:f>
      </x:c>
      <x:c r="L530" t="str">
        <x:f>IF(COUNTA(A530:F530)=0,"",LEN(A530)&amp;":"&amp;A530&amp;LEN(B530)&amp;":"&amp;B530&amp;LEN(C530)&amp;":"&amp;C530&amp;LEN(D530)&amp;":"&amp;D530)</x:f>
      </x:c>
      <x:c r="M530" t="str">
        <x:f>IF(COUNTA(A530:F530)=0,"",IF(ISNUMBER(E530),1,0))</x:f>
      </x:c>
    </x:row>
    <x:row r="531">
      <x:c r="A531" s="11"/>
      <x:c r="B531" s="11"/>
      <x:c r="C531" s="11"/>
      <x:c r="D531" s="11"/>
      <x:c r="E531" s="12"/>
      <x:c r="F531" s="10"/>
      <x:c r="G531" s="2" t="str">
        <x:f>IF(COUNTA(A531:F531)=0,"",COUNTIFS('App Data'!$L$2:$L$1001,SUBSTITUTE(SUBSTITUTE(SUBSTITUTE(L531,"~","~~"),"*","~*"),"?","~?")))</x:f>
      </x:c>
      <x:c r="H531" s="2" t="str">
        <x:f>IF(COUNTA(A531:F531)=0,"",COUNTIFS('External Data'!$L$2:$L$1001,SUBSTITUTE(SUBSTITUTE(SUBSTITUTE(L531,"~","~~"),"*","~*"),"?","~?")))</x:f>
      </x:c>
      <x:c r="I531" s="13" t="str">
        <x:f>IF(OR(H531&lt;&gt;1,G531&lt;&gt;1),"",SUMIFS('External Data'!$E$2:$E$1001,'External Data'!$L$2:$L$1001,SUBSTITUTE(SUBSTITUTE(SUBSTITUTE(L531,"~","~~"),"*","~*"),"?","~?")))</x:f>
      </x:c>
      <x:c r="J531" s="13" t="str">
        <x:f>IF(OR(NOT(ISNUMBER(E531)),NOT(ISNUMBER(I531))),"",ROUND(E531-I531,2))</x:f>
      </x:c>
      <x:c r="K531" s="2" t="str">
        <x:f>IF(COUNTA(A531:F531)=0,"",IF(OR(A531="",B531="",C531="",D531="",NOT(ISNUMBER(E531))),"Missing / invalid input",IF(G531&gt;1,"Duplicate key in this source",IF(H531=0,"Missing in other source",IF(H531&gt;1,"Duplicate in other source",IF(SUMIFS('External Data'!$M$2:$M$1001,'External Data'!$L$2:$L$1001,SUBSTITUTE(SUBSTITUTE(SUBSTITUTE(L531,"~","~~"),"*","~*"),"?","~?"))&lt;&gt;1,"Other amount is invalid",IF(J531&lt;&gt;0,"Amount differs","Matched")))))))</x:f>
      </x:c>
      <x:c r="L531" t="str">
        <x:f>IF(COUNTA(A531:F531)=0,"",LEN(A531)&amp;":"&amp;A531&amp;LEN(B531)&amp;":"&amp;B531&amp;LEN(C531)&amp;":"&amp;C531&amp;LEN(D531)&amp;":"&amp;D531)</x:f>
      </x:c>
      <x:c r="M531" t="str">
        <x:f>IF(COUNTA(A531:F531)=0,"",IF(ISNUMBER(E531),1,0))</x:f>
      </x:c>
    </x:row>
    <x:row r="532">
      <x:c r="A532" s="11"/>
      <x:c r="B532" s="11"/>
      <x:c r="C532" s="11"/>
      <x:c r="D532" s="11"/>
      <x:c r="E532" s="12"/>
      <x:c r="F532" s="10"/>
      <x:c r="G532" s="2" t="str">
        <x:f>IF(COUNTA(A532:F532)=0,"",COUNTIFS('App Data'!$L$2:$L$1001,SUBSTITUTE(SUBSTITUTE(SUBSTITUTE(L532,"~","~~"),"*","~*"),"?","~?")))</x:f>
      </x:c>
      <x:c r="H532" s="2" t="str">
        <x:f>IF(COUNTA(A532:F532)=0,"",COUNTIFS('External Data'!$L$2:$L$1001,SUBSTITUTE(SUBSTITUTE(SUBSTITUTE(L532,"~","~~"),"*","~*"),"?","~?")))</x:f>
      </x:c>
      <x:c r="I532" s="13" t="str">
        <x:f>IF(OR(H532&lt;&gt;1,G532&lt;&gt;1),"",SUMIFS('External Data'!$E$2:$E$1001,'External Data'!$L$2:$L$1001,SUBSTITUTE(SUBSTITUTE(SUBSTITUTE(L532,"~","~~"),"*","~*"),"?","~?")))</x:f>
      </x:c>
      <x:c r="J532" s="13" t="str">
        <x:f>IF(OR(NOT(ISNUMBER(E532)),NOT(ISNUMBER(I532))),"",ROUND(E532-I532,2))</x:f>
      </x:c>
      <x:c r="K532" s="2" t="str">
        <x:f>IF(COUNTA(A532:F532)=0,"",IF(OR(A532="",B532="",C532="",D532="",NOT(ISNUMBER(E532))),"Missing / invalid input",IF(G532&gt;1,"Duplicate key in this source",IF(H532=0,"Missing in other source",IF(H532&gt;1,"Duplicate in other source",IF(SUMIFS('External Data'!$M$2:$M$1001,'External Data'!$L$2:$L$1001,SUBSTITUTE(SUBSTITUTE(SUBSTITUTE(L532,"~","~~"),"*","~*"),"?","~?"))&lt;&gt;1,"Other amount is invalid",IF(J532&lt;&gt;0,"Amount differs","Matched")))))))</x:f>
      </x:c>
      <x:c r="L532" t="str">
        <x:f>IF(COUNTA(A532:F532)=0,"",LEN(A532)&amp;":"&amp;A532&amp;LEN(B532)&amp;":"&amp;B532&amp;LEN(C532)&amp;":"&amp;C532&amp;LEN(D532)&amp;":"&amp;D532)</x:f>
      </x:c>
      <x:c r="M532" t="str">
        <x:f>IF(COUNTA(A532:F532)=0,"",IF(ISNUMBER(E532),1,0))</x:f>
      </x:c>
    </x:row>
    <x:row r="533">
      <x:c r="A533" s="11"/>
      <x:c r="B533" s="11"/>
      <x:c r="C533" s="11"/>
      <x:c r="D533" s="11"/>
      <x:c r="E533" s="12"/>
      <x:c r="F533" s="10"/>
      <x:c r="G533" s="2" t="str">
        <x:f>IF(COUNTA(A533:F533)=0,"",COUNTIFS('App Data'!$L$2:$L$1001,SUBSTITUTE(SUBSTITUTE(SUBSTITUTE(L533,"~","~~"),"*","~*"),"?","~?")))</x:f>
      </x:c>
      <x:c r="H533" s="2" t="str">
        <x:f>IF(COUNTA(A533:F533)=0,"",COUNTIFS('External Data'!$L$2:$L$1001,SUBSTITUTE(SUBSTITUTE(SUBSTITUTE(L533,"~","~~"),"*","~*"),"?","~?")))</x:f>
      </x:c>
      <x:c r="I533" s="13" t="str">
        <x:f>IF(OR(H533&lt;&gt;1,G533&lt;&gt;1),"",SUMIFS('External Data'!$E$2:$E$1001,'External Data'!$L$2:$L$1001,SUBSTITUTE(SUBSTITUTE(SUBSTITUTE(L533,"~","~~"),"*","~*"),"?","~?")))</x:f>
      </x:c>
      <x:c r="J533" s="13" t="str">
        <x:f>IF(OR(NOT(ISNUMBER(E533)),NOT(ISNUMBER(I533))),"",ROUND(E533-I533,2))</x:f>
      </x:c>
      <x:c r="K533" s="2" t="str">
        <x:f>IF(COUNTA(A533:F533)=0,"",IF(OR(A533="",B533="",C533="",D533="",NOT(ISNUMBER(E533))),"Missing / invalid input",IF(G533&gt;1,"Duplicate key in this source",IF(H533=0,"Missing in other source",IF(H533&gt;1,"Duplicate in other source",IF(SUMIFS('External Data'!$M$2:$M$1001,'External Data'!$L$2:$L$1001,SUBSTITUTE(SUBSTITUTE(SUBSTITUTE(L533,"~","~~"),"*","~*"),"?","~?"))&lt;&gt;1,"Other amount is invalid",IF(J533&lt;&gt;0,"Amount differs","Matched")))))))</x:f>
      </x:c>
      <x:c r="L533" t="str">
        <x:f>IF(COUNTA(A533:F533)=0,"",LEN(A533)&amp;":"&amp;A533&amp;LEN(B533)&amp;":"&amp;B533&amp;LEN(C533)&amp;":"&amp;C533&amp;LEN(D533)&amp;":"&amp;D533)</x:f>
      </x:c>
      <x:c r="M533" t="str">
        <x:f>IF(COUNTA(A533:F533)=0,"",IF(ISNUMBER(E533),1,0))</x:f>
      </x:c>
    </x:row>
    <x:row r="534">
      <x:c r="A534" s="11"/>
      <x:c r="B534" s="11"/>
      <x:c r="C534" s="11"/>
      <x:c r="D534" s="11"/>
      <x:c r="E534" s="12"/>
      <x:c r="F534" s="10"/>
      <x:c r="G534" s="2" t="str">
        <x:f>IF(COUNTA(A534:F534)=0,"",COUNTIFS('App Data'!$L$2:$L$1001,SUBSTITUTE(SUBSTITUTE(SUBSTITUTE(L534,"~","~~"),"*","~*"),"?","~?")))</x:f>
      </x:c>
      <x:c r="H534" s="2" t="str">
        <x:f>IF(COUNTA(A534:F534)=0,"",COUNTIFS('External Data'!$L$2:$L$1001,SUBSTITUTE(SUBSTITUTE(SUBSTITUTE(L534,"~","~~"),"*","~*"),"?","~?")))</x:f>
      </x:c>
      <x:c r="I534" s="13" t="str">
        <x:f>IF(OR(H534&lt;&gt;1,G534&lt;&gt;1),"",SUMIFS('External Data'!$E$2:$E$1001,'External Data'!$L$2:$L$1001,SUBSTITUTE(SUBSTITUTE(SUBSTITUTE(L534,"~","~~"),"*","~*"),"?","~?")))</x:f>
      </x:c>
      <x:c r="J534" s="13" t="str">
        <x:f>IF(OR(NOT(ISNUMBER(E534)),NOT(ISNUMBER(I534))),"",ROUND(E534-I534,2))</x:f>
      </x:c>
      <x:c r="K534" s="2" t="str">
        <x:f>IF(COUNTA(A534:F534)=0,"",IF(OR(A534="",B534="",C534="",D534="",NOT(ISNUMBER(E534))),"Missing / invalid input",IF(G534&gt;1,"Duplicate key in this source",IF(H534=0,"Missing in other source",IF(H534&gt;1,"Duplicate in other source",IF(SUMIFS('External Data'!$M$2:$M$1001,'External Data'!$L$2:$L$1001,SUBSTITUTE(SUBSTITUTE(SUBSTITUTE(L534,"~","~~"),"*","~*"),"?","~?"))&lt;&gt;1,"Other amount is invalid",IF(J534&lt;&gt;0,"Amount differs","Matched")))))))</x:f>
      </x:c>
      <x:c r="L534" t="str">
        <x:f>IF(COUNTA(A534:F534)=0,"",LEN(A534)&amp;":"&amp;A534&amp;LEN(B534)&amp;":"&amp;B534&amp;LEN(C534)&amp;":"&amp;C534&amp;LEN(D534)&amp;":"&amp;D534)</x:f>
      </x:c>
      <x:c r="M534" t="str">
        <x:f>IF(COUNTA(A534:F534)=0,"",IF(ISNUMBER(E534),1,0))</x:f>
      </x:c>
    </x:row>
    <x:row r="535">
      <x:c r="A535" s="11"/>
      <x:c r="B535" s="11"/>
      <x:c r="C535" s="11"/>
      <x:c r="D535" s="11"/>
      <x:c r="E535" s="12"/>
      <x:c r="F535" s="10"/>
      <x:c r="G535" s="2" t="str">
        <x:f>IF(COUNTA(A535:F535)=0,"",COUNTIFS('App Data'!$L$2:$L$1001,SUBSTITUTE(SUBSTITUTE(SUBSTITUTE(L535,"~","~~"),"*","~*"),"?","~?")))</x:f>
      </x:c>
      <x:c r="H535" s="2" t="str">
        <x:f>IF(COUNTA(A535:F535)=0,"",COUNTIFS('External Data'!$L$2:$L$1001,SUBSTITUTE(SUBSTITUTE(SUBSTITUTE(L535,"~","~~"),"*","~*"),"?","~?")))</x:f>
      </x:c>
      <x:c r="I535" s="13" t="str">
        <x:f>IF(OR(H535&lt;&gt;1,G535&lt;&gt;1),"",SUMIFS('External Data'!$E$2:$E$1001,'External Data'!$L$2:$L$1001,SUBSTITUTE(SUBSTITUTE(SUBSTITUTE(L535,"~","~~"),"*","~*"),"?","~?")))</x:f>
      </x:c>
      <x:c r="J535" s="13" t="str">
        <x:f>IF(OR(NOT(ISNUMBER(E535)),NOT(ISNUMBER(I535))),"",ROUND(E535-I535,2))</x:f>
      </x:c>
      <x:c r="K535" s="2" t="str">
        <x:f>IF(COUNTA(A535:F535)=0,"",IF(OR(A535="",B535="",C535="",D535="",NOT(ISNUMBER(E535))),"Missing / invalid input",IF(G535&gt;1,"Duplicate key in this source",IF(H535=0,"Missing in other source",IF(H535&gt;1,"Duplicate in other source",IF(SUMIFS('External Data'!$M$2:$M$1001,'External Data'!$L$2:$L$1001,SUBSTITUTE(SUBSTITUTE(SUBSTITUTE(L535,"~","~~"),"*","~*"),"?","~?"))&lt;&gt;1,"Other amount is invalid",IF(J535&lt;&gt;0,"Amount differs","Matched")))))))</x:f>
      </x:c>
      <x:c r="L535" t="str">
        <x:f>IF(COUNTA(A535:F535)=0,"",LEN(A535)&amp;":"&amp;A535&amp;LEN(B535)&amp;":"&amp;B535&amp;LEN(C535)&amp;":"&amp;C535&amp;LEN(D535)&amp;":"&amp;D535)</x:f>
      </x:c>
      <x:c r="M535" t="str">
        <x:f>IF(COUNTA(A535:F535)=0,"",IF(ISNUMBER(E535),1,0))</x:f>
      </x:c>
    </x:row>
    <x:row r="536">
      <x:c r="A536" s="11"/>
      <x:c r="B536" s="11"/>
      <x:c r="C536" s="11"/>
      <x:c r="D536" s="11"/>
      <x:c r="E536" s="12"/>
      <x:c r="F536" s="10"/>
      <x:c r="G536" s="2" t="str">
        <x:f>IF(COUNTA(A536:F536)=0,"",COUNTIFS('App Data'!$L$2:$L$1001,SUBSTITUTE(SUBSTITUTE(SUBSTITUTE(L536,"~","~~"),"*","~*"),"?","~?")))</x:f>
      </x:c>
      <x:c r="H536" s="2" t="str">
        <x:f>IF(COUNTA(A536:F536)=0,"",COUNTIFS('External Data'!$L$2:$L$1001,SUBSTITUTE(SUBSTITUTE(SUBSTITUTE(L536,"~","~~"),"*","~*"),"?","~?")))</x:f>
      </x:c>
      <x:c r="I536" s="13" t="str">
        <x:f>IF(OR(H536&lt;&gt;1,G536&lt;&gt;1),"",SUMIFS('External Data'!$E$2:$E$1001,'External Data'!$L$2:$L$1001,SUBSTITUTE(SUBSTITUTE(SUBSTITUTE(L536,"~","~~"),"*","~*"),"?","~?")))</x:f>
      </x:c>
      <x:c r="J536" s="13" t="str">
        <x:f>IF(OR(NOT(ISNUMBER(E536)),NOT(ISNUMBER(I536))),"",ROUND(E536-I536,2))</x:f>
      </x:c>
      <x:c r="K536" s="2" t="str">
        <x:f>IF(COUNTA(A536:F536)=0,"",IF(OR(A536="",B536="",C536="",D536="",NOT(ISNUMBER(E536))),"Missing / invalid input",IF(G536&gt;1,"Duplicate key in this source",IF(H536=0,"Missing in other source",IF(H536&gt;1,"Duplicate in other source",IF(SUMIFS('External Data'!$M$2:$M$1001,'External Data'!$L$2:$L$1001,SUBSTITUTE(SUBSTITUTE(SUBSTITUTE(L536,"~","~~"),"*","~*"),"?","~?"))&lt;&gt;1,"Other amount is invalid",IF(J536&lt;&gt;0,"Amount differs","Matched")))))))</x:f>
      </x:c>
      <x:c r="L536" t="str">
        <x:f>IF(COUNTA(A536:F536)=0,"",LEN(A536)&amp;":"&amp;A536&amp;LEN(B536)&amp;":"&amp;B536&amp;LEN(C536)&amp;":"&amp;C536&amp;LEN(D536)&amp;":"&amp;D536)</x:f>
      </x:c>
      <x:c r="M536" t="str">
        <x:f>IF(COUNTA(A536:F536)=0,"",IF(ISNUMBER(E536),1,0))</x:f>
      </x:c>
    </x:row>
    <x:row r="537">
      <x:c r="A537" s="11"/>
      <x:c r="B537" s="11"/>
      <x:c r="C537" s="11"/>
      <x:c r="D537" s="11"/>
      <x:c r="E537" s="12"/>
      <x:c r="F537" s="10"/>
      <x:c r="G537" s="2" t="str">
        <x:f>IF(COUNTA(A537:F537)=0,"",COUNTIFS('App Data'!$L$2:$L$1001,SUBSTITUTE(SUBSTITUTE(SUBSTITUTE(L537,"~","~~"),"*","~*"),"?","~?")))</x:f>
      </x:c>
      <x:c r="H537" s="2" t="str">
        <x:f>IF(COUNTA(A537:F537)=0,"",COUNTIFS('External Data'!$L$2:$L$1001,SUBSTITUTE(SUBSTITUTE(SUBSTITUTE(L537,"~","~~"),"*","~*"),"?","~?")))</x:f>
      </x:c>
      <x:c r="I537" s="13" t="str">
        <x:f>IF(OR(H537&lt;&gt;1,G537&lt;&gt;1),"",SUMIFS('External Data'!$E$2:$E$1001,'External Data'!$L$2:$L$1001,SUBSTITUTE(SUBSTITUTE(SUBSTITUTE(L537,"~","~~"),"*","~*"),"?","~?")))</x:f>
      </x:c>
      <x:c r="J537" s="13" t="str">
        <x:f>IF(OR(NOT(ISNUMBER(E537)),NOT(ISNUMBER(I537))),"",ROUND(E537-I537,2))</x:f>
      </x:c>
      <x:c r="K537" s="2" t="str">
        <x:f>IF(COUNTA(A537:F537)=0,"",IF(OR(A537="",B537="",C537="",D537="",NOT(ISNUMBER(E537))),"Missing / invalid input",IF(G537&gt;1,"Duplicate key in this source",IF(H537=0,"Missing in other source",IF(H537&gt;1,"Duplicate in other source",IF(SUMIFS('External Data'!$M$2:$M$1001,'External Data'!$L$2:$L$1001,SUBSTITUTE(SUBSTITUTE(SUBSTITUTE(L537,"~","~~"),"*","~*"),"?","~?"))&lt;&gt;1,"Other amount is invalid",IF(J537&lt;&gt;0,"Amount differs","Matched")))))))</x:f>
      </x:c>
      <x:c r="L537" t="str">
        <x:f>IF(COUNTA(A537:F537)=0,"",LEN(A537)&amp;":"&amp;A537&amp;LEN(B537)&amp;":"&amp;B537&amp;LEN(C537)&amp;":"&amp;C537&amp;LEN(D537)&amp;":"&amp;D537)</x:f>
      </x:c>
      <x:c r="M537" t="str">
        <x:f>IF(COUNTA(A537:F537)=0,"",IF(ISNUMBER(E537),1,0))</x:f>
      </x:c>
    </x:row>
    <x:row r="538">
      <x:c r="A538" s="11"/>
      <x:c r="B538" s="11"/>
      <x:c r="C538" s="11"/>
      <x:c r="D538" s="11"/>
      <x:c r="E538" s="12"/>
      <x:c r="F538" s="10"/>
      <x:c r="G538" s="2" t="str">
        <x:f>IF(COUNTA(A538:F538)=0,"",COUNTIFS('App Data'!$L$2:$L$1001,SUBSTITUTE(SUBSTITUTE(SUBSTITUTE(L538,"~","~~"),"*","~*"),"?","~?")))</x:f>
      </x:c>
      <x:c r="H538" s="2" t="str">
        <x:f>IF(COUNTA(A538:F538)=0,"",COUNTIFS('External Data'!$L$2:$L$1001,SUBSTITUTE(SUBSTITUTE(SUBSTITUTE(L538,"~","~~"),"*","~*"),"?","~?")))</x:f>
      </x:c>
      <x:c r="I538" s="13" t="str">
        <x:f>IF(OR(H538&lt;&gt;1,G538&lt;&gt;1),"",SUMIFS('External Data'!$E$2:$E$1001,'External Data'!$L$2:$L$1001,SUBSTITUTE(SUBSTITUTE(SUBSTITUTE(L538,"~","~~"),"*","~*"),"?","~?")))</x:f>
      </x:c>
      <x:c r="J538" s="13" t="str">
        <x:f>IF(OR(NOT(ISNUMBER(E538)),NOT(ISNUMBER(I538))),"",ROUND(E538-I538,2))</x:f>
      </x:c>
      <x:c r="K538" s="2" t="str">
        <x:f>IF(COUNTA(A538:F538)=0,"",IF(OR(A538="",B538="",C538="",D538="",NOT(ISNUMBER(E538))),"Missing / invalid input",IF(G538&gt;1,"Duplicate key in this source",IF(H538=0,"Missing in other source",IF(H538&gt;1,"Duplicate in other source",IF(SUMIFS('External Data'!$M$2:$M$1001,'External Data'!$L$2:$L$1001,SUBSTITUTE(SUBSTITUTE(SUBSTITUTE(L538,"~","~~"),"*","~*"),"?","~?"))&lt;&gt;1,"Other amount is invalid",IF(J538&lt;&gt;0,"Amount differs","Matched")))))))</x:f>
      </x:c>
      <x:c r="L538" t="str">
        <x:f>IF(COUNTA(A538:F538)=0,"",LEN(A538)&amp;":"&amp;A538&amp;LEN(B538)&amp;":"&amp;B538&amp;LEN(C538)&amp;":"&amp;C538&amp;LEN(D538)&amp;":"&amp;D538)</x:f>
      </x:c>
      <x:c r="M538" t="str">
        <x:f>IF(COUNTA(A538:F538)=0,"",IF(ISNUMBER(E538),1,0))</x:f>
      </x:c>
    </x:row>
    <x:row r="539">
      <x:c r="A539" s="11"/>
      <x:c r="B539" s="11"/>
      <x:c r="C539" s="11"/>
      <x:c r="D539" s="11"/>
      <x:c r="E539" s="12"/>
      <x:c r="F539" s="10"/>
      <x:c r="G539" s="2" t="str">
        <x:f>IF(COUNTA(A539:F539)=0,"",COUNTIFS('App Data'!$L$2:$L$1001,SUBSTITUTE(SUBSTITUTE(SUBSTITUTE(L539,"~","~~"),"*","~*"),"?","~?")))</x:f>
      </x:c>
      <x:c r="H539" s="2" t="str">
        <x:f>IF(COUNTA(A539:F539)=0,"",COUNTIFS('External Data'!$L$2:$L$1001,SUBSTITUTE(SUBSTITUTE(SUBSTITUTE(L539,"~","~~"),"*","~*"),"?","~?")))</x:f>
      </x:c>
      <x:c r="I539" s="13" t="str">
        <x:f>IF(OR(H539&lt;&gt;1,G539&lt;&gt;1),"",SUMIFS('External Data'!$E$2:$E$1001,'External Data'!$L$2:$L$1001,SUBSTITUTE(SUBSTITUTE(SUBSTITUTE(L539,"~","~~"),"*","~*"),"?","~?")))</x:f>
      </x:c>
      <x:c r="J539" s="13" t="str">
        <x:f>IF(OR(NOT(ISNUMBER(E539)),NOT(ISNUMBER(I539))),"",ROUND(E539-I539,2))</x:f>
      </x:c>
      <x:c r="K539" s="2" t="str">
        <x:f>IF(COUNTA(A539:F539)=0,"",IF(OR(A539="",B539="",C539="",D539="",NOT(ISNUMBER(E539))),"Missing / invalid input",IF(G539&gt;1,"Duplicate key in this source",IF(H539=0,"Missing in other source",IF(H539&gt;1,"Duplicate in other source",IF(SUMIFS('External Data'!$M$2:$M$1001,'External Data'!$L$2:$L$1001,SUBSTITUTE(SUBSTITUTE(SUBSTITUTE(L539,"~","~~"),"*","~*"),"?","~?"))&lt;&gt;1,"Other amount is invalid",IF(J539&lt;&gt;0,"Amount differs","Matched")))))))</x:f>
      </x:c>
      <x:c r="L539" t="str">
        <x:f>IF(COUNTA(A539:F539)=0,"",LEN(A539)&amp;":"&amp;A539&amp;LEN(B539)&amp;":"&amp;B539&amp;LEN(C539)&amp;":"&amp;C539&amp;LEN(D539)&amp;":"&amp;D539)</x:f>
      </x:c>
      <x:c r="M539" t="str">
        <x:f>IF(COUNTA(A539:F539)=0,"",IF(ISNUMBER(E539),1,0))</x:f>
      </x:c>
    </x:row>
    <x:row r="540">
      <x:c r="A540" s="11"/>
      <x:c r="B540" s="11"/>
      <x:c r="C540" s="11"/>
      <x:c r="D540" s="11"/>
      <x:c r="E540" s="12"/>
      <x:c r="F540" s="10"/>
      <x:c r="G540" s="2" t="str">
        <x:f>IF(COUNTA(A540:F540)=0,"",COUNTIFS('App Data'!$L$2:$L$1001,SUBSTITUTE(SUBSTITUTE(SUBSTITUTE(L540,"~","~~"),"*","~*"),"?","~?")))</x:f>
      </x:c>
      <x:c r="H540" s="2" t="str">
        <x:f>IF(COUNTA(A540:F540)=0,"",COUNTIFS('External Data'!$L$2:$L$1001,SUBSTITUTE(SUBSTITUTE(SUBSTITUTE(L540,"~","~~"),"*","~*"),"?","~?")))</x:f>
      </x:c>
      <x:c r="I540" s="13" t="str">
        <x:f>IF(OR(H540&lt;&gt;1,G540&lt;&gt;1),"",SUMIFS('External Data'!$E$2:$E$1001,'External Data'!$L$2:$L$1001,SUBSTITUTE(SUBSTITUTE(SUBSTITUTE(L540,"~","~~"),"*","~*"),"?","~?")))</x:f>
      </x:c>
      <x:c r="J540" s="13" t="str">
        <x:f>IF(OR(NOT(ISNUMBER(E540)),NOT(ISNUMBER(I540))),"",ROUND(E540-I540,2))</x:f>
      </x:c>
      <x:c r="K540" s="2" t="str">
        <x:f>IF(COUNTA(A540:F540)=0,"",IF(OR(A540="",B540="",C540="",D540="",NOT(ISNUMBER(E540))),"Missing / invalid input",IF(G540&gt;1,"Duplicate key in this source",IF(H540=0,"Missing in other source",IF(H540&gt;1,"Duplicate in other source",IF(SUMIFS('External Data'!$M$2:$M$1001,'External Data'!$L$2:$L$1001,SUBSTITUTE(SUBSTITUTE(SUBSTITUTE(L540,"~","~~"),"*","~*"),"?","~?"))&lt;&gt;1,"Other amount is invalid",IF(J540&lt;&gt;0,"Amount differs","Matched")))))))</x:f>
      </x:c>
      <x:c r="L540" t="str">
        <x:f>IF(COUNTA(A540:F540)=0,"",LEN(A540)&amp;":"&amp;A540&amp;LEN(B540)&amp;":"&amp;B540&amp;LEN(C540)&amp;":"&amp;C540&amp;LEN(D540)&amp;":"&amp;D540)</x:f>
      </x:c>
      <x:c r="M540" t="str">
        <x:f>IF(COUNTA(A540:F540)=0,"",IF(ISNUMBER(E540),1,0))</x:f>
      </x:c>
    </x:row>
    <x:row r="541">
      <x:c r="A541" s="11"/>
      <x:c r="B541" s="11"/>
      <x:c r="C541" s="11"/>
      <x:c r="D541" s="11"/>
      <x:c r="E541" s="12"/>
      <x:c r="F541" s="10"/>
      <x:c r="G541" s="2" t="str">
        <x:f>IF(COUNTA(A541:F541)=0,"",COUNTIFS('App Data'!$L$2:$L$1001,SUBSTITUTE(SUBSTITUTE(SUBSTITUTE(L541,"~","~~"),"*","~*"),"?","~?")))</x:f>
      </x:c>
      <x:c r="H541" s="2" t="str">
        <x:f>IF(COUNTA(A541:F541)=0,"",COUNTIFS('External Data'!$L$2:$L$1001,SUBSTITUTE(SUBSTITUTE(SUBSTITUTE(L541,"~","~~"),"*","~*"),"?","~?")))</x:f>
      </x:c>
      <x:c r="I541" s="13" t="str">
        <x:f>IF(OR(H541&lt;&gt;1,G541&lt;&gt;1),"",SUMIFS('External Data'!$E$2:$E$1001,'External Data'!$L$2:$L$1001,SUBSTITUTE(SUBSTITUTE(SUBSTITUTE(L541,"~","~~"),"*","~*"),"?","~?")))</x:f>
      </x:c>
      <x:c r="J541" s="13" t="str">
        <x:f>IF(OR(NOT(ISNUMBER(E541)),NOT(ISNUMBER(I541))),"",ROUND(E541-I541,2))</x:f>
      </x:c>
      <x:c r="K541" s="2" t="str">
        <x:f>IF(COUNTA(A541:F541)=0,"",IF(OR(A541="",B541="",C541="",D541="",NOT(ISNUMBER(E541))),"Missing / invalid input",IF(G541&gt;1,"Duplicate key in this source",IF(H541=0,"Missing in other source",IF(H541&gt;1,"Duplicate in other source",IF(SUMIFS('External Data'!$M$2:$M$1001,'External Data'!$L$2:$L$1001,SUBSTITUTE(SUBSTITUTE(SUBSTITUTE(L541,"~","~~"),"*","~*"),"?","~?"))&lt;&gt;1,"Other amount is invalid",IF(J541&lt;&gt;0,"Amount differs","Matched")))))))</x:f>
      </x:c>
      <x:c r="L541" t="str">
        <x:f>IF(COUNTA(A541:F541)=0,"",LEN(A541)&amp;":"&amp;A541&amp;LEN(B541)&amp;":"&amp;B541&amp;LEN(C541)&amp;":"&amp;C541&amp;LEN(D541)&amp;":"&amp;D541)</x:f>
      </x:c>
      <x:c r="M541" t="str">
        <x:f>IF(COUNTA(A541:F541)=0,"",IF(ISNUMBER(E541),1,0))</x:f>
      </x:c>
    </x:row>
    <x:row r="542">
      <x:c r="A542" s="11"/>
      <x:c r="B542" s="11"/>
      <x:c r="C542" s="11"/>
      <x:c r="D542" s="11"/>
      <x:c r="E542" s="12"/>
      <x:c r="F542" s="10"/>
      <x:c r="G542" s="2" t="str">
        <x:f>IF(COUNTA(A542:F542)=0,"",COUNTIFS('App Data'!$L$2:$L$1001,SUBSTITUTE(SUBSTITUTE(SUBSTITUTE(L542,"~","~~"),"*","~*"),"?","~?")))</x:f>
      </x:c>
      <x:c r="H542" s="2" t="str">
        <x:f>IF(COUNTA(A542:F542)=0,"",COUNTIFS('External Data'!$L$2:$L$1001,SUBSTITUTE(SUBSTITUTE(SUBSTITUTE(L542,"~","~~"),"*","~*"),"?","~?")))</x:f>
      </x:c>
      <x:c r="I542" s="13" t="str">
        <x:f>IF(OR(H542&lt;&gt;1,G542&lt;&gt;1),"",SUMIFS('External Data'!$E$2:$E$1001,'External Data'!$L$2:$L$1001,SUBSTITUTE(SUBSTITUTE(SUBSTITUTE(L542,"~","~~"),"*","~*"),"?","~?")))</x:f>
      </x:c>
      <x:c r="J542" s="13" t="str">
        <x:f>IF(OR(NOT(ISNUMBER(E542)),NOT(ISNUMBER(I542))),"",ROUND(E542-I542,2))</x:f>
      </x:c>
      <x:c r="K542" s="2" t="str">
        <x:f>IF(COUNTA(A542:F542)=0,"",IF(OR(A542="",B542="",C542="",D542="",NOT(ISNUMBER(E542))),"Missing / invalid input",IF(G542&gt;1,"Duplicate key in this source",IF(H542=0,"Missing in other source",IF(H542&gt;1,"Duplicate in other source",IF(SUMIFS('External Data'!$M$2:$M$1001,'External Data'!$L$2:$L$1001,SUBSTITUTE(SUBSTITUTE(SUBSTITUTE(L542,"~","~~"),"*","~*"),"?","~?"))&lt;&gt;1,"Other amount is invalid",IF(J542&lt;&gt;0,"Amount differs","Matched")))))))</x:f>
      </x:c>
      <x:c r="L542" t="str">
        <x:f>IF(COUNTA(A542:F542)=0,"",LEN(A542)&amp;":"&amp;A542&amp;LEN(B542)&amp;":"&amp;B542&amp;LEN(C542)&amp;":"&amp;C542&amp;LEN(D542)&amp;":"&amp;D542)</x:f>
      </x:c>
      <x:c r="M542" t="str">
        <x:f>IF(COUNTA(A542:F542)=0,"",IF(ISNUMBER(E542),1,0))</x:f>
      </x:c>
    </x:row>
    <x:row r="543">
      <x:c r="A543" s="11"/>
      <x:c r="B543" s="11"/>
      <x:c r="C543" s="11"/>
      <x:c r="D543" s="11"/>
      <x:c r="E543" s="12"/>
      <x:c r="F543" s="10"/>
      <x:c r="G543" s="2" t="str">
        <x:f>IF(COUNTA(A543:F543)=0,"",COUNTIFS('App Data'!$L$2:$L$1001,SUBSTITUTE(SUBSTITUTE(SUBSTITUTE(L543,"~","~~"),"*","~*"),"?","~?")))</x:f>
      </x:c>
      <x:c r="H543" s="2" t="str">
        <x:f>IF(COUNTA(A543:F543)=0,"",COUNTIFS('External Data'!$L$2:$L$1001,SUBSTITUTE(SUBSTITUTE(SUBSTITUTE(L543,"~","~~"),"*","~*"),"?","~?")))</x:f>
      </x:c>
      <x:c r="I543" s="13" t="str">
        <x:f>IF(OR(H543&lt;&gt;1,G543&lt;&gt;1),"",SUMIFS('External Data'!$E$2:$E$1001,'External Data'!$L$2:$L$1001,SUBSTITUTE(SUBSTITUTE(SUBSTITUTE(L543,"~","~~"),"*","~*"),"?","~?")))</x:f>
      </x:c>
      <x:c r="J543" s="13" t="str">
        <x:f>IF(OR(NOT(ISNUMBER(E543)),NOT(ISNUMBER(I543))),"",ROUND(E543-I543,2))</x:f>
      </x:c>
      <x:c r="K543" s="2" t="str">
        <x:f>IF(COUNTA(A543:F543)=0,"",IF(OR(A543="",B543="",C543="",D543="",NOT(ISNUMBER(E543))),"Missing / invalid input",IF(G543&gt;1,"Duplicate key in this source",IF(H543=0,"Missing in other source",IF(H543&gt;1,"Duplicate in other source",IF(SUMIFS('External Data'!$M$2:$M$1001,'External Data'!$L$2:$L$1001,SUBSTITUTE(SUBSTITUTE(SUBSTITUTE(L543,"~","~~"),"*","~*"),"?","~?"))&lt;&gt;1,"Other amount is invalid",IF(J543&lt;&gt;0,"Amount differs","Matched")))))))</x:f>
      </x:c>
      <x:c r="L543" t="str">
        <x:f>IF(COUNTA(A543:F543)=0,"",LEN(A543)&amp;":"&amp;A543&amp;LEN(B543)&amp;":"&amp;B543&amp;LEN(C543)&amp;":"&amp;C543&amp;LEN(D543)&amp;":"&amp;D543)</x:f>
      </x:c>
      <x:c r="M543" t="str">
        <x:f>IF(COUNTA(A543:F543)=0,"",IF(ISNUMBER(E543),1,0))</x:f>
      </x:c>
    </x:row>
    <x:row r="544">
      <x:c r="A544" s="11"/>
      <x:c r="B544" s="11"/>
      <x:c r="C544" s="11"/>
      <x:c r="D544" s="11"/>
      <x:c r="E544" s="12"/>
      <x:c r="F544" s="10"/>
      <x:c r="G544" s="2" t="str">
        <x:f>IF(COUNTA(A544:F544)=0,"",COUNTIFS('App Data'!$L$2:$L$1001,SUBSTITUTE(SUBSTITUTE(SUBSTITUTE(L544,"~","~~"),"*","~*"),"?","~?")))</x:f>
      </x:c>
      <x:c r="H544" s="2" t="str">
        <x:f>IF(COUNTA(A544:F544)=0,"",COUNTIFS('External Data'!$L$2:$L$1001,SUBSTITUTE(SUBSTITUTE(SUBSTITUTE(L544,"~","~~"),"*","~*"),"?","~?")))</x:f>
      </x:c>
      <x:c r="I544" s="13" t="str">
        <x:f>IF(OR(H544&lt;&gt;1,G544&lt;&gt;1),"",SUMIFS('External Data'!$E$2:$E$1001,'External Data'!$L$2:$L$1001,SUBSTITUTE(SUBSTITUTE(SUBSTITUTE(L544,"~","~~"),"*","~*"),"?","~?")))</x:f>
      </x:c>
      <x:c r="J544" s="13" t="str">
        <x:f>IF(OR(NOT(ISNUMBER(E544)),NOT(ISNUMBER(I544))),"",ROUND(E544-I544,2))</x:f>
      </x:c>
      <x:c r="K544" s="2" t="str">
        <x:f>IF(COUNTA(A544:F544)=0,"",IF(OR(A544="",B544="",C544="",D544="",NOT(ISNUMBER(E544))),"Missing / invalid input",IF(G544&gt;1,"Duplicate key in this source",IF(H544=0,"Missing in other source",IF(H544&gt;1,"Duplicate in other source",IF(SUMIFS('External Data'!$M$2:$M$1001,'External Data'!$L$2:$L$1001,SUBSTITUTE(SUBSTITUTE(SUBSTITUTE(L544,"~","~~"),"*","~*"),"?","~?"))&lt;&gt;1,"Other amount is invalid",IF(J544&lt;&gt;0,"Amount differs","Matched")))))))</x:f>
      </x:c>
      <x:c r="L544" t="str">
        <x:f>IF(COUNTA(A544:F544)=0,"",LEN(A544)&amp;":"&amp;A544&amp;LEN(B544)&amp;":"&amp;B544&amp;LEN(C544)&amp;":"&amp;C544&amp;LEN(D544)&amp;":"&amp;D544)</x:f>
      </x:c>
      <x:c r="M544" t="str">
        <x:f>IF(COUNTA(A544:F544)=0,"",IF(ISNUMBER(E544),1,0))</x:f>
      </x:c>
    </x:row>
    <x:row r="545">
      <x:c r="A545" s="11"/>
      <x:c r="B545" s="11"/>
      <x:c r="C545" s="11"/>
      <x:c r="D545" s="11"/>
      <x:c r="E545" s="12"/>
      <x:c r="F545" s="10"/>
      <x:c r="G545" s="2" t="str">
        <x:f>IF(COUNTA(A545:F545)=0,"",COUNTIFS('App Data'!$L$2:$L$1001,SUBSTITUTE(SUBSTITUTE(SUBSTITUTE(L545,"~","~~"),"*","~*"),"?","~?")))</x:f>
      </x:c>
      <x:c r="H545" s="2" t="str">
        <x:f>IF(COUNTA(A545:F545)=0,"",COUNTIFS('External Data'!$L$2:$L$1001,SUBSTITUTE(SUBSTITUTE(SUBSTITUTE(L545,"~","~~"),"*","~*"),"?","~?")))</x:f>
      </x:c>
      <x:c r="I545" s="13" t="str">
        <x:f>IF(OR(H545&lt;&gt;1,G545&lt;&gt;1),"",SUMIFS('External Data'!$E$2:$E$1001,'External Data'!$L$2:$L$1001,SUBSTITUTE(SUBSTITUTE(SUBSTITUTE(L545,"~","~~"),"*","~*"),"?","~?")))</x:f>
      </x:c>
      <x:c r="J545" s="13" t="str">
        <x:f>IF(OR(NOT(ISNUMBER(E545)),NOT(ISNUMBER(I545))),"",ROUND(E545-I545,2))</x:f>
      </x:c>
      <x:c r="K545" s="2" t="str">
        <x:f>IF(COUNTA(A545:F545)=0,"",IF(OR(A545="",B545="",C545="",D545="",NOT(ISNUMBER(E545))),"Missing / invalid input",IF(G545&gt;1,"Duplicate key in this source",IF(H545=0,"Missing in other source",IF(H545&gt;1,"Duplicate in other source",IF(SUMIFS('External Data'!$M$2:$M$1001,'External Data'!$L$2:$L$1001,SUBSTITUTE(SUBSTITUTE(SUBSTITUTE(L545,"~","~~"),"*","~*"),"?","~?"))&lt;&gt;1,"Other amount is invalid",IF(J545&lt;&gt;0,"Amount differs","Matched")))))))</x:f>
      </x:c>
      <x:c r="L545" t="str">
        <x:f>IF(COUNTA(A545:F545)=0,"",LEN(A545)&amp;":"&amp;A545&amp;LEN(B545)&amp;":"&amp;B545&amp;LEN(C545)&amp;":"&amp;C545&amp;LEN(D545)&amp;":"&amp;D545)</x:f>
      </x:c>
      <x:c r="M545" t="str">
        <x:f>IF(COUNTA(A545:F545)=0,"",IF(ISNUMBER(E545),1,0))</x:f>
      </x:c>
    </x:row>
    <x:row r="546">
      <x:c r="A546" s="11"/>
      <x:c r="B546" s="11"/>
      <x:c r="C546" s="11"/>
      <x:c r="D546" s="11"/>
      <x:c r="E546" s="12"/>
      <x:c r="F546" s="10"/>
      <x:c r="G546" s="2" t="str">
        <x:f>IF(COUNTA(A546:F546)=0,"",COUNTIFS('App Data'!$L$2:$L$1001,SUBSTITUTE(SUBSTITUTE(SUBSTITUTE(L546,"~","~~"),"*","~*"),"?","~?")))</x:f>
      </x:c>
      <x:c r="H546" s="2" t="str">
        <x:f>IF(COUNTA(A546:F546)=0,"",COUNTIFS('External Data'!$L$2:$L$1001,SUBSTITUTE(SUBSTITUTE(SUBSTITUTE(L546,"~","~~"),"*","~*"),"?","~?")))</x:f>
      </x:c>
      <x:c r="I546" s="13" t="str">
        <x:f>IF(OR(H546&lt;&gt;1,G546&lt;&gt;1),"",SUMIFS('External Data'!$E$2:$E$1001,'External Data'!$L$2:$L$1001,SUBSTITUTE(SUBSTITUTE(SUBSTITUTE(L546,"~","~~"),"*","~*"),"?","~?")))</x:f>
      </x:c>
      <x:c r="J546" s="13" t="str">
        <x:f>IF(OR(NOT(ISNUMBER(E546)),NOT(ISNUMBER(I546))),"",ROUND(E546-I546,2))</x:f>
      </x:c>
      <x:c r="K546" s="2" t="str">
        <x:f>IF(COUNTA(A546:F546)=0,"",IF(OR(A546="",B546="",C546="",D546="",NOT(ISNUMBER(E546))),"Missing / invalid input",IF(G546&gt;1,"Duplicate key in this source",IF(H546=0,"Missing in other source",IF(H546&gt;1,"Duplicate in other source",IF(SUMIFS('External Data'!$M$2:$M$1001,'External Data'!$L$2:$L$1001,SUBSTITUTE(SUBSTITUTE(SUBSTITUTE(L546,"~","~~"),"*","~*"),"?","~?"))&lt;&gt;1,"Other amount is invalid",IF(J546&lt;&gt;0,"Amount differs","Matched")))))))</x:f>
      </x:c>
      <x:c r="L546" t="str">
        <x:f>IF(COUNTA(A546:F546)=0,"",LEN(A546)&amp;":"&amp;A546&amp;LEN(B546)&amp;":"&amp;B546&amp;LEN(C546)&amp;":"&amp;C546&amp;LEN(D546)&amp;":"&amp;D546)</x:f>
      </x:c>
      <x:c r="M546" t="str">
        <x:f>IF(COUNTA(A546:F546)=0,"",IF(ISNUMBER(E546),1,0))</x:f>
      </x:c>
    </x:row>
    <x:row r="547">
      <x:c r="A547" s="11"/>
      <x:c r="B547" s="11"/>
      <x:c r="C547" s="11"/>
      <x:c r="D547" s="11"/>
      <x:c r="E547" s="12"/>
      <x:c r="F547" s="10"/>
      <x:c r="G547" s="2" t="str">
        <x:f>IF(COUNTA(A547:F547)=0,"",COUNTIFS('App Data'!$L$2:$L$1001,SUBSTITUTE(SUBSTITUTE(SUBSTITUTE(L547,"~","~~"),"*","~*"),"?","~?")))</x:f>
      </x:c>
      <x:c r="H547" s="2" t="str">
        <x:f>IF(COUNTA(A547:F547)=0,"",COUNTIFS('External Data'!$L$2:$L$1001,SUBSTITUTE(SUBSTITUTE(SUBSTITUTE(L547,"~","~~"),"*","~*"),"?","~?")))</x:f>
      </x:c>
      <x:c r="I547" s="13" t="str">
        <x:f>IF(OR(H547&lt;&gt;1,G547&lt;&gt;1),"",SUMIFS('External Data'!$E$2:$E$1001,'External Data'!$L$2:$L$1001,SUBSTITUTE(SUBSTITUTE(SUBSTITUTE(L547,"~","~~"),"*","~*"),"?","~?")))</x:f>
      </x:c>
      <x:c r="J547" s="13" t="str">
        <x:f>IF(OR(NOT(ISNUMBER(E547)),NOT(ISNUMBER(I547))),"",ROUND(E547-I547,2))</x:f>
      </x:c>
      <x:c r="K547" s="2" t="str">
        <x:f>IF(COUNTA(A547:F547)=0,"",IF(OR(A547="",B547="",C547="",D547="",NOT(ISNUMBER(E547))),"Missing / invalid input",IF(G547&gt;1,"Duplicate key in this source",IF(H547=0,"Missing in other source",IF(H547&gt;1,"Duplicate in other source",IF(SUMIFS('External Data'!$M$2:$M$1001,'External Data'!$L$2:$L$1001,SUBSTITUTE(SUBSTITUTE(SUBSTITUTE(L547,"~","~~"),"*","~*"),"?","~?"))&lt;&gt;1,"Other amount is invalid",IF(J547&lt;&gt;0,"Amount differs","Matched")))))))</x:f>
      </x:c>
      <x:c r="L547" t="str">
        <x:f>IF(COUNTA(A547:F547)=0,"",LEN(A547)&amp;":"&amp;A547&amp;LEN(B547)&amp;":"&amp;B547&amp;LEN(C547)&amp;":"&amp;C547&amp;LEN(D547)&amp;":"&amp;D547)</x:f>
      </x:c>
      <x:c r="M547" t="str">
        <x:f>IF(COUNTA(A547:F547)=0,"",IF(ISNUMBER(E547),1,0))</x:f>
      </x:c>
    </x:row>
    <x:row r="548">
      <x:c r="A548" s="11"/>
      <x:c r="B548" s="11"/>
      <x:c r="C548" s="11"/>
      <x:c r="D548" s="11"/>
      <x:c r="E548" s="12"/>
      <x:c r="F548" s="10"/>
      <x:c r="G548" s="2" t="str">
        <x:f>IF(COUNTA(A548:F548)=0,"",COUNTIFS('App Data'!$L$2:$L$1001,SUBSTITUTE(SUBSTITUTE(SUBSTITUTE(L548,"~","~~"),"*","~*"),"?","~?")))</x:f>
      </x:c>
      <x:c r="H548" s="2" t="str">
        <x:f>IF(COUNTA(A548:F548)=0,"",COUNTIFS('External Data'!$L$2:$L$1001,SUBSTITUTE(SUBSTITUTE(SUBSTITUTE(L548,"~","~~"),"*","~*"),"?","~?")))</x:f>
      </x:c>
      <x:c r="I548" s="13" t="str">
        <x:f>IF(OR(H548&lt;&gt;1,G548&lt;&gt;1),"",SUMIFS('External Data'!$E$2:$E$1001,'External Data'!$L$2:$L$1001,SUBSTITUTE(SUBSTITUTE(SUBSTITUTE(L548,"~","~~"),"*","~*"),"?","~?")))</x:f>
      </x:c>
      <x:c r="J548" s="13" t="str">
        <x:f>IF(OR(NOT(ISNUMBER(E548)),NOT(ISNUMBER(I548))),"",ROUND(E548-I548,2))</x:f>
      </x:c>
      <x:c r="K548" s="2" t="str">
        <x:f>IF(COUNTA(A548:F548)=0,"",IF(OR(A548="",B548="",C548="",D548="",NOT(ISNUMBER(E548))),"Missing / invalid input",IF(G548&gt;1,"Duplicate key in this source",IF(H548=0,"Missing in other source",IF(H548&gt;1,"Duplicate in other source",IF(SUMIFS('External Data'!$M$2:$M$1001,'External Data'!$L$2:$L$1001,SUBSTITUTE(SUBSTITUTE(SUBSTITUTE(L548,"~","~~"),"*","~*"),"?","~?"))&lt;&gt;1,"Other amount is invalid",IF(J548&lt;&gt;0,"Amount differs","Matched")))))))</x:f>
      </x:c>
      <x:c r="L548" t="str">
        <x:f>IF(COUNTA(A548:F548)=0,"",LEN(A548)&amp;":"&amp;A548&amp;LEN(B548)&amp;":"&amp;B548&amp;LEN(C548)&amp;":"&amp;C548&amp;LEN(D548)&amp;":"&amp;D548)</x:f>
      </x:c>
      <x:c r="M548" t="str">
        <x:f>IF(COUNTA(A548:F548)=0,"",IF(ISNUMBER(E548),1,0))</x:f>
      </x:c>
    </x:row>
    <x:row r="549">
      <x:c r="A549" s="11"/>
      <x:c r="B549" s="11"/>
      <x:c r="C549" s="11"/>
      <x:c r="D549" s="11"/>
      <x:c r="E549" s="12"/>
      <x:c r="F549" s="10"/>
      <x:c r="G549" s="2" t="str">
        <x:f>IF(COUNTA(A549:F549)=0,"",COUNTIFS('App Data'!$L$2:$L$1001,SUBSTITUTE(SUBSTITUTE(SUBSTITUTE(L549,"~","~~"),"*","~*"),"?","~?")))</x:f>
      </x:c>
      <x:c r="H549" s="2" t="str">
        <x:f>IF(COUNTA(A549:F549)=0,"",COUNTIFS('External Data'!$L$2:$L$1001,SUBSTITUTE(SUBSTITUTE(SUBSTITUTE(L549,"~","~~"),"*","~*"),"?","~?")))</x:f>
      </x:c>
      <x:c r="I549" s="13" t="str">
        <x:f>IF(OR(H549&lt;&gt;1,G549&lt;&gt;1),"",SUMIFS('External Data'!$E$2:$E$1001,'External Data'!$L$2:$L$1001,SUBSTITUTE(SUBSTITUTE(SUBSTITUTE(L549,"~","~~"),"*","~*"),"?","~?")))</x:f>
      </x:c>
      <x:c r="J549" s="13" t="str">
        <x:f>IF(OR(NOT(ISNUMBER(E549)),NOT(ISNUMBER(I549))),"",ROUND(E549-I549,2))</x:f>
      </x:c>
      <x:c r="K549" s="2" t="str">
        <x:f>IF(COUNTA(A549:F549)=0,"",IF(OR(A549="",B549="",C549="",D549="",NOT(ISNUMBER(E549))),"Missing / invalid input",IF(G549&gt;1,"Duplicate key in this source",IF(H549=0,"Missing in other source",IF(H549&gt;1,"Duplicate in other source",IF(SUMIFS('External Data'!$M$2:$M$1001,'External Data'!$L$2:$L$1001,SUBSTITUTE(SUBSTITUTE(SUBSTITUTE(L549,"~","~~"),"*","~*"),"?","~?"))&lt;&gt;1,"Other amount is invalid",IF(J549&lt;&gt;0,"Amount differs","Matched")))))))</x:f>
      </x:c>
      <x:c r="L549" t="str">
        <x:f>IF(COUNTA(A549:F549)=0,"",LEN(A549)&amp;":"&amp;A549&amp;LEN(B549)&amp;":"&amp;B549&amp;LEN(C549)&amp;":"&amp;C549&amp;LEN(D549)&amp;":"&amp;D549)</x:f>
      </x:c>
      <x:c r="M549" t="str">
        <x:f>IF(COUNTA(A549:F549)=0,"",IF(ISNUMBER(E549),1,0))</x:f>
      </x:c>
    </x:row>
    <x:row r="550">
      <x:c r="A550" s="11"/>
      <x:c r="B550" s="11"/>
      <x:c r="C550" s="11"/>
      <x:c r="D550" s="11"/>
      <x:c r="E550" s="12"/>
      <x:c r="F550" s="10"/>
      <x:c r="G550" s="2" t="str">
        <x:f>IF(COUNTA(A550:F550)=0,"",COUNTIFS('App Data'!$L$2:$L$1001,SUBSTITUTE(SUBSTITUTE(SUBSTITUTE(L550,"~","~~"),"*","~*"),"?","~?")))</x:f>
      </x:c>
      <x:c r="H550" s="2" t="str">
        <x:f>IF(COUNTA(A550:F550)=0,"",COUNTIFS('External Data'!$L$2:$L$1001,SUBSTITUTE(SUBSTITUTE(SUBSTITUTE(L550,"~","~~"),"*","~*"),"?","~?")))</x:f>
      </x:c>
      <x:c r="I550" s="13" t="str">
        <x:f>IF(OR(H550&lt;&gt;1,G550&lt;&gt;1),"",SUMIFS('External Data'!$E$2:$E$1001,'External Data'!$L$2:$L$1001,SUBSTITUTE(SUBSTITUTE(SUBSTITUTE(L550,"~","~~"),"*","~*"),"?","~?")))</x:f>
      </x:c>
      <x:c r="J550" s="13" t="str">
        <x:f>IF(OR(NOT(ISNUMBER(E550)),NOT(ISNUMBER(I550))),"",ROUND(E550-I550,2))</x:f>
      </x:c>
      <x:c r="K550" s="2" t="str">
        <x:f>IF(COUNTA(A550:F550)=0,"",IF(OR(A550="",B550="",C550="",D550="",NOT(ISNUMBER(E550))),"Missing / invalid input",IF(G550&gt;1,"Duplicate key in this source",IF(H550=0,"Missing in other source",IF(H550&gt;1,"Duplicate in other source",IF(SUMIFS('External Data'!$M$2:$M$1001,'External Data'!$L$2:$L$1001,SUBSTITUTE(SUBSTITUTE(SUBSTITUTE(L550,"~","~~"),"*","~*"),"?","~?"))&lt;&gt;1,"Other amount is invalid",IF(J550&lt;&gt;0,"Amount differs","Matched")))))))</x:f>
      </x:c>
      <x:c r="L550" t="str">
        <x:f>IF(COUNTA(A550:F550)=0,"",LEN(A550)&amp;":"&amp;A550&amp;LEN(B550)&amp;":"&amp;B550&amp;LEN(C550)&amp;":"&amp;C550&amp;LEN(D550)&amp;":"&amp;D550)</x:f>
      </x:c>
      <x:c r="M550" t="str">
        <x:f>IF(COUNTA(A550:F550)=0,"",IF(ISNUMBER(E550),1,0))</x:f>
      </x:c>
    </x:row>
    <x:row r="551">
      <x:c r="A551" s="11"/>
      <x:c r="B551" s="11"/>
      <x:c r="C551" s="11"/>
      <x:c r="D551" s="11"/>
      <x:c r="E551" s="12"/>
      <x:c r="F551" s="10"/>
      <x:c r="G551" s="2" t="str">
        <x:f>IF(COUNTA(A551:F551)=0,"",COUNTIFS('App Data'!$L$2:$L$1001,SUBSTITUTE(SUBSTITUTE(SUBSTITUTE(L551,"~","~~"),"*","~*"),"?","~?")))</x:f>
      </x:c>
      <x:c r="H551" s="2" t="str">
        <x:f>IF(COUNTA(A551:F551)=0,"",COUNTIFS('External Data'!$L$2:$L$1001,SUBSTITUTE(SUBSTITUTE(SUBSTITUTE(L551,"~","~~"),"*","~*"),"?","~?")))</x:f>
      </x:c>
      <x:c r="I551" s="13" t="str">
        <x:f>IF(OR(H551&lt;&gt;1,G551&lt;&gt;1),"",SUMIFS('External Data'!$E$2:$E$1001,'External Data'!$L$2:$L$1001,SUBSTITUTE(SUBSTITUTE(SUBSTITUTE(L551,"~","~~"),"*","~*"),"?","~?")))</x:f>
      </x:c>
      <x:c r="J551" s="13" t="str">
        <x:f>IF(OR(NOT(ISNUMBER(E551)),NOT(ISNUMBER(I551))),"",ROUND(E551-I551,2))</x:f>
      </x:c>
      <x:c r="K551" s="2" t="str">
        <x:f>IF(COUNTA(A551:F551)=0,"",IF(OR(A551="",B551="",C551="",D551="",NOT(ISNUMBER(E551))),"Missing / invalid input",IF(G551&gt;1,"Duplicate key in this source",IF(H551=0,"Missing in other source",IF(H551&gt;1,"Duplicate in other source",IF(SUMIFS('External Data'!$M$2:$M$1001,'External Data'!$L$2:$L$1001,SUBSTITUTE(SUBSTITUTE(SUBSTITUTE(L551,"~","~~"),"*","~*"),"?","~?"))&lt;&gt;1,"Other amount is invalid",IF(J551&lt;&gt;0,"Amount differs","Matched")))))))</x:f>
      </x:c>
      <x:c r="L551" t="str">
        <x:f>IF(COUNTA(A551:F551)=0,"",LEN(A551)&amp;":"&amp;A551&amp;LEN(B551)&amp;":"&amp;B551&amp;LEN(C551)&amp;":"&amp;C551&amp;LEN(D551)&amp;":"&amp;D551)</x:f>
      </x:c>
      <x:c r="M551" t="str">
        <x:f>IF(COUNTA(A551:F551)=0,"",IF(ISNUMBER(E551),1,0))</x:f>
      </x:c>
    </x:row>
    <x:row r="552">
      <x:c r="A552" s="11"/>
      <x:c r="B552" s="11"/>
      <x:c r="C552" s="11"/>
      <x:c r="D552" s="11"/>
      <x:c r="E552" s="12"/>
      <x:c r="F552" s="10"/>
      <x:c r="G552" s="2" t="str">
        <x:f>IF(COUNTA(A552:F552)=0,"",COUNTIFS('App Data'!$L$2:$L$1001,SUBSTITUTE(SUBSTITUTE(SUBSTITUTE(L552,"~","~~"),"*","~*"),"?","~?")))</x:f>
      </x:c>
      <x:c r="H552" s="2" t="str">
        <x:f>IF(COUNTA(A552:F552)=0,"",COUNTIFS('External Data'!$L$2:$L$1001,SUBSTITUTE(SUBSTITUTE(SUBSTITUTE(L552,"~","~~"),"*","~*"),"?","~?")))</x:f>
      </x:c>
      <x:c r="I552" s="13" t="str">
        <x:f>IF(OR(H552&lt;&gt;1,G552&lt;&gt;1),"",SUMIFS('External Data'!$E$2:$E$1001,'External Data'!$L$2:$L$1001,SUBSTITUTE(SUBSTITUTE(SUBSTITUTE(L552,"~","~~"),"*","~*"),"?","~?")))</x:f>
      </x:c>
      <x:c r="J552" s="13" t="str">
        <x:f>IF(OR(NOT(ISNUMBER(E552)),NOT(ISNUMBER(I552))),"",ROUND(E552-I552,2))</x:f>
      </x:c>
      <x:c r="K552" s="2" t="str">
        <x:f>IF(COUNTA(A552:F552)=0,"",IF(OR(A552="",B552="",C552="",D552="",NOT(ISNUMBER(E552))),"Missing / invalid input",IF(G552&gt;1,"Duplicate key in this source",IF(H552=0,"Missing in other source",IF(H552&gt;1,"Duplicate in other source",IF(SUMIFS('External Data'!$M$2:$M$1001,'External Data'!$L$2:$L$1001,SUBSTITUTE(SUBSTITUTE(SUBSTITUTE(L552,"~","~~"),"*","~*"),"?","~?"))&lt;&gt;1,"Other amount is invalid",IF(J552&lt;&gt;0,"Amount differs","Matched")))))))</x:f>
      </x:c>
      <x:c r="L552" t="str">
        <x:f>IF(COUNTA(A552:F552)=0,"",LEN(A552)&amp;":"&amp;A552&amp;LEN(B552)&amp;":"&amp;B552&amp;LEN(C552)&amp;":"&amp;C552&amp;LEN(D552)&amp;":"&amp;D552)</x:f>
      </x:c>
      <x:c r="M552" t="str">
        <x:f>IF(COUNTA(A552:F552)=0,"",IF(ISNUMBER(E552),1,0))</x:f>
      </x:c>
    </x:row>
    <x:row r="553">
      <x:c r="A553" s="11"/>
      <x:c r="B553" s="11"/>
      <x:c r="C553" s="11"/>
      <x:c r="D553" s="11"/>
      <x:c r="E553" s="12"/>
      <x:c r="F553" s="10"/>
      <x:c r="G553" s="2" t="str">
        <x:f>IF(COUNTA(A553:F553)=0,"",COUNTIFS('App Data'!$L$2:$L$1001,SUBSTITUTE(SUBSTITUTE(SUBSTITUTE(L553,"~","~~"),"*","~*"),"?","~?")))</x:f>
      </x:c>
      <x:c r="H553" s="2" t="str">
        <x:f>IF(COUNTA(A553:F553)=0,"",COUNTIFS('External Data'!$L$2:$L$1001,SUBSTITUTE(SUBSTITUTE(SUBSTITUTE(L553,"~","~~"),"*","~*"),"?","~?")))</x:f>
      </x:c>
      <x:c r="I553" s="13" t="str">
        <x:f>IF(OR(H553&lt;&gt;1,G553&lt;&gt;1),"",SUMIFS('External Data'!$E$2:$E$1001,'External Data'!$L$2:$L$1001,SUBSTITUTE(SUBSTITUTE(SUBSTITUTE(L553,"~","~~"),"*","~*"),"?","~?")))</x:f>
      </x:c>
      <x:c r="J553" s="13" t="str">
        <x:f>IF(OR(NOT(ISNUMBER(E553)),NOT(ISNUMBER(I553))),"",ROUND(E553-I553,2))</x:f>
      </x:c>
      <x:c r="K553" s="2" t="str">
        <x:f>IF(COUNTA(A553:F553)=0,"",IF(OR(A553="",B553="",C553="",D553="",NOT(ISNUMBER(E553))),"Missing / invalid input",IF(G553&gt;1,"Duplicate key in this source",IF(H553=0,"Missing in other source",IF(H553&gt;1,"Duplicate in other source",IF(SUMIFS('External Data'!$M$2:$M$1001,'External Data'!$L$2:$L$1001,SUBSTITUTE(SUBSTITUTE(SUBSTITUTE(L553,"~","~~"),"*","~*"),"?","~?"))&lt;&gt;1,"Other amount is invalid",IF(J553&lt;&gt;0,"Amount differs","Matched")))))))</x:f>
      </x:c>
      <x:c r="L553" t="str">
        <x:f>IF(COUNTA(A553:F553)=0,"",LEN(A553)&amp;":"&amp;A553&amp;LEN(B553)&amp;":"&amp;B553&amp;LEN(C553)&amp;":"&amp;C553&amp;LEN(D553)&amp;":"&amp;D553)</x:f>
      </x:c>
      <x:c r="M553" t="str">
        <x:f>IF(COUNTA(A553:F553)=0,"",IF(ISNUMBER(E553),1,0))</x:f>
      </x:c>
    </x:row>
    <x:row r="554">
      <x:c r="A554" s="11"/>
      <x:c r="B554" s="11"/>
      <x:c r="C554" s="11"/>
      <x:c r="D554" s="11"/>
      <x:c r="E554" s="12"/>
      <x:c r="F554" s="10"/>
      <x:c r="G554" s="2" t="str">
        <x:f>IF(COUNTA(A554:F554)=0,"",COUNTIFS('App Data'!$L$2:$L$1001,SUBSTITUTE(SUBSTITUTE(SUBSTITUTE(L554,"~","~~"),"*","~*"),"?","~?")))</x:f>
      </x:c>
      <x:c r="H554" s="2" t="str">
        <x:f>IF(COUNTA(A554:F554)=0,"",COUNTIFS('External Data'!$L$2:$L$1001,SUBSTITUTE(SUBSTITUTE(SUBSTITUTE(L554,"~","~~"),"*","~*"),"?","~?")))</x:f>
      </x:c>
      <x:c r="I554" s="13" t="str">
        <x:f>IF(OR(H554&lt;&gt;1,G554&lt;&gt;1),"",SUMIFS('External Data'!$E$2:$E$1001,'External Data'!$L$2:$L$1001,SUBSTITUTE(SUBSTITUTE(SUBSTITUTE(L554,"~","~~"),"*","~*"),"?","~?")))</x:f>
      </x:c>
      <x:c r="J554" s="13" t="str">
        <x:f>IF(OR(NOT(ISNUMBER(E554)),NOT(ISNUMBER(I554))),"",ROUND(E554-I554,2))</x:f>
      </x:c>
      <x:c r="K554" s="2" t="str">
        <x:f>IF(COUNTA(A554:F554)=0,"",IF(OR(A554="",B554="",C554="",D554="",NOT(ISNUMBER(E554))),"Missing / invalid input",IF(G554&gt;1,"Duplicate key in this source",IF(H554=0,"Missing in other source",IF(H554&gt;1,"Duplicate in other source",IF(SUMIFS('External Data'!$M$2:$M$1001,'External Data'!$L$2:$L$1001,SUBSTITUTE(SUBSTITUTE(SUBSTITUTE(L554,"~","~~"),"*","~*"),"?","~?"))&lt;&gt;1,"Other amount is invalid",IF(J554&lt;&gt;0,"Amount differs","Matched")))))))</x:f>
      </x:c>
      <x:c r="L554" t="str">
        <x:f>IF(COUNTA(A554:F554)=0,"",LEN(A554)&amp;":"&amp;A554&amp;LEN(B554)&amp;":"&amp;B554&amp;LEN(C554)&amp;":"&amp;C554&amp;LEN(D554)&amp;":"&amp;D554)</x:f>
      </x:c>
      <x:c r="M554" t="str">
        <x:f>IF(COUNTA(A554:F554)=0,"",IF(ISNUMBER(E554),1,0))</x:f>
      </x:c>
    </x:row>
    <x:row r="555">
      <x:c r="A555" s="11"/>
      <x:c r="B555" s="11"/>
      <x:c r="C555" s="11"/>
      <x:c r="D555" s="11"/>
      <x:c r="E555" s="12"/>
      <x:c r="F555" s="10"/>
      <x:c r="G555" s="2" t="str">
        <x:f>IF(COUNTA(A555:F555)=0,"",COUNTIFS('App Data'!$L$2:$L$1001,SUBSTITUTE(SUBSTITUTE(SUBSTITUTE(L555,"~","~~"),"*","~*"),"?","~?")))</x:f>
      </x:c>
      <x:c r="H555" s="2" t="str">
        <x:f>IF(COUNTA(A555:F555)=0,"",COUNTIFS('External Data'!$L$2:$L$1001,SUBSTITUTE(SUBSTITUTE(SUBSTITUTE(L555,"~","~~"),"*","~*"),"?","~?")))</x:f>
      </x:c>
      <x:c r="I555" s="13" t="str">
        <x:f>IF(OR(H555&lt;&gt;1,G555&lt;&gt;1),"",SUMIFS('External Data'!$E$2:$E$1001,'External Data'!$L$2:$L$1001,SUBSTITUTE(SUBSTITUTE(SUBSTITUTE(L555,"~","~~"),"*","~*"),"?","~?")))</x:f>
      </x:c>
      <x:c r="J555" s="13" t="str">
        <x:f>IF(OR(NOT(ISNUMBER(E555)),NOT(ISNUMBER(I555))),"",ROUND(E555-I555,2))</x:f>
      </x:c>
      <x:c r="K555" s="2" t="str">
        <x:f>IF(COUNTA(A555:F555)=0,"",IF(OR(A555="",B555="",C555="",D555="",NOT(ISNUMBER(E555))),"Missing / invalid input",IF(G555&gt;1,"Duplicate key in this source",IF(H555=0,"Missing in other source",IF(H555&gt;1,"Duplicate in other source",IF(SUMIFS('External Data'!$M$2:$M$1001,'External Data'!$L$2:$L$1001,SUBSTITUTE(SUBSTITUTE(SUBSTITUTE(L555,"~","~~"),"*","~*"),"?","~?"))&lt;&gt;1,"Other amount is invalid",IF(J555&lt;&gt;0,"Amount differs","Matched")))))))</x:f>
      </x:c>
      <x:c r="L555" t="str">
        <x:f>IF(COUNTA(A555:F555)=0,"",LEN(A555)&amp;":"&amp;A555&amp;LEN(B555)&amp;":"&amp;B555&amp;LEN(C555)&amp;":"&amp;C555&amp;LEN(D555)&amp;":"&amp;D555)</x:f>
      </x:c>
      <x:c r="M555" t="str">
        <x:f>IF(COUNTA(A555:F555)=0,"",IF(ISNUMBER(E555),1,0))</x:f>
      </x:c>
    </x:row>
    <x:row r="556">
      <x:c r="A556" s="11"/>
      <x:c r="B556" s="11"/>
      <x:c r="C556" s="11"/>
      <x:c r="D556" s="11"/>
      <x:c r="E556" s="12"/>
      <x:c r="F556" s="10"/>
      <x:c r="G556" s="2" t="str">
        <x:f>IF(COUNTA(A556:F556)=0,"",COUNTIFS('App Data'!$L$2:$L$1001,SUBSTITUTE(SUBSTITUTE(SUBSTITUTE(L556,"~","~~"),"*","~*"),"?","~?")))</x:f>
      </x:c>
      <x:c r="H556" s="2" t="str">
        <x:f>IF(COUNTA(A556:F556)=0,"",COUNTIFS('External Data'!$L$2:$L$1001,SUBSTITUTE(SUBSTITUTE(SUBSTITUTE(L556,"~","~~"),"*","~*"),"?","~?")))</x:f>
      </x:c>
      <x:c r="I556" s="13" t="str">
        <x:f>IF(OR(H556&lt;&gt;1,G556&lt;&gt;1),"",SUMIFS('External Data'!$E$2:$E$1001,'External Data'!$L$2:$L$1001,SUBSTITUTE(SUBSTITUTE(SUBSTITUTE(L556,"~","~~"),"*","~*"),"?","~?")))</x:f>
      </x:c>
      <x:c r="J556" s="13" t="str">
        <x:f>IF(OR(NOT(ISNUMBER(E556)),NOT(ISNUMBER(I556))),"",ROUND(E556-I556,2))</x:f>
      </x:c>
      <x:c r="K556" s="2" t="str">
        <x:f>IF(COUNTA(A556:F556)=0,"",IF(OR(A556="",B556="",C556="",D556="",NOT(ISNUMBER(E556))),"Missing / invalid input",IF(G556&gt;1,"Duplicate key in this source",IF(H556=0,"Missing in other source",IF(H556&gt;1,"Duplicate in other source",IF(SUMIFS('External Data'!$M$2:$M$1001,'External Data'!$L$2:$L$1001,SUBSTITUTE(SUBSTITUTE(SUBSTITUTE(L556,"~","~~"),"*","~*"),"?","~?"))&lt;&gt;1,"Other amount is invalid",IF(J556&lt;&gt;0,"Amount differs","Matched")))))))</x:f>
      </x:c>
      <x:c r="L556" t="str">
        <x:f>IF(COUNTA(A556:F556)=0,"",LEN(A556)&amp;":"&amp;A556&amp;LEN(B556)&amp;":"&amp;B556&amp;LEN(C556)&amp;":"&amp;C556&amp;LEN(D556)&amp;":"&amp;D556)</x:f>
      </x:c>
      <x:c r="M556" t="str">
        <x:f>IF(COUNTA(A556:F556)=0,"",IF(ISNUMBER(E556),1,0))</x:f>
      </x:c>
    </x:row>
    <x:row r="557">
      <x:c r="A557" s="11"/>
      <x:c r="B557" s="11"/>
      <x:c r="C557" s="11"/>
      <x:c r="D557" s="11"/>
      <x:c r="E557" s="12"/>
      <x:c r="F557" s="10"/>
      <x:c r="G557" s="2" t="str">
        <x:f>IF(COUNTA(A557:F557)=0,"",COUNTIFS('App Data'!$L$2:$L$1001,SUBSTITUTE(SUBSTITUTE(SUBSTITUTE(L557,"~","~~"),"*","~*"),"?","~?")))</x:f>
      </x:c>
      <x:c r="H557" s="2" t="str">
        <x:f>IF(COUNTA(A557:F557)=0,"",COUNTIFS('External Data'!$L$2:$L$1001,SUBSTITUTE(SUBSTITUTE(SUBSTITUTE(L557,"~","~~"),"*","~*"),"?","~?")))</x:f>
      </x:c>
      <x:c r="I557" s="13" t="str">
        <x:f>IF(OR(H557&lt;&gt;1,G557&lt;&gt;1),"",SUMIFS('External Data'!$E$2:$E$1001,'External Data'!$L$2:$L$1001,SUBSTITUTE(SUBSTITUTE(SUBSTITUTE(L557,"~","~~"),"*","~*"),"?","~?")))</x:f>
      </x:c>
      <x:c r="J557" s="13" t="str">
        <x:f>IF(OR(NOT(ISNUMBER(E557)),NOT(ISNUMBER(I557))),"",ROUND(E557-I557,2))</x:f>
      </x:c>
      <x:c r="K557" s="2" t="str">
        <x:f>IF(COUNTA(A557:F557)=0,"",IF(OR(A557="",B557="",C557="",D557="",NOT(ISNUMBER(E557))),"Missing / invalid input",IF(G557&gt;1,"Duplicate key in this source",IF(H557=0,"Missing in other source",IF(H557&gt;1,"Duplicate in other source",IF(SUMIFS('External Data'!$M$2:$M$1001,'External Data'!$L$2:$L$1001,SUBSTITUTE(SUBSTITUTE(SUBSTITUTE(L557,"~","~~"),"*","~*"),"?","~?"))&lt;&gt;1,"Other amount is invalid",IF(J557&lt;&gt;0,"Amount differs","Matched")))))))</x:f>
      </x:c>
      <x:c r="L557" t="str">
        <x:f>IF(COUNTA(A557:F557)=0,"",LEN(A557)&amp;":"&amp;A557&amp;LEN(B557)&amp;":"&amp;B557&amp;LEN(C557)&amp;":"&amp;C557&amp;LEN(D557)&amp;":"&amp;D557)</x:f>
      </x:c>
      <x:c r="M557" t="str">
        <x:f>IF(COUNTA(A557:F557)=0,"",IF(ISNUMBER(E557),1,0))</x:f>
      </x:c>
    </x:row>
    <x:row r="558">
      <x:c r="A558" s="11"/>
      <x:c r="B558" s="11"/>
      <x:c r="C558" s="11"/>
      <x:c r="D558" s="11"/>
      <x:c r="E558" s="12"/>
      <x:c r="F558" s="10"/>
      <x:c r="G558" s="2" t="str">
        <x:f>IF(COUNTA(A558:F558)=0,"",COUNTIFS('App Data'!$L$2:$L$1001,SUBSTITUTE(SUBSTITUTE(SUBSTITUTE(L558,"~","~~"),"*","~*"),"?","~?")))</x:f>
      </x:c>
      <x:c r="H558" s="2" t="str">
        <x:f>IF(COUNTA(A558:F558)=0,"",COUNTIFS('External Data'!$L$2:$L$1001,SUBSTITUTE(SUBSTITUTE(SUBSTITUTE(L558,"~","~~"),"*","~*"),"?","~?")))</x:f>
      </x:c>
      <x:c r="I558" s="13" t="str">
        <x:f>IF(OR(H558&lt;&gt;1,G558&lt;&gt;1),"",SUMIFS('External Data'!$E$2:$E$1001,'External Data'!$L$2:$L$1001,SUBSTITUTE(SUBSTITUTE(SUBSTITUTE(L558,"~","~~"),"*","~*"),"?","~?")))</x:f>
      </x:c>
      <x:c r="J558" s="13" t="str">
        <x:f>IF(OR(NOT(ISNUMBER(E558)),NOT(ISNUMBER(I558))),"",ROUND(E558-I558,2))</x:f>
      </x:c>
      <x:c r="K558" s="2" t="str">
        <x:f>IF(COUNTA(A558:F558)=0,"",IF(OR(A558="",B558="",C558="",D558="",NOT(ISNUMBER(E558))),"Missing / invalid input",IF(G558&gt;1,"Duplicate key in this source",IF(H558=0,"Missing in other source",IF(H558&gt;1,"Duplicate in other source",IF(SUMIFS('External Data'!$M$2:$M$1001,'External Data'!$L$2:$L$1001,SUBSTITUTE(SUBSTITUTE(SUBSTITUTE(L558,"~","~~"),"*","~*"),"?","~?"))&lt;&gt;1,"Other amount is invalid",IF(J558&lt;&gt;0,"Amount differs","Matched")))))))</x:f>
      </x:c>
      <x:c r="L558" t="str">
        <x:f>IF(COUNTA(A558:F558)=0,"",LEN(A558)&amp;":"&amp;A558&amp;LEN(B558)&amp;":"&amp;B558&amp;LEN(C558)&amp;":"&amp;C558&amp;LEN(D558)&amp;":"&amp;D558)</x:f>
      </x:c>
      <x:c r="M558" t="str">
        <x:f>IF(COUNTA(A558:F558)=0,"",IF(ISNUMBER(E558),1,0))</x:f>
      </x:c>
    </x:row>
    <x:row r="559">
      <x:c r="A559" s="11"/>
      <x:c r="B559" s="11"/>
      <x:c r="C559" s="11"/>
      <x:c r="D559" s="11"/>
      <x:c r="E559" s="12"/>
      <x:c r="F559" s="10"/>
      <x:c r="G559" s="2" t="str">
        <x:f>IF(COUNTA(A559:F559)=0,"",COUNTIFS('App Data'!$L$2:$L$1001,SUBSTITUTE(SUBSTITUTE(SUBSTITUTE(L559,"~","~~"),"*","~*"),"?","~?")))</x:f>
      </x:c>
      <x:c r="H559" s="2" t="str">
        <x:f>IF(COUNTA(A559:F559)=0,"",COUNTIFS('External Data'!$L$2:$L$1001,SUBSTITUTE(SUBSTITUTE(SUBSTITUTE(L559,"~","~~"),"*","~*"),"?","~?")))</x:f>
      </x:c>
      <x:c r="I559" s="13" t="str">
        <x:f>IF(OR(H559&lt;&gt;1,G559&lt;&gt;1),"",SUMIFS('External Data'!$E$2:$E$1001,'External Data'!$L$2:$L$1001,SUBSTITUTE(SUBSTITUTE(SUBSTITUTE(L559,"~","~~"),"*","~*"),"?","~?")))</x:f>
      </x:c>
      <x:c r="J559" s="13" t="str">
        <x:f>IF(OR(NOT(ISNUMBER(E559)),NOT(ISNUMBER(I559))),"",ROUND(E559-I559,2))</x:f>
      </x:c>
      <x:c r="K559" s="2" t="str">
        <x:f>IF(COUNTA(A559:F559)=0,"",IF(OR(A559="",B559="",C559="",D559="",NOT(ISNUMBER(E559))),"Missing / invalid input",IF(G559&gt;1,"Duplicate key in this source",IF(H559=0,"Missing in other source",IF(H559&gt;1,"Duplicate in other source",IF(SUMIFS('External Data'!$M$2:$M$1001,'External Data'!$L$2:$L$1001,SUBSTITUTE(SUBSTITUTE(SUBSTITUTE(L559,"~","~~"),"*","~*"),"?","~?"))&lt;&gt;1,"Other amount is invalid",IF(J559&lt;&gt;0,"Amount differs","Matched")))))))</x:f>
      </x:c>
      <x:c r="L559" t="str">
        <x:f>IF(COUNTA(A559:F559)=0,"",LEN(A559)&amp;":"&amp;A559&amp;LEN(B559)&amp;":"&amp;B559&amp;LEN(C559)&amp;":"&amp;C559&amp;LEN(D559)&amp;":"&amp;D559)</x:f>
      </x:c>
      <x:c r="M559" t="str">
        <x:f>IF(COUNTA(A559:F559)=0,"",IF(ISNUMBER(E559),1,0))</x:f>
      </x:c>
    </x:row>
    <x:row r="560">
      <x:c r="A560" s="11"/>
      <x:c r="B560" s="11"/>
      <x:c r="C560" s="11"/>
      <x:c r="D560" s="11"/>
      <x:c r="E560" s="12"/>
      <x:c r="F560" s="10"/>
      <x:c r="G560" s="2" t="str">
        <x:f>IF(COUNTA(A560:F560)=0,"",COUNTIFS('App Data'!$L$2:$L$1001,SUBSTITUTE(SUBSTITUTE(SUBSTITUTE(L560,"~","~~"),"*","~*"),"?","~?")))</x:f>
      </x:c>
      <x:c r="H560" s="2" t="str">
        <x:f>IF(COUNTA(A560:F560)=0,"",COUNTIFS('External Data'!$L$2:$L$1001,SUBSTITUTE(SUBSTITUTE(SUBSTITUTE(L560,"~","~~"),"*","~*"),"?","~?")))</x:f>
      </x:c>
      <x:c r="I560" s="13" t="str">
        <x:f>IF(OR(H560&lt;&gt;1,G560&lt;&gt;1),"",SUMIFS('External Data'!$E$2:$E$1001,'External Data'!$L$2:$L$1001,SUBSTITUTE(SUBSTITUTE(SUBSTITUTE(L560,"~","~~"),"*","~*"),"?","~?")))</x:f>
      </x:c>
      <x:c r="J560" s="13" t="str">
        <x:f>IF(OR(NOT(ISNUMBER(E560)),NOT(ISNUMBER(I560))),"",ROUND(E560-I560,2))</x:f>
      </x:c>
      <x:c r="K560" s="2" t="str">
        <x:f>IF(COUNTA(A560:F560)=0,"",IF(OR(A560="",B560="",C560="",D560="",NOT(ISNUMBER(E560))),"Missing / invalid input",IF(G560&gt;1,"Duplicate key in this source",IF(H560=0,"Missing in other source",IF(H560&gt;1,"Duplicate in other source",IF(SUMIFS('External Data'!$M$2:$M$1001,'External Data'!$L$2:$L$1001,SUBSTITUTE(SUBSTITUTE(SUBSTITUTE(L560,"~","~~"),"*","~*"),"?","~?"))&lt;&gt;1,"Other amount is invalid",IF(J560&lt;&gt;0,"Amount differs","Matched")))))))</x:f>
      </x:c>
      <x:c r="L560" t="str">
        <x:f>IF(COUNTA(A560:F560)=0,"",LEN(A560)&amp;":"&amp;A560&amp;LEN(B560)&amp;":"&amp;B560&amp;LEN(C560)&amp;":"&amp;C560&amp;LEN(D560)&amp;":"&amp;D560)</x:f>
      </x:c>
      <x:c r="M560" t="str">
        <x:f>IF(COUNTA(A560:F560)=0,"",IF(ISNUMBER(E560),1,0))</x:f>
      </x:c>
    </x:row>
    <x:row r="561">
      <x:c r="A561" s="11"/>
      <x:c r="B561" s="11"/>
      <x:c r="C561" s="11"/>
      <x:c r="D561" s="11"/>
      <x:c r="E561" s="12"/>
      <x:c r="F561" s="10"/>
      <x:c r="G561" s="2" t="str">
        <x:f>IF(COUNTA(A561:F561)=0,"",COUNTIFS('App Data'!$L$2:$L$1001,SUBSTITUTE(SUBSTITUTE(SUBSTITUTE(L561,"~","~~"),"*","~*"),"?","~?")))</x:f>
      </x:c>
      <x:c r="H561" s="2" t="str">
        <x:f>IF(COUNTA(A561:F561)=0,"",COUNTIFS('External Data'!$L$2:$L$1001,SUBSTITUTE(SUBSTITUTE(SUBSTITUTE(L561,"~","~~"),"*","~*"),"?","~?")))</x:f>
      </x:c>
      <x:c r="I561" s="13" t="str">
        <x:f>IF(OR(H561&lt;&gt;1,G561&lt;&gt;1),"",SUMIFS('External Data'!$E$2:$E$1001,'External Data'!$L$2:$L$1001,SUBSTITUTE(SUBSTITUTE(SUBSTITUTE(L561,"~","~~"),"*","~*"),"?","~?")))</x:f>
      </x:c>
      <x:c r="J561" s="13" t="str">
        <x:f>IF(OR(NOT(ISNUMBER(E561)),NOT(ISNUMBER(I561))),"",ROUND(E561-I561,2))</x:f>
      </x:c>
      <x:c r="K561" s="2" t="str">
        <x:f>IF(COUNTA(A561:F561)=0,"",IF(OR(A561="",B561="",C561="",D561="",NOT(ISNUMBER(E561))),"Missing / invalid input",IF(G561&gt;1,"Duplicate key in this source",IF(H561=0,"Missing in other source",IF(H561&gt;1,"Duplicate in other source",IF(SUMIFS('External Data'!$M$2:$M$1001,'External Data'!$L$2:$L$1001,SUBSTITUTE(SUBSTITUTE(SUBSTITUTE(L561,"~","~~"),"*","~*"),"?","~?"))&lt;&gt;1,"Other amount is invalid",IF(J561&lt;&gt;0,"Amount differs","Matched")))))))</x:f>
      </x:c>
      <x:c r="L561" t="str">
        <x:f>IF(COUNTA(A561:F561)=0,"",LEN(A561)&amp;":"&amp;A561&amp;LEN(B561)&amp;":"&amp;B561&amp;LEN(C561)&amp;":"&amp;C561&amp;LEN(D561)&amp;":"&amp;D561)</x:f>
      </x:c>
      <x:c r="M561" t="str">
        <x:f>IF(COUNTA(A561:F561)=0,"",IF(ISNUMBER(E561),1,0))</x:f>
      </x:c>
    </x:row>
    <x:row r="562">
      <x:c r="A562" s="11"/>
      <x:c r="B562" s="11"/>
      <x:c r="C562" s="11"/>
      <x:c r="D562" s="11"/>
      <x:c r="E562" s="12"/>
      <x:c r="F562" s="10"/>
      <x:c r="G562" s="2" t="str">
        <x:f>IF(COUNTA(A562:F562)=0,"",COUNTIFS('App Data'!$L$2:$L$1001,SUBSTITUTE(SUBSTITUTE(SUBSTITUTE(L562,"~","~~"),"*","~*"),"?","~?")))</x:f>
      </x:c>
      <x:c r="H562" s="2" t="str">
        <x:f>IF(COUNTA(A562:F562)=0,"",COUNTIFS('External Data'!$L$2:$L$1001,SUBSTITUTE(SUBSTITUTE(SUBSTITUTE(L562,"~","~~"),"*","~*"),"?","~?")))</x:f>
      </x:c>
      <x:c r="I562" s="13" t="str">
        <x:f>IF(OR(H562&lt;&gt;1,G562&lt;&gt;1),"",SUMIFS('External Data'!$E$2:$E$1001,'External Data'!$L$2:$L$1001,SUBSTITUTE(SUBSTITUTE(SUBSTITUTE(L562,"~","~~"),"*","~*"),"?","~?")))</x:f>
      </x:c>
      <x:c r="J562" s="13" t="str">
        <x:f>IF(OR(NOT(ISNUMBER(E562)),NOT(ISNUMBER(I562))),"",ROUND(E562-I562,2))</x:f>
      </x:c>
      <x:c r="K562" s="2" t="str">
        <x:f>IF(COUNTA(A562:F562)=0,"",IF(OR(A562="",B562="",C562="",D562="",NOT(ISNUMBER(E562))),"Missing / invalid input",IF(G562&gt;1,"Duplicate key in this source",IF(H562=0,"Missing in other source",IF(H562&gt;1,"Duplicate in other source",IF(SUMIFS('External Data'!$M$2:$M$1001,'External Data'!$L$2:$L$1001,SUBSTITUTE(SUBSTITUTE(SUBSTITUTE(L562,"~","~~"),"*","~*"),"?","~?"))&lt;&gt;1,"Other amount is invalid",IF(J562&lt;&gt;0,"Amount differs","Matched")))))))</x:f>
      </x:c>
      <x:c r="L562" t="str">
        <x:f>IF(COUNTA(A562:F562)=0,"",LEN(A562)&amp;":"&amp;A562&amp;LEN(B562)&amp;":"&amp;B562&amp;LEN(C562)&amp;":"&amp;C562&amp;LEN(D562)&amp;":"&amp;D562)</x:f>
      </x:c>
      <x:c r="M562" t="str">
        <x:f>IF(COUNTA(A562:F562)=0,"",IF(ISNUMBER(E562),1,0))</x:f>
      </x:c>
    </x:row>
    <x:row r="563">
      <x:c r="A563" s="11"/>
      <x:c r="B563" s="11"/>
      <x:c r="C563" s="11"/>
      <x:c r="D563" s="11"/>
      <x:c r="E563" s="12"/>
      <x:c r="F563" s="10"/>
      <x:c r="G563" s="2" t="str">
        <x:f>IF(COUNTA(A563:F563)=0,"",COUNTIFS('App Data'!$L$2:$L$1001,SUBSTITUTE(SUBSTITUTE(SUBSTITUTE(L563,"~","~~"),"*","~*"),"?","~?")))</x:f>
      </x:c>
      <x:c r="H563" s="2" t="str">
        <x:f>IF(COUNTA(A563:F563)=0,"",COUNTIFS('External Data'!$L$2:$L$1001,SUBSTITUTE(SUBSTITUTE(SUBSTITUTE(L563,"~","~~"),"*","~*"),"?","~?")))</x:f>
      </x:c>
      <x:c r="I563" s="13" t="str">
        <x:f>IF(OR(H563&lt;&gt;1,G563&lt;&gt;1),"",SUMIFS('External Data'!$E$2:$E$1001,'External Data'!$L$2:$L$1001,SUBSTITUTE(SUBSTITUTE(SUBSTITUTE(L563,"~","~~"),"*","~*"),"?","~?")))</x:f>
      </x:c>
      <x:c r="J563" s="13" t="str">
        <x:f>IF(OR(NOT(ISNUMBER(E563)),NOT(ISNUMBER(I563))),"",ROUND(E563-I563,2))</x:f>
      </x:c>
      <x:c r="K563" s="2" t="str">
        <x:f>IF(COUNTA(A563:F563)=0,"",IF(OR(A563="",B563="",C563="",D563="",NOT(ISNUMBER(E563))),"Missing / invalid input",IF(G563&gt;1,"Duplicate key in this source",IF(H563=0,"Missing in other source",IF(H563&gt;1,"Duplicate in other source",IF(SUMIFS('External Data'!$M$2:$M$1001,'External Data'!$L$2:$L$1001,SUBSTITUTE(SUBSTITUTE(SUBSTITUTE(L563,"~","~~"),"*","~*"),"?","~?"))&lt;&gt;1,"Other amount is invalid",IF(J563&lt;&gt;0,"Amount differs","Matched")))))))</x:f>
      </x:c>
      <x:c r="L563" t="str">
        <x:f>IF(COUNTA(A563:F563)=0,"",LEN(A563)&amp;":"&amp;A563&amp;LEN(B563)&amp;":"&amp;B563&amp;LEN(C563)&amp;":"&amp;C563&amp;LEN(D563)&amp;":"&amp;D563)</x:f>
      </x:c>
      <x:c r="M563" t="str">
        <x:f>IF(COUNTA(A563:F563)=0,"",IF(ISNUMBER(E563),1,0))</x:f>
      </x:c>
    </x:row>
    <x:row r="564">
      <x:c r="A564" s="11"/>
      <x:c r="B564" s="11"/>
      <x:c r="C564" s="11"/>
      <x:c r="D564" s="11"/>
      <x:c r="E564" s="12"/>
      <x:c r="F564" s="10"/>
      <x:c r="G564" s="2" t="str">
        <x:f>IF(COUNTA(A564:F564)=0,"",COUNTIFS('App Data'!$L$2:$L$1001,SUBSTITUTE(SUBSTITUTE(SUBSTITUTE(L564,"~","~~"),"*","~*"),"?","~?")))</x:f>
      </x:c>
      <x:c r="H564" s="2" t="str">
        <x:f>IF(COUNTA(A564:F564)=0,"",COUNTIFS('External Data'!$L$2:$L$1001,SUBSTITUTE(SUBSTITUTE(SUBSTITUTE(L564,"~","~~"),"*","~*"),"?","~?")))</x:f>
      </x:c>
      <x:c r="I564" s="13" t="str">
        <x:f>IF(OR(H564&lt;&gt;1,G564&lt;&gt;1),"",SUMIFS('External Data'!$E$2:$E$1001,'External Data'!$L$2:$L$1001,SUBSTITUTE(SUBSTITUTE(SUBSTITUTE(L564,"~","~~"),"*","~*"),"?","~?")))</x:f>
      </x:c>
      <x:c r="J564" s="13" t="str">
        <x:f>IF(OR(NOT(ISNUMBER(E564)),NOT(ISNUMBER(I564))),"",ROUND(E564-I564,2))</x:f>
      </x:c>
      <x:c r="K564" s="2" t="str">
        <x:f>IF(COUNTA(A564:F564)=0,"",IF(OR(A564="",B564="",C564="",D564="",NOT(ISNUMBER(E564))),"Missing / invalid input",IF(G564&gt;1,"Duplicate key in this source",IF(H564=0,"Missing in other source",IF(H564&gt;1,"Duplicate in other source",IF(SUMIFS('External Data'!$M$2:$M$1001,'External Data'!$L$2:$L$1001,SUBSTITUTE(SUBSTITUTE(SUBSTITUTE(L564,"~","~~"),"*","~*"),"?","~?"))&lt;&gt;1,"Other amount is invalid",IF(J564&lt;&gt;0,"Amount differs","Matched")))))))</x:f>
      </x:c>
      <x:c r="L564" t="str">
        <x:f>IF(COUNTA(A564:F564)=0,"",LEN(A564)&amp;":"&amp;A564&amp;LEN(B564)&amp;":"&amp;B564&amp;LEN(C564)&amp;":"&amp;C564&amp;LEN(D564)&amp;":"&amp;D564)</x:f>
      </x:c>
      <x:c r="M564" t="str">
        <x:f>IF(COUNTA(A564:F564)=0,"",IF(ISNUMBER(E564),1,0))</x:f>
      </x:c>
    </x:row>
    <x:row r="565">
      <x:c r="A565" s="11"/>
      <x:c r="B565" s="11"/>
      <x:c r="C565" s="11"/>
      <x:c r="D565" s="11"/>
      <x:c r="E565" s="12"/>
      <x:c r="F565" s="10"/>
      <x:c r="G565" s="2" t="str">
        <x:f>IF(COUNTA(A565:F565)=0,"",COUNTIFS('App Data'!$L$2:$L$1001,SUBSTITUTE(SUBSTITUTE(SUBSTITUTE(L565,"~","~~"),"*","~*"),"?","~?")))</x:f>
      </x:c>
      <x:c r="H565" s="2" t="str">
        <x:f>IF(COUNTA(A565:F565)=0,"",COUNTIFS('External Data'!$L$2:$L$1001,SUBSTITUTE(SUBSTITUTE(SUBSTITUTE(L565,"~","~~"),"*","~*"),"?","~?")))</x:f>
      </x:c>
      <x:c r="I565" s="13" t="str">
        <x:f>IF(OR(H565&lt;&gt;1,G565&lt;&gt;1),"",SUMIFS('External Data'!$E$2:$E$1001,'External Data'!$L$2:$L$1001,SUBSTITUTE(SUBSTITUTE(SUBSTITUTE(L565,"~","~~"),"*","~*"),"?","~?")))</x:f>
      </x:c>
      <x:c r="J565" s="13" t="str">
        <x:f>IF(OR(NOT(ISNUMBER(E565)),NOT(ISNUMBER(I565))),"",ROUND(E565-I565,2))</x:f>
      </x:c>
      <x:c r="K565" s="2" t="str">
        <x:f>IF(COUNTA(A565:F565)=0,"",IF(OR(A565="",B565="",C565="",D565="",NOT(ISNUMBER(E565))),"Missing / invalid input",IF(G565&gt;1,"Duplicate key in this source",IF(H565=0,"Missing in other source",IF(H565&gt;1,"Duplicate in other source",IF(SUMIFS('External Data'!$M$2:$M$1001,'External Data'!$L$2:$L$1001,SUBSTITUTE(SUBSTITUTE(SUBSTITUTE(L565,"~","~~"),"*","~*"),"?","~?"))&lt;&gt;1,"Other amount is invalid",IF(J565&lt;&gt;0,"Amount differs","Matched")))))))</x:f>
      </x:c>
      <x:c r="L565" t="str">
        <x:f>IF(COUNTA(A565:F565)=0,"",LEN(A565)&amp;":"&amp;A565&amp;LEN(B565)&amp;":"&amp;B565&amp;LEN(C565)&amp;":"&amp;C565&amp;LEN(D565)&amp;":"&amp;D565)</x:f>
      </x:c>
      <x:c r="M565" t="str">
        <x:f>IF(COUNTA(A565:F565)=0,"",IF(ISNUMBER(E565),1,0))</x:f>
      </x:c>
    </x:row>
    <x:row r="566">
      <x:c r="A566" s="11"/>
      <x:c r="B566" s="11"/>
      <x:c r="C566" s="11"/>
      <x:c r="D566" s="11"/>
      <x:c r="E566" s="12"/>
      <x:c r="F566" s="10"/>
      <x:c r="G566" s="2" t="str">
        <x:f>IF(COUNTA(A566:F566)=0,"",COUNTIFS('App Data'!$L$2:$L$1001,SUBSTITUTE(SUBSTITUTE(SUBSTITUTE(L566,"~","~~"),"*","~*"),"?","~?")))</x:f>
      </x:c>
      <x:c r="H566" s="2" t="str">
        <x:f>IF(COUNTA(A566:F566)=0,"",COUNTIFS('External Data'!$L$2:$L$1001,SUBSTITUTE(SUBSTITUTE(SUBSTITUTE(L566,"~","~~"),"*","~*"),"?","~?")))</x:f>
      </x:c>
      <x:c r="I566" s="13" t="str">
        <x:f>IF(OR(H566&lt;&gt;1,G566&lt;&gt;1),"",SUMIFS('External Data'!$E$2:$E$1001,'External Data'!$L$2:$L$1001,SUBSTITUTE(SUBSTITUTE(SUBSTITUTE(L566,"~","~~"),"*","~*"),"?","~?")))</x:f>
      </x:c>
      <x:c r="J566" s="13" t="str">
        <x:f>IF(OR(NOT(ISNUMBER(E566)),NOT(ISNUMBER(I566))),"",ROUND(E566-I566,2))</x:f>
      </x:c>
      <x:c r="K566" s="2" t="str">
        <x:f>IF(COUNTA(A566:F566)=0,"",IF(OR(A566="",B566="",C566="",D566="",NOT(ISNUMBER(E566))),"Missing / invalid input",IF(G566&gt;1,"Duplicate key in this source",IF(H566=0,"Missing in other source",IF(H566&gt;1,"Duplicate in other source",IF(SUMIFS('External Data'!$M$2:$M$1001,'External Data'!$L$2:$L$1001,SUBSTITUTE(SUBSTITUTE(SUBSTITUTE(L566,"~","~~"),"*","~*"),"?","~?"))&lt;&gt;1,"Other amount is invalid",IF(J566&lt;&gt;0,"Amount differs","Matched")))))))</x:f>
      </x:c>
      <x:c r="L566" t="str">
        <x:f>IF(COUNTA(A566:F566)=0,"",LEN(A566)&amp;":"&amp;A566&amp;LEN(B566)&amp;":"&amp;B566&amp;LEN(C566)&amp;":"&amp;C566&amp;LEN(D566)&amp;":"&amp;D566)</x:f>
      </x:c>
      <x:c r="M566" t="str">
        <x:f>IF(COUNTA(A566:F566)=0,"",IF(ISNUMBER(E566),1,0))</x:f>
      </x:c>
    </x:row>
    <x:row r="567">
      <x:c r="A567" s="11"/>
      <x:c r="B567" s="11"/>
      <x:c r="C567" s="11"/>
      <x:c r="D567" s="11"/>
      <x:c r="E567" s="12"/>
      <x:c r="F567" s="10"/>
      <x:c r="G567" s="2" t="str">
        <x:f>IF(COUNTA(A567:F567)=0,"",COUNTIFS('App Data'!$L$2:$L$1001,SUBSTITUTE(SUBSTITUTE(SUBSTITUTE(L567,"~","~~"),"*","~*"),"?","~?")))</x:f>
      </x:c>
      <x:c r="H567" s="2" t="str">
        <x:f>IF(COUNTA(A567:F567)=0,"",COUNTIFS('External Data'!$L$2:$L$1001,SUBSTITUTE(SUBSTITUTE(SUBSTITUTE(L567,"~","~~"),"*","~*"),"?","~?")))</x:f>
      </x:c>
      <x:c r="I567" s="13" t="str">
        <x:f>IF(OR(H567&lt;&gt;1,G567&lt;&gt;1),"",SUMIFS('External Data'!$E$2:$E$1001,'External Data'!$L$2:$L$1001,SUBSTITUTE(SUBSTITUTE(SUBSTITUTE(L567,"~","~~"),"*","~*"),"?","~?")))</x:f>
      </x:c>
      <x:c r="J567" s="13" t="str">
        <x:f>IF(OR(NOT(ISNUMBER(E567)),NOT(ISNUMBER(I567))),"",ROUND(E567-I567,2))</x:f>
      </x:c>
      <x:c r="K567" s="2" t="str">
        <x:f>IF(COUNTA(A567:F567)=0,"",IF(OR(A567="",B567="",C567="",D567="",NOT(ISNUMBER(E567))),"Missing / invalid input",IF(G567&gt;1,"Duplicate key in this source",IF(H567=0,"Missing in other source",IF(H567&gt;1,"Duplicate in other source",IF(SUMIFS('External Data'!$M$2:$M$1001,'External Data'!$L$2:$L$1001,SUBSTITUTE(SUBSTITUTE(SUBSTITUTE(L567,"~","~~"),"*","~*"),"?","~?"))&lt;&gt;1,"Other amount is invalid",IF(J567&lt;&gt;0,"Amount differs","Matched")))))))</x:f>
      </x:c>
      <x:c r="L567" t="str">
        <x:f>IF(COUNTA(A567:F567)=0,"",LEN(A567)&amp;":"&amp;A567&amp;LEN(B567)&amp;":"&amp;B567&amp;LEN(C567)&amp;":"&amp;C567&amp;LEN(D567)&amp;":"&amp;D567)</x:f>
      </x:c>
      <x:c r="M567" t="str">
        <x:f>IF(COUNTA(A567:F567)=0,"",IF(ISNUMBER(E567),1,0))</x:f>
      </x:c>
    </x:row>
    <x:row r="568">
      <x:c r="A568" s="11"/>
      <x:c r="B568" s="11"/>
      <x:c r="C568" s="11"/>
      <x:c r="D568" s="11"/>
      <x:c r="E568" s="12"/>
      <x:c r="F568" s="10"/>
      <x:c r="G568" s="2" t="str">
        <x:f>IF(COUNTA(A568:F568)=0,"",COUNTIFS('App Data'!$L$2:$L$1001,SUBSTITUTE(SUBSTITUTE(SUBSTITUTE(L568,"~","~~"),"*","~*"),"?","~?")))</x:f>
      </x:c>
      <x:c r="H568" s="2" t="str">
        <x:f>IF(COUNTA(A568:F568)=0,"",COUNTIFS('External Data'!$L$2:$L$1001,SUBSTITUTE(SUBSTITUTE(SUBSTITUTE(L568,"~","~~"),"*","~*"),"?","~?")))</x:f>
      </x:c>
      <x:c r="I568" s="13" t="str">
        <x:f>IF(OR(H568&lt;&gt;1,G568&lt;&gt;1),"",SUMIFS('External Data'!$E$2:$E$1001,'External Data'!$L$2:$L$1001,SUBSTITUTE(SUBSTITUTE(SUBSTITUTE(L568,"~","~~"),"*","~*"),"?","~?")))</x:f>
      </x:c>
      <x:c r="J568" s="13" t="str">
        <x:f>IF(OR(NOT(ISNUMBER(E568)),NOT(ISNUMBER(I568))),"",ROUND(E568-I568,2))</x:f>
      </x:c>
      <x:c r="K568" s="2" t="str">
        <x:f>IF(COUNTA(A568:F568)=0,"",IF(OR(A568="",B568="",C568="",D568="",NOT(ISNUMBER(E568))),"Missing / invalid input",IF(G568&gt;1,"Duplicate key in this source",IF(H568=0,"Missing in other source",IF(H568&gt;1,"Duplicate in other source",IF(SUMIFS('External Data'!$M$2:$M$1001,'External Data'!$L$2:$L$1001,SUBSTITUTE(SUBSTITUTE(SUBSTITUTE(L568,"~","~~"),"*","~*"),"?","~?"))&lt;&gt;1,"Other amount is invalid",IF(J568&lt;&gt;0,"Amount differs","Matched")))))))</x:f>
      </x:c>
      <x:c r="L568" t="str">
        <x:f>IF(COUNTA(A568:F568)=0,"",LEN(A568)&amp;":"&amp;A568&amp;LEN(B568)&amp;":"&amp;B568&amp;LEN(C568)&amp;":"&amp;C568&amp;LEN(D568)&amp;":"&amp;D568)</x:f>
      </x:c>
      <x:c r="M568" t="str">
        <x:f>IF(COUNTA(A568:F568)=0,"",IF(ISNUMBER(E568),1,0))</x:f>
      </x:c>
    </x:row>
    <x:row r="569">
      <x:c r="A569" s="11"/>
      <x:c r="B569" s="11"/>
      <x:c r="C569" s="11"/>
      <x:c r="D569" s="11"/>
      <x:c r="E569" s="12"/>
      <x:c r="F569" s="10"/>
      <x:c r="G569" s="2" t="str">
        <x:f>IF(COUNTA(A569:F569)=0,"",COUNTIFS('App Data'!$L$2:$L$1001,SUBSTITUTE(SUBSTITUTE(SUBSTITUTE(L569,"~","~~"),"*","~*"),"?","~?")))</x:f>
      </x:c>
      <x:c r="H569" s="2" t="str">
        <x:f>IF(COUNTA(A569:F569)=0,"",COUNTIFS('External Data'!$L$2:$L$1001,SUBSTITUTE(SUBSTITUTE(SUBSTITUTE(L569,"~","~~"),"*","~*"),"?","~?")))</x:f>
      </x:c>
      <x:c r="I569" s="13" t="str">
        <x:f>IF(OR(H569&lt;&gt;1,G569&lt;&gt;1),"",SUMIFS('External Data'!$E$2:$E$1001,'External Data'!$L$2:$L$1001,SUBSTITUTE(SUBSTITUTE(SUBSTITUTE(L569,"~","~~"),"*","~*"),"?","~?")))</x:f>
      </x:c>
      <x:c r="J569" s="13" t="str">
        <x:f>IF(OR(NOT(ISNUMBER(E569)),NOT(ISNUMBER(I569))),"",ROUND(E569-I569,2))</x:f>
      </x:c>
      <x:c r="K569" s="2" t="str">
        <x:f>IF(COUNTA(A569:F569)=0,"",IF(OR(A569="",B569="",C569="",D569="",NOT(ISNUMBER(E569))),"Missing / invalid input",IF(G569&gt;1,"Duplicate key in this source",IF(H569=0,"Missing in other source",IF(H569&gt;1,"Duplicate in other source",IF(SUMIFS('External Data'!$M$2:$M$1001,'External Data'!$L$2:$L$1001,SUBSTITUTE(SUBSTITUTE(SUBSTITUTE(L569,"~","~~"),"*","~*"),"?","~?"))&lt;&gt;1,"Other amount is invalid",IF(J569&lt;&gt;0,"Amount differs","Matched")))))))</x:f>
      </x:c>
      <x:c r="L569" t="str">
        <x:f>IF(COUNTA(A569:F569)=0,"",LEN(A569)&amp;":"&amp;A569&amp;LEN(B569)&amp;":"&amp;B569&amp;LEN(C569)&amp;":"&amp;C569&amp;LEN(D569)&amp;":"&amp;D569)</x:f>
      </x:c>
      <x:c r="M569" t="str">
        <x:f>IF(COUNTA(A569:F569)=0,"",IF(ISNUMBER(E569),1,0))</x:f>
      </x:c>
    </x:row>
    <x:row r="570">
      <x:c r="A570" s="11"/>
      <x:c r="B570" s="11"/>
      <x:c r="C570" s="11"/>
      <x:c r="D570" s="11"/>
      <x:c r="E570" s="12"/>
      <x:c r="F570" s="10"/>
      <x:c r="G570" s="2" t="str">
        <x:f>IF(COUNTA(A570:F570)=0,"",COUNTIFS('App Data'!$L$2:$L$1001,SUBSTITUTE(SUBSTITUTE(SUBSTITUTE(L570,"~","~~"),"*","~*"),"?","~?")))</x:f>
      </x:c>
      <x:c r="H570" s="2" t="str">
        <x:f>IF(COUNTA(A570:F570)=0,"",COUNTIFS('External Data'!$L$2:$L$1001,SUBSTITUTE(SUBSTITUTE(SUBSTITUTE(L570,"~","~~"),"*","~*"),"?","~?")))</x:f>
      </x:c>
      <x:c r="I570" s="13" t="str">
        <x:f>IF(OR(H570&lt;&gt;1,G570&lt;&gt;1),"",SUMIFS('External Data'!$E$2:$E$1001,'External Data'!$L$2:$L$1001,SUBSTITUTE(SUBSTITUTE(SUBSTITUTE(L570,"~","~~"),"*","~*"),"?","~?")))</x:f>
      </x:c>
      <x:c r="J570" s="13" t="str">
        <x:f>IF(OR(NOT(ISNUMBER(E570)),NOT(ISNUMBER(I570))),"",ROUND(E570-I570,2))</x:f>
      </x:c>
      <x:c r="K570" s="2" t="str">
        <x:f>IF(COUNTA(A570:F570)=0,"",IF(OR(A570="",B570="",C570="",D570="",NOT(ISNUMBER(E570))),"Missing / invalid input",IF(G570&gt;1,"Duplicate key in this source",IF(H570=0,"Missing in other source",IF(H570&gt;1,"Duplicate in other source",IF(SUMIFS('External Data'!$M$2:$M$1001,'External Data'!$L$2:$L$1001,SUBSTITUTE(SUBSTITUTE(SUBSTITUTE(L570,"~","~~"),"*","~*"),"?","~?"))&lt;&gt;1,"Other amount is invalid",IF(J570&lt;&gt;0,"Amount differs","Matched")))))))</x:f>
      </x:c>
      <x:c r="L570" t="str">
        <x:f>IF(COUNTA(A570:F570)=0,"",LEN(A570)&amp;":"&amp;A570&amp;LEN(B570)&amp;":"&amp;B570&amp;LEN(C570)&amp;":"&amp;C570&amp;LEN(D570)&amp;":"&amp;D570)</x:f>
      </x:c>
      <x:c r="M570" t="str">
        <x:f>IF(COUNTA(A570:F570)=0,"",IF(ISNUMBER(E570),1,0))</x:f>
      </x:c>
    </x:row>
    <x:row r="571">
      <x:c r="A571" s="11"/>
      <x:c r="B571" s="11"/>
      <x:c r="C571" s="11"/>
      <x:c r="D571" s="11"/>
      <x:c r="E571" s="12"/>
      <x:c r="F571" s="10"/>
      <x:c r="G571" s="2" t="str">
        <x:f>IF(COUNTA(A571:F571)=0,"",COUNTIFS('App Data'!$L$2:$L$1001,SUBSTITUTE(SUBSTITUTE(SUBSTITUTE(L571,"~","~~"),"*","~*"),"?","~?")))</x:f>
      </x:c>
      <x:c r="H571" s="2" t="str">
        <x:f>IF(COUNTA(A571:F571)=0,"",COUNTIFS('External Data'!$L$2:$L$1001,SUBSTITUTE(SUBSTITUTE(SUBSTITUTE(L571,"~","~~"),"*","~*"),"?","~?")))</x:f>
      </x:c>
      <x:c r="I571" s="13" t="str">
        <x:f>IF(OR(H571&lt;&gt;1,G571&lt;&gt;1),"",SUMIFS('External Data'!$E$2:$E$1001,'External Data'!$L$2:$L$1001,SUBSTITUTE(SUBSTITUTE(SUBSTITUTE(L571,"~","~~"),"*","~*"),"?","~?")))</x:f>
      </x:c>
      <x:c r="J571" s="13" t="str">
        <x:f>IF(OR(NOT(ISNUMBER(E571)),NOT(ISNUMBER(I571))),"",ROUND(E571-I571,2))</x:f>
      </x:c>
      <x:c r="K571" s="2" t="str">
        <x:f>IF(COUNTA(A571:F571)=0,"",IF(OR(A571="",B571="",C571="",D571="",NOT(ISNUMBER(E571))),"Missing / invalid input",IF(G571&gt;1,"Duplicate key in this source",IF(H571=0,"Missing in other source",IF(H571&gt;1,"Duplicate in other source",IF(SUMIFS('External Data'!$M$2:$M$1001,'External Data'!$L$2:$L$1001,SUBSTITUTE(SUBSTITUTE(SUBSTITUTE(L571,"~","~~"),"*","~*"),"?","~?"))&lt;&gt;1,"Other amount is invalid",IF(J571&lt;&gt;0,"Amount differs","Matched")))))))</x:f>
      </x:c>
      <x:c r="L571" t="str">
        <x:f>IF(COUNTA(A571:F571)=0,"",LEN(A571)&amp;":"&amp;A571&amp;LEN(B571)&amp;":"&amp;B571&amp;LEN(C571)&amp;":"&amp;C571&amp;LEN(D571)&amp;":"&amp;D571)</x:f>
      </x:c>
      <x:c r="M571" t="str">
        <x:f>IF(COUNTA(A571:F571)=0,"",IF(ISNUMBER(E571),1,0))</x:f>
      </x:c>
    </x:row>
    <x:row r="572">
      <x:c r="A572" s="11"/>
      <x:c r="B572" s="11"/>
      <x:c r="C572" s="11"/>
      <x:c r="D572" s="11"/>
      <x:c r="E572" s="12"/>
      <x:c r="F572" s="10"/>
      <x:c r="G572" s="2" t="str">
        <x:f>IF(COUNTA(A572:F572)=0,"",COUNTIFS('App Data'!$L$2:$L$1001,SUBSTITUTE(SUBSTITUTE(SUBSTITUTE(L572,"~","~~"),"*","~*"),"?","~?")))</x:f>
      </x:c>
      <x:c r="H572" s="2" t="str">
        <x:f>IF(COUNTA(A572:F572)=0,"",COUNTIFS('External Data'!$L$2:$L$1001,SUBSTITUTE(SUBSTITUTE(SUBSTITUTE(L572,"~","~~"),"*","~*"),"?","~?")))</x:f>
      </x:c>
      <x:c r="I572" s="13" t="str">
        <x:f>IF(OR(H572&lt;&gt;1,G572&lt;&gt;1),"",SUMIFS('External Data'!$E$2:$E$1001,'External Data'!$L$2:$L$1001,SUBSTITUTE(SUBSTITUTE(SUBSTITUTE(L572,"~","~~"),"*","~*"),"?","~?")))</x:f>
      </x:c>
      <x:c r="J572" s="13" t="str">
        <x:f>IF(OR(NOT(ISNUMBER(E572)),NOT(ISNUMBER(I572))),"",ROUND(E572-I572,2))</x:f>
      </x:c>
      <x:c r="K572" s="2" t="str">
        <x:f>IF(COUNTA(A572:F572)=0,"",IF(OR(A572="",B572="",C572="",D572="",NOT(ISNUMBER(E572))),"Missing / invalid input",IF(G572&gt;1,"Duplicate key in this source",IF(H572=0,"Missing in other source",IF(H572&gt;1,"Duplicate in other source",IF(SUMIFS('External Data'!$M$2:$M$1001,'External Data'!$L$2:$L$1001,SUBSTITUTE(SUBSTITUTE(SUBSTITUTE(L572,"~","~~"),"*","~*"),"?","~?"))&lt;&gt;1,"Other amount is invalid",IF(J572&lt;&gt;0,"Amount differs","Matched")))))))</x:f>
      </x:c>
      <x:c r="L572" t="str">
        <x:f>IF(COUNTA(A572:F572)=0,"",LEN(A572)&amp;":"&amp;A572&amp;LEN(B572)&amp;":"&amp;B572&amp;LEN(C572)&amp;":"&amp;C572&amp;LEN(D572)&amp;":"&amp;D572)</x:f>
      </x:c>
      <x:c r="M572" t="str">
        <x:f>IF(COUNTA(A572:F572)=0,"",IF(ISNUMBER(E572),1,0))</x:f>
      </x:c>
    </x:row>
    <x:row r="573">
      <x:c r="A573" s="11"/>
      <x:c r="B573" s="11"/>
      <x:c r="C573" s="11"/>
      <x:c r="D573" s="11"/>
      <x:c r="E573" s="12"/>
      <x:c r="F573" s="10"/>
      <x:c r="G573" s="2" t="str">
        <x:f>IF(COUNTA(A573:F573)=0,"",COUNTIFS('App Data'!$L$2:$L$1001,SUBSTITUTE(SUBSTITUTE(SUBSTITUTE(L573,"~","~~"),"*","~*"),"?","~?")))</x:f>
      </x:c>
      <x:c r="H573" s="2" t="str">
        <x:f>IF(COUNTA(A573:F573)=0,"",COUNTIFS('External Data'!$L$2:$L$1001,SUBSTITUTE(SUBSTITUTE(SUBSTITUTE(L573,"~","~~"),"*","~*"),"?","~?")))</x:f>
      </x:c>
      <x:c r="I573" s="13" t="str">
        <x:f>IF(OR(H573&lt;&gt;1,G573&lt;&gt;1),"",SUMIFS('External Data'!$E$2:$E$1001,'External Data'!$L$2:$L$1001,SUBSTITUTE(SUBSTITUTE(SUBSTITUTE(L573,"~","~~"),"*","~*"),"?","~?")))</x:f>
      </x:c>
      <x:c r="J573" s="13" t="str">
        <x:f>IF(OR(NOT(ISNUMBER(E573)),NOT(ISNUMBER(I573))),"",ROUND(E573-I573,2))</x:f>
      </x:c>
      <x:c r="K573" s="2" t="str">
        <x:f>IF(COUNTA(A573:F573)=0,"",IF(OR(A573="",B573="",C573="",D573="",NOT(ISNUMBER(E573))),"Missing / invalid input",IF(G573&gt;1,"Duplicate key in this source",IF(H573=0,"Missing in other source",IF(H573&gt;1,"Duplicate in other source",IF(SUMIFS('External Data'!$M$2:$M$1001,'External Data'!$L$2:$L$1001,SUBSTITUTE(SUBSTITUTE(SUBSTITUTE(L573,"~","~~"),"*","~*"),"?","~?"))&lt;&gt;1,"Other amount is invalid",IF(J573&lt;&gt;0,"Amount differs","Matched")))))))</x:f>
      </x:c>
      <x:c r="L573" t="str">
        <x:f>IF(COUNTA(A573:F573)=0,"",LEN(A573)&amp;":"&amp;A573&amp;LEN(B573)&amp;":"&amp;B573&amp;LEN(C573)&amp;":"&amp;C573&amp;LEN(D573)&amp;":"&amp;D573)</x:f>
      </x:c>
      <x:c r="M573" t="str">
        <x:f>IF(COUNTA(A573:F573)=0,"",IF(ISNUMBER(E573),1,0))</x:f>
      </x:c>
    </x:row>
    <x:row r="574">
      <x:c r="A574" s="11"/>
      <x:c r="B574" s="11"/>
      <x:c r="C574" s="11"/>
      <x:c r="D574" s="11"/>
      <x:c r="E574" s="12"/>
      <x:c r="F574" s="10"/>
      <x:c r="G574" s="2" t="str">
        <x:f>IF(COUNTA(A574:F574)=0,"",COUNTIFS('App Data'!$L$2:$L$1001,SUBSTITUTE(SUBSTITUTE(SUBSTITUTE(L574,"~","~~"),"*","~*"),"?","~?")))</x:f>
      </x:c>
      <x:c r="H574" s="2" t="str">
        <x:f>IF(COUNTA(A574:F574)=0,"",COUNTIFS('External Data'!$L$2:$L$1001,SUBSTITUTE(SUBSTITUTE(SUBSTITUTE(L574,"~","~~"),"*","~*"),"?","~?")))</x:f>
      </x:c>
      <x:c r="I574" s="13" t="str">
        <x:f>IF(OR(H574&lt;&gt;1,G574&lt;&gt;1),"",SUMIFS('External Data'!$E$2:$E$1001,'External Data'!$L$2:$L$1001,SUBSTITUTE(SUBSTITUTE(SUBSTITUTE(L574,"~","~~"),"*","~*"),"?","~?")))</x:f>
      </x:c>
      <x:c r="J574" s="13" t="str">
        <x:f>IF(OR(NOT(ISNUMBER(E574)),NOT(ISNUMBER(I574))),"",ROUND(E574-I574,2))</x:f>
      </x:c>
      <x:c r="K574" s="2" t="str">
        <x:f>IF(COUNTA(A574:F574)=0,"",IF(OR(A574="",B574="",C574="",D574="",NOT(ISNUMBER(E574))),"Missing / invalid input",IF(G574&gt;1,"Duplicate key in this source",IF(H574=0,"Missing in other source",IF(H574&gt;1,"Duplicate in other source",IF(SUMIFS('External Data'!$M$2:$M$1001,'External Data'!$L$2:$L$1001,SUBSTITUTE(SUBSTITUTE(SUBSTITUTE(L574,"~","~~"),"*","~*"),"?","~?"))&lt;&gt;1,"Other amount is invalid",IF(J574&lt;&gt;0,"Amount differs","Matched")))))))</x:f>
      </x:c>
      <x:c r="L574" t="str">
        <x:f>IF(COUNTA(A574:F574)=0,"",LEN(A574)&amp;":"&amp;A574&amp;LEN(B574)&amp;":"&amp;B574&amp;LEN(C574)&amp;":"&amp;C574&amp;LEN(D574)&amp;":"&amp;D574)</x:f>
      </x:c>
      <x:c r="M574" t="str">
        <x:f>IF(COUNTA(A574:F574)=0,"",IF(ISNUMBER(E574),1,0))</x:f>
      </x:c>
    </x:row>
    <x:row r="575">
      <x:c r="A575" s="11"/>
      <x:c r="B575" s="11"/>
      <x:c r="C575" s="11"/>
      <x:c r="D575" s="11"/>
      <x:c r="E575" s="12"/>
      <x:c r="F575" s="10"/>
      <x:c r="G575" s="2" t="str">
        <x:f>IF(COUNTA(A575:F575)=0,"",COUNTIFS('App Data'!$L$2:$L$1001,SUBSTITUTE(SUBSTITUTE(SUBSTITUTE(L575,"~","~~"),"*","~*"),"?","~?")))</x:f>
      </x:c>
      <x:c r="H575" s="2" t="str">
        <x:f>IF(COUNTA(A575:F575)=0,"",COUNTIFS('External Data'!$L$2:$L$1001,SUBSTITUTE(SUBSTITUTE(SUBSTITUTE(L575,"~","~~"),"*","~*"),"?","~?")))</x:f>
      </x:c>
      <x:c r="I575" s="13" t="str">
        <x:f>IF(OR(H575&lt;&gt;1,G575&lt;&gt;1),"",SUMIFS('External Data'!$E$2:$E$1001,'External Data'!$L$2:$L$1001,SUBSTITUTE(SUBSTITUTE(SUBSTITUTE(L575,"~","~~"),"*","~*"),"?","~?")))</x:f>
      </x:c>
      <x:c r="J575" s="13" t="str">
        <x:f>IF(OR(NOT(ISNUMBER(E575)),NOT(ISNUMBER(I575))),"",ROUND(E575-I575,2))</x:f>
      </x:c>
      <x:c r="K575" s="2" t="str">
        <x:f>IF(COUNTA(A575:F575)=0,"",IF(OR(A575="",B575="",C575="",D575="",NOT(ISNUMBER(E575))),"Missing / invalid input",IF(G575&gt;1,"Duplicate key in this source",IF(H575=0,"Missing in other source",IF(H575&gt;1,"Duplicate in other source",IF(SUMIFS('External Data'!$M$2:$M$1001,'External Data'!$L$2:$L$1001,SUBSTITUTE(SUBSTITUTE(SUBSTITUTE(L575,"~","~~"),"*","~*"),"?","~?"))&lt;&gt;1,"Other amount is invalid",IF(J575&lt;&gt;0,"Amount differs","Matched")))))))</x:f>
      </x:c>
      <x:c r="L575" t="str">
        <x:f>IF(COUNTA(A575:F575)=0,"",LEN(A575)&amp;":"&amp;A575&amp;LEN(B575)&amp;":"&amp;B575&amp;LEN(C575)&amp;":"&amp;C575&amp;LEN(D575)&amp;":"&amp;D575)</x:f>
      </x:c>
      <x:c r="M575" t="str">
        <x:f>IF(COUNTA(A575:F575)=0,"",IF(ISNUMBER(E575),1,0))</x:f>
      </x:c>
    </x:row>
    <x:row r="576">
      <x:c r="A576" s="11"/>
      <x:c r="B576" s="11"/>
      <x:c r="C576" s="11"/>
      <x:c r="D576" s="11"/>
      <x:c r="E576" s="12"/>
      <x:c r="F576" s="10"/>
      <x:c r="G576" s="2" t="str">
        <x:f>IF(COUNTA(A576:F576)=0,"",COUNTIFS('App Data'!$L$2:$L$1001,SUBSTITUTE(SUBSTITUTE(SUBSTITUTE(L576,"~","~~"),"*","~*"),"?","~?")))</x:f>
      </x:c>
      <x:c r="H576" s="2" t="str">
        <x:f>IF(COUNTA(A576:F576)=0,"",COUNTIFS('External Data'!$L$2:$L$1001,SUBSTITUTE(SUBSTITUTE(SUBSTITUTE(L576,"~","~~"),"*","~*"),"?","~?")))</x:f>
      </x:c>
      <x:c r="I576" s="13" t="str">
        <x:f>IF(OR(H576&lt;&gt;1,G576&lt;&gt;1),"",SUMIFS('External Data'!$E$2:$E$1001,'External Data'!$L$2:$L$1001,SUBSTITUTE(SUBSTITUTE(SUBSTITUTE(L576,"~","~~"),"*","~*"),"?","~?")))</x:f>
      </x:c>
      <x:c r="J576" s="13" t="str">
        <x:f>IF(OR(NOT(ISNUMBER(E576)),NOT(ISNUMBER(I576))),"",ROUND(E576-I576,2))</x:f>
      </x:c>
      <x:c r="K576" s="2" t="str">
        <x:f>IF(COUNTA(A576:F576)=0,"",IF(OR(A576="",B576="",C576="",D576="",NOT(ISNUMBER(E576))),"Missing / invalid input",IF(G576&gt;1,"Duplicate key in this source",IF(H576=0,"Missing in other source",IF(H576&gt;1,"Duplicate in other source",IF(SUMIFS('External Data'!$M$2:$M$1001,'External Data'!$L$2:$L$1001,SUBSTITUTE(SUBSTITUTE(SUBSTITUTE(L576,"~","~~"),"*","~*"),"?","~?"))&lt;&gt;1,"Other amount is invalid",IF(J576&lt;&gt;0,"Amount differs","Matched")))))))</x:f>
      </x:c>
      <x:c r="L576" t="str">
        <x:f>IF(COUNTA(A576:F576)=0,"",LEN(A576)&amp;":"&amp;A576&amp;LEN(B576)&amp;":"&amp;B576&amp;LEN(C576)&amp;":"&amp;C576&amp;LEN(D576)&amp;":"&amp;D576)</x:f>
      </x:c>
      <x:c r="M576" t="str">
        <x:f>IF(COUNTA(A576:F576)=0,"",IF(ISNUMBER(E576),1,0))</x:f>
      </x:c>
    </x:row>
    <x:row r="577">
      <x:c r="A577" s="11"/>
      <x:c r="B577" s="11"/>
      <x:c r="C577" s="11"/>
      <x:c r="D577" s="11"/>
      <x:c r="E577" s="12"/>
      <x:c r="F577" s="10"/>
      <x:c r="G577" s="2" t="str">
        <x:f>IF(COUNTA(A577:F577)=0,"",COUNTIFS('App Data'!$L$2:$L$1001,SUBSTITUTE(SUBSTITUTE(SUBSTITUTE(L577,"~","~~"),"*","~*"),"?","~?")))</x:f>
      </x:c>
      <x:c r="H577" s="2" t="str">
        <x:f>IF(COUNTA(A577:F577)=0,"",COUNTIFS('External Data'!$L$2:$L$1001,SUBSTITUTE(SUBSTITUTE(SUBSTITUTE(L577,"~","~~"),"*","~*"),"?","~?")))</x:f>
      </x:c>
      <x:c r="I577" s="13" t="str">
        <x:f>IF(OR(H577&lt;&gt;1,G577&lt;&gt;1),"",SUMIFS('External Data'!$E$2:$E$1001,'External Data'!$L$2:$L$1001,SUBSTITUTE(SUBSTITUTE(SUBSTITUTE(L577,"~","~~"),"*","~*"),"?","~?")))</x:f>
      </x:c>
      <x:c r="J577" s="13" t="str">
        <x:f>IF(OR(NOT(ISNUMBER(E577)),NOT(ISNUMBER(I577))),"",ROUND(E577-I577,2))</x:f>
      </x:c>
      <x:c r="K577" s="2" t="str">
        <x:f>IF(COUNTA(A577:F577)=0,"",IF(OR(A577="",B577="",C577="",D577="",NOT(ISNUMBER(E577))),"Missing / invalid input",IF(G577&gt;1,"Duplicate key in this source",IF(H577=0,"Missing in other source",IF(H577&gt;1,"Duplicate in other source",IF(SUMIFS('External Data'!$M$2:$M$1001,'External Data'!$L$2:$L$1001,SUBSTITUTE(SUBSTITUTE(SUBSTITUTE(L577,"~","~~"),"*","~*"),"?","~?"))&lt;&gt;1,"Other amount is invalid",IF(J577&lt;&gt;0,"Amount differs","Matched")))))))</x:f>
      </x:c>
      <x:c r="L577" t="str">
        <x:f>IF(COUNTA(A577:F577)=0,"",LEN(A577)&amp;":"&amp;A577&amp;LEN(B577)&amp;":"&amp;B577&amp;LEN(C577)&amp;":"&amp;C577&amp;LEN(D577)&amp;":"&amp;D577)</x:f>
      </x:c>
      <x:c r="M577" t="str">
        <x:f>IF(COUNTA(A577:F577)=0,"",IF(ISNUMBER(E577),1,0))</x:f>
      </x:c>
    </x:row>
    <x:row r="578">
      <x:c r="A578" s="11"/>
      <x:c r="B578" s="11"/>
      <x:c r="C578" s="11"/>
      <x:c r="D578" s="11"/>
      <x:c r="E578" s="12"/>
      <x:c r="F578" s="10"/>
      <x:c r="G578" s="2" t="str">
        <x:f>IF(COUNTA(A578:F578)=0,"",COUNTIFS('App Data'!$L$2:$L$1001,SUBSTITUTE(SUBSTITUTE(SUBSTITUTE(L578,"~","~~"),"*","~*"),"?","~?")))</x:f>
      </x:c>
      <x:c r="H578" s="2" t="str">
        <x:f>IF(COUNTA(A578:F578)=0,"",COUNTIFS('External Data'!$L$2:$L$1001,SUBSTITUTE(SUBSTITUTE(SUBSTITUTE(L578,"~","~~"),"*","~*"),"?","~?")))</x:f>
      </x:c>
      <x:c r="I578" s="13" t="str">
        <x:f>IF(OR(H578&lt;&gt;1,G578&lt;&gt;1),"",SUMIFS('External Data'!$E$2:$E$1001,'External Data'!$L$2:$L$1001,SUBSTITUTE(SUBSTITUTE(SUBSTITUTE(L578,"~","~~"),"*","~*"),"?","~?")))</x:f>
      </x:c>
      <x:c r="J578" s="13" t="str">
        <x:f>IF(OR(NOT(ISNUMBER(E578)),NOT(ISNUMBER(I578))),"",ROUND(E578-I578,2))</x:f>
      </x:c>
      <x:c r="K578" s="2" t="str">
        <x:f>IF(COUNTA(A578:F578)=0,"",IF(OR(A578="",B578="",C578="",D578="",NOT(ISNUMBER(E578))),"Missing / invalid input",IF(G578&gt;1,"Duplicate key in this source",IF(H578=0,"Missing in other source",IF(H578&gt;1,"Duplicate in other source",IF(SUMIFS('External Data'!$M$2:$M$1001,'External Data'!$L$2:$L$1001,SUBSTITUTE(SUBSTITUTE(SUBSTITUTE(L578,"~","~~"),"*","~*"),"?","~?"))&lt;&gt;1,"Other amount is invalid",IF(J578&lt;&gt;0,"Amount differs","Matched")))))))</x:f>
      </x:c>
      <x:c r="L578" t="str">
        <x:f>IF(COUNTA(A578:F578)=0,"",LEN(A578)&amp;":"&amp;A578&amp;LEN(B578)&amp;":"&amp;B578&amp;LEN(C578)&amp;":"&amp;C578&amp;LEN(D578)&amp;":"&amp;D578)</x:f>
      </x:c>
      <x:c r="M578" t="str">
        <x:f>IF(COUNTA(A578:F578)=0,"",IF(ISNUMBER(E578),1,0))</x:f>
      </x:c>
    </x:row>
    <x:row r="579">
      <x:c r="A579" s="11"/>
      <x:c r="B579" s="11"/>
      <x:c r="C579" s="11"/>
      <x:c r="D579" s="11"/>
      <x:c r="E579" s="12"/>
      <x:c r="F579" s="10"/>
      <x:c r="G579" s="2" t="str">
        <x:f>IF(COUNTA(A579:F579)=0,"",COUNTIFS('App Data'!$L$2:$L$1001,SUBSTITUTE(SUBSTITUTE(SUBSTITUTE(L579,"~","~~"),"*","~*"),"?","~?")))</x:f>
      </x:c>
      <x:c r="H579" s="2" t="str">
        <x:f>IF(COUNTA(A579:F579)=0,"",COUNTIFS('External Data'!$L$2:$L$1001,SUBSTITUTE(SUBSTITUTE(SUBSTITUTE(L579,"~","~~"),"*","~*"),"?","~?")))</x:f>
      </x:c>
      <x:c r="I579" s="13" t="str">
        <x:f>IF(OR(H579&lt;&gt;1,G579&lt;&gt;1),"",SUMIFS('External Data'!$E$2:$E$1001,'External Data'!$L$2:$L$1001,SUBSTITUTE(SUBSTITUTE(SUBSTITUTE(L579,"~","~~"),"*","~*"),"?","~?")))</x:f>
      </x:c>
      <x:c r="J579" s="13" t="str">
        <x:f>IF(OR(NOT(ISNUMBER(E579)),NOT(ISNUMBER(I579))),"",ROUND(E579-I579,2))</x:f>
      </x:c>
      <x:c r="K579" s="2" t="str">
        <x:f>IF(COUNTA(A579:F579)=0,"",IF(OR(A579="",B579="",C579="",D579="",NOT(ISNUMBER(E579))),"Missing / invalid input",IF(G579&gt;1,"Duplicate key in this source",IF(H579=0,"Missing in other source",IF(H579&gt;1,"Duplicate in other source",IF(SUMIFS('External Data'!$M$2:$M$1001,'External Data'!$L$2:$L$1001,SUBSTITUTE(SUBSTITUTE(SUBSTITUTE(L579,"~","~~"),"*","~*"),"?","~?"))&lt;&gt;1,"Other amount is invalid",IF(J579&lt;&gt;0,"Amount differs","Matched")))))))</x:f>
      </x:c>
      <x:c r="L579" t="str">
        <x:f>IF(COUNTA(A579:F579)=0,"",LEN(A579)&amp;":"&amp;A579&amp;LEN(B579)&amp;":"&amp;B579&amp;LEN(C579)&amp;":"&amp;C579&amp;LEN(D579)&amp;":"&amp;D579)</x:f>
      </x:c>
      <x:c r="M579" t="str">
        <x:f>IF(COUNTA(A579:F579)=0,"",IF(ISNUMBER(E579),1,0))</x:f>
      </x:c>
    </x:row>
    <x:row r="580">
      <x:c r="A580" s="11"/>
      <x:c r="B580" s="11"/>
      <x:c r="C580" s="11"/>
      <x:c r="D580" s="11"/>
      <x:c r="E580" s="12"/>
      <x:c r="F580" s="10"/>
      <x:c r="G580" s="2" t="str">
        <x:f>IF(COUNTA(A580:F580)=0,"",COUNTIFS('App Data'!$L$2:$L$1001,SUBSTITUTE(SUBSTITUTE(SUBSTITUTE(L580,"~","~~"),"*","~*"),"?","~?")))</x:f>
      </x:c>
      <x:c r="H580" s="2" t="str">
        <x:f>IF(COUNTA(A580:F580)=0,"",COUNTIFS('External Data'!$L$2:$L$1001,SUBSTITUTE(SUBSTITUTE(SUBSTITUTE(L580,"~","~~"),"*","~*"),"?","~?")))</x:f>
      </x:c>
      <x:c r="I580" s="13" t="str">
        <x:f>IF(OR(H580&lt;&gt;1,G580&lt;&gt;1),"",SUMIFS('External Data'!$E$2:$E$1001,'External Data'!$L$2:$L$1001,SUBSTITUTE(SUBSTITUTE(SUBSTITUTE(L580,"~","~~"),"*","~*"),"?","~?")))</x:f>
      </x:c>
      <x:c r="J580" s="13" t="str">
        <x:f>IF(OR(NOT(ISNUMBER(E580)),NOT(ISNUMBER(I580))),"",ROUND(E580-I580,2))</x:f>
      </x:c>
      <x:c r="K580" s="2" t="str">
        <x:f>IF(COUNTA(A580:F580)=0,"",IF(OR(A580="",B580="",C580="",D580="",NOT(ISNUMBER(E580))),"Missing / invalid input",IF(G580&gt;1,"Duplicate key in this source",IF(H580=0,"Missing in other source",IF(H580&gt;1,"Duplicate in other source",IF(SUMIFS('External Data'!$M$2:$M$1001,'External Data'!$L$2:$L$1001,SUBSTITUTE(SUBSTITUTE(SUBSTITUTE(L580,"~","~~"),"*","~*"),"?","~?"))&lt;&gt;1,"Other amount is invalid",IF(J580&lt;&gt;0,"Amount differs","Matched")))))))</x:f>
      </x:c>
      <x:c r="L580" t="str">
        <x:f>IF(COUNTA(A580:F580)=0,"",LEN(A580)&amp;":"&amp;A580&amp;LEN(B580)&amp;":"&amp;B580&amp;LEN(C580)&amp;":"&amp;C580&amp;LEN(D580)&amp;":"&amp;D580)</x:f>
      </x:c>
      <x:c r="M580" t="str">
        <x:f>IF(COUNTA(A580:F580)=0,"",IF(ISNUMBER(E580),1,0))</x:f>
      </x:c>
    </x:row>
    <x:row r="581">
      <x:c r="A581" s="11"/>
      <x:c r="B581" s="11"/>
      <x:c r="C581" s="11"/>
      <x:c r="D581" s="11"/>
      <x:c r="E581" s="12"/>
      <x:c r="F581" s="10"/>
      <x:c r="G581" s="2" t="str">
        <x:f>IF(COUNTA(A581:F581)=0,"",COUNTIFS('App Data'!$L$2:$L$1001,SUBSTITUTE(SUBSTITUTE(SUBSTITUTE(L581,"~","~~"),"*","~*"),"?","~?")))</x:f>
      </x:c>
      <x:c r="H581" s="2" t="str">
        <x:f>IF(COUNTA(A581:F581)=0,"",COUNTIFS('External Data'!$L$2:$L$1001,SUBSTITUTE(SUBSTITUTE(SUBSTITUTE(L581,"~","~~"),"*","~*"),"?","~?")))</x:f>
      </x:c>
      <x:c r="I581" s="13" t="str">
        <x:f>IF(OR(H581&lt;&gt;1,G581&lt;&gt;1),"",SUMIFS('External Data'!$E$2:$E$1001,'External Data'!$L$2:$L$1001,SUBSTITUTE(SUBSTITUTE(SUBSTITUTE(L581,"~","~~"),"*","~*"),"?","~?")))</x:f>
      </x:c>
      <x:c r="J581" s="13" t="str">
        <x:f>IF(OR(NOT(ISNUMBER(E581)),NOT(ISNUMBER(I581))),"",ROUND(E581-I581,2))</x:f>
      </x:c>
      <x:c r="K581" s="2" t="str">
        <x:f>IF(COUNTA(A581:F581)=0,"",IF(OR(A581="",B581="",C581="",D581="",NOT(ISNUMBER(E581))),"Missing / invalid input",IF(G581&gt;1,"Duplicate key in this source",IF(H581=0,"Missing in other source",IF(H581&gt;1,"Duplicate in other source",IF(SUMIFS('External Data'!$M$2:$M$1001,'External Data'!$L$2:$L$1001,SUBSTITUTE(SUBSTITUTE(SUBSTITUTE(L581,"~","~~"),"*","~*"),"?","~?"))&lt;&gt;1,"Other amount is invalid",IF(J581&lt;&gt;0,"Amount differs","Matched")))))))</x:f>
      </x:c>
      <x:c r="L581" t="str">
        <x:f>IF(COUNTA(A581:F581)=0,"",LEN(A581)&amp;":"&amp;A581&amp;LEN(B581)&amp;":"&amp;B581&amp;LEN(C581)&amp;":"&amp;C581&amp;LEN(D581)&amp;":"&amp;D581)</x:f>
      </x:c>
      <x:c r="M581" t="str">
        <x:f>IF(COUNTA(A581:F581)=0,"",IF(ISNUMBER(E581),1,0))</x:f>
      </x:c>
    </x:row>
    <x:row r="582">
      <x:c r="A582" s="11"/>
      <x:c r="B582" s="11"/>
      <x:c r="C582" s="11"/>
      <x:c r="D582" s="11"/>
      <x:c r="E582" s="12"/>
      <x:c r="F582" s="10"/>
      <x:c r="G582" s="2" t="str">
        <x:f>IF(COUNTA(A582:F582)=0,"",COUNTIFS('App Data'!$L$2:$L$1001,SUBSTITUTE(SUBSTITUTE(SUBSTITUTE(L582,"~","~~"),"*","~*"),"?","~?")))</x:f>
      </x:c>
      <x:c r="H582" s="2" t="str">
        <x:f>IF(COUNTA(A582:F582)=0,"",COUNTIFS('External Data'!$L$2:$L$1001,SUBSTITUTE(SUBSTITUTE(SUBSTITUTE(L582,"~","~~"),"*","~*"),"?","~?")))</x:f>
      </x:c>
      <x:c r="I582" s="13" t="str">
        <x:f>IF(OR(H582&lt;&gt;1,G582&lt;&gt;1),"",SUMIFS('External Data'!$E$2:$E$1001,'External Data'!$L$2:$L$1001,SUBSTITUTE(SUBSTITUTE(SUBSTITUTE(L582,"~","~~"),"*","~*"),"?","~?")))</x:f>
      </x:c>
      <x:c r="J582" s="13" t="str">
        <x:f>IF(OR(NOT(ISNUMBER(E582)),NOT(ISNUMBER(I582))),"",ROUND(E582-I582,2))</x:f>
      </x:c>
      <x:c r="K582" s="2" t="str">
        <x:f>IF(COUNTA(A582:F582)=0,"",IF(OR(A582="",B582="",C582="",D582="",NOT(ISNUMBER(E582))),"Missing / invalid input",IF(G582&gt;1,"Duplicate key in this source",IF(H582=0,"Missing in other source",IF(H582&gt;1,"Duplicate in other source",IF(SUMIFS('External Data'!$M$2:$M$1001,'External Data'!$L$2:$L$1001,SUBSTITUTE(SUBSTITUTE(SUBSTITUTE(L582,"~","~~"),"*","~*"),"?","~?"))&lt;&gt;1,"Other amount is invalid",IF(J582&lt;&gt;0,"Amount differs","Matched")))))))</x:f>
      </x:c>
      <x:c r="L582" t="str">
        <x:f>IF(COUNTA(A582:F582)=0,"",LEN(A582)&amp;":"&amp;A582&amp;LEN(B582)&amp;":"&amp;B582&amp;LEN(C582)&amp;":"&amp;C582&amp;LEN(D582)&amp;":"&amp;D582)</x:f>
      </x:c>
      <x:c r="M582" t="str">
        <x:f>IF(COUNTA(A582:F582)=0,"",IF(ISNUMBER(E582),1,0))</x:f>
      </x:c>
    </x:row>
    <x:row r="583">
      <x:c r="A583" s="11"/>
      <x:c r="B583" s="11"/>
      <x:c r="C583" s="11"/>
      <x:c r="D583" s="11"/>
      <x:c r="E583" s="12"/>
      <x:c r="F583" s="10"/>
      <x:c r="G583" s="2" t="str">
        <x:f>IF(COUNTA(A583:F583)=0,"",COUNTIFS('App Data'!$L$2:$L$1001,SUBSTITUTE(SUBSTITUTE(SUBSTITUTE(L583,"~","~~"),"*","~*"),"?","~?")))</x:f>
      </x:c>
      <x:c r="H583" s="2" t="str">
        <x:f>IF(COUNTA(A583:F583)=0,"",COUNTIFS('External Data'!$L$2:$L$1001,SUBSTITUTE(SUBSTITUTE(SUBSTITUTE(L583,"~","~~"),"*","~*"),"?","~?")))</x:f>
      </x:c>
      <x:c r="I583" s="13" t="str">
        <x:f>IF(OR(H583&lt;&gt;1,G583&lt;&gt;1),"",SUMIFS('External Data'!$E$2:$E$1001,'External Data'!$L$2:$L$1001,SUBSTITUTE(SUBSTITUTE(SUBSTITUTE(L583,"~","~~"),"*","~*"),"?","~?")))</x:f>
      </x:c>
      <x:c r="J583" s="13" t="str">
        <x:f>IF(OR(NOT(ISNUMBER(E583)),NOT(ISNUMBER(I583))),"",ROUND(E583-I583,2))</x:f>
      </x:c>
      <x:c r="K583" s="2" t="str">
        <x:f>IF(COUNTA(A583:F583)=0,"",IF(OR(A583="",B583="",C583="",D583="",NOT(ISNUMBER(E583))),"Missing / invalid input",IF(G583&gt;1,"Duplicate key in this source",IF(H583=0,"Missing in other source",IF(H583&gt;1,"Duplicate in other source",IF(SUMIFS('External Data'!$M$2:$M$1001,'External Data'!$L$2:$L$1001,SUBSTITUTE(SUBSTITUTE(SUBSTITUTE(L583,"~","~~"),"*","~*"),"?","~?"))&lt;&gt;1,"Other amount is invalid",IF(J583&lt;&gt;0,"Amount differs","Matched")))))))</x:f>
      </x:c>
      <x:c r="L583" t="str">
        <x:f>IF(COUNTA(A583:F583)=0,"",LEN(A583)&amp;":"&amp;A583&amp;LEN(B583)&amp;":"&amp;B583&amp;LEN(C583)&amp;":"&amp;C583&amp;LEN(D583)&amp;":"&amp;D583)</x:f>
      </x:c>
      <x:c r="M583" t="str">
        <x:f>IF(COUNTA(A583:F583)=0,"",IF(ISNUMBER(E583),1,0))</x:f>
      </x:c>
    </x:row>
    <x:row r="584">
      <x:c r="A584" s="11"/>
      <x:c r="B584" s="11"/>
      <x:c r="C584" s="11"/>
      <x:c r="D584" s="11"/>
      <x:c r="E584" s="12"/>
      <x:c r="F584" s="10"/>
      <x:c r="G584" s="2" t="str">
        <x:f>IF(COUNTA(A584:F584)=0,"",COUNTIFS('App Data'!$L$2:$L$1001,SUBSTITUTE(SUBSTITUTE(SUBSTITUTE(L584,"~","~~"),"*","~*"),"?","~?")))</x:f>
      </x:c>
      <x:c r="H584" s="2" t="str">
        <x:f>IF(COUNTA(A584:F584)=0,"",COUNTIFS('External Data'!$L$2:$L$1001,SUBSTITUTE(SUBSTITUTE(SUBSTITUTE(L584,"~","~~"),"*","~*"),"?","~?")))</x:f>
      </x:c>
      <x:c r="I584" s="13" t="str">
        <x:f>IF(OR(H584&lt;&gt;1,G584&lt;&gt;1),"",SUMIFS('External Data'!$E$2:$E$1001,'External Data'!$L$2:$L$1001,SUBSTITUTE(SUBSTITUTE(SUBSTITUTE(L584,"~","~~"),"*","~*"),"?","~?")))</x:f>
      </x:c>
      <x:c r="J584" s="13" t="str">
        <x:f>IF(OR(NOT(ISNUMBER(E584)),NOT(ISNUMBER(I584))),"",ROUND(E584-I584,2))</x:f>
      </x:c>
      <x:c r="K584" s="2" t="str">
        <x:f>IF(COUNTA(A584:F584)=0,"",IF(OR(A584="",B584="",C584="",D584="",NOT(ISNUMBER(E584))),"Missing / invalid input",IF(G584&gt;1,"Duplicate key in this source",IF(H584=0,"Missing in other source",IF(H584&gt;1,"Duplicate in other source",IF(SUMIFS('External Data'!$M$2:$M$1001,'External Data'!$L$2:$L$1001,SUBSTITUTE(SUBSTITUTE(SUBSTITUTE(L584,"~","~~"),"*","~*"),"?","~?"))&lt;&gt;1,"Other amount is invalid",IF(J584&lt;&gt;0,"Amount differs","Matched")))))))</x:f>
      </x:c>
      <x:c r="L584" t="str">
        <x:f>IF(COUNTA(A584:F584)=0,"",LEN(A584)&amp;":"&amp;A584&amp;LEN(B584)&amp;":"&amp;B584&amp;LEN(C584)&amp;":"&amp;C584&amp;LEN(D584)&amp;":"&amp;D584)</x:f>
      </x:c>
      <x:c r="M584" t="str">
        <x:f>IF(COUNTA(A584:F584)=0,"",IF(ISNUMBER(E584),1,0))</x:f>
      </x:c>
    </x:row>
    <x:row r="585">
      <x:c r="A585" s="11"/>
      <x:c r="B585" s="11"/>
      <x:c r="C585" s="11"/>
      <x:c r="D585" s="11"/>
      <x:c r="E585" s="12"/>
      <x:c r="F585" s="10"/>
      <x:c r="G585" s="2" t="str">
        <x:f>IF(COUNTA(A585:F585)=0,"",COUNTIFS('App Data'!$L$2:$L$1001,SUBSTITUTE(SUBSTITUTE(SUBSTITUTE(L585,"~","~~"),"*","~*"),"?","~?")))</x:f>
      </x:c>
      <x:c r="H585" s="2" t="str">
        <x:f>IF(COUNTA(A585:F585)=0,"",COUNTIFS('External Data'!$L$2:$L$1001,SUBSTITUTE(SUBSTITUTE(SUBSTITUTE(L585,"~","~~"),"*","~*"),"?","~?")))</x:f>
      </x:c>
      <x:c r="I585" s="13" t="str">
        <x:f>IF(OR(H585&lt;&gt;1,G585&lt;&gt;1),"",SUMIFS('External Data'!$E$2:$E$1001,'External Data'!$L$2:$L$1001,SUBSTITUTE(SUBSTITUTE(SUBSTITUTE(L585,"~","~~"),"*","~*"),"?","~?")))</x:f>
      </x:c>
      <x:c r="J585" s="13" t="str">
        <x:f>IF(OR(NOT(ISNUMBER(E585)),NOT(ISNUMBER(I585))),"",ROUND(E585-I585,2))</x:f>
      </x:c>
      <x:c r="K585" s="2" t="str">
        <x:f>IF(COUNTA(A585:F585)=0,"",IF(OR(A585="",B585="",C585="",D585="",NOT(ISNUMBER(E585))),"Missing / invalid input",IF(G585&gt;1,"Duplicate key in this source",IF(H585=0,"Missing in other source",IF(H585&gt;1,"Duplicate in other source",IF(SUMIFS('External Data'!$M$2:$M$1001,'External Data'!$L$2:$L$1001,SUBSTITUTE(SUBSTITUTE(SUBSTITUTE(L585,"~","~~"),"*","~*"),"?","~?"))&lt;&gt;1,"Other amount is invalid",IF(J585&lt;&gt;0,"Amount differs","Matched")))))))</x:f>
      </x:c>
      <x:c r="L585" t="str">
        <x:f>IF(COUNTA(A585:F585)=0,"",LEN(A585)&amp;":"&amp;A585&amp;LEN(B585)&amp;":"&amp;B585&amp;LEN(C585)&amp;":"&amp;C585&amp;LEN(D585)&amp;":"&amp;D585)</x:f>
      </x:c>
      <x:c r="M585" t="str">
        <x:f>IF(COUNTA(A585:F585)=0,"",IF(ISNUMBER(E585),1,0))</x:f>
      </x:c>
    </x:row>
    <x:row r="586">
      <x:c r="A586" s="11"/>
      <x:c r="B586" s="11"/>
      <x:c r="C586" s="11"/>
      <x:c r="D586" s="11"/>
      <x:c r="E586" s="12"/>
      <x:c r="F586" s="10"/>
      <x:c r="G586" s="2" t="str">
        <x:f>IF(COUNTA(A586:F586)=0,"",COUNTIFS('App Data'!$L$2:$L$1001,SUBSTITUTE(SUBSTITUTE(SUBSTITUTE(L586,"~","~~"),"*","~*"),"?","~?")))</x:f>
      </x:c>
      <x:c r="H586" s="2" t="str">
        <x:f>IF(COUNTA(A586:F586)=0,"",COUNTIFS('External Data'!$L$2:$L$1001,SUBSTITUTE(SUBSTITUTE(SUBSTITUTE(L586,"~","~~"),"*","~*"),"?","~?")))</x:f>
      </x:c>
      <x:c r="I586" s="13" t="str">
        <x:f>IF(OR(H586&lt;&gt;1,G586&lt;&gt;1),"",SUMIFS('External Data'!$E$2:$E$1001,'External Data'!$L$2:$L$1001,SUBSTITUTE(SUBSTITUTE(SUBSTITUTE(L586,"~","~~"),"*","~*"),"?","~?")))</x:f>
      </x:c>
      <x:c r="J586" s="13" t="str">
        <x:f>IF(OR(NOT(ISNUMBER(E586)),NOT(ISNUMBER(I586))),"",ROUND(E586-I586,2))</x:f>
      </x:c>
      <x:c r="K586" s="2" t="str">
        <x:f>IF(COUNTA(A586:F586)=0,"",IF(OR(A586="",B586="",C586="",D586="",NOT(ISNUMBER(E586))),"Missing / invalid input",IF(G586&gt;1,"Duplicate key in this source",IF(H586=0,"Missing in other source",IF(H586&gt;1,"Duplicate in other source",IF(SUMIFS('External Data'!$M$2:$M$1001,'External Data'!$L$2:$L$1001,SUBSTITUTE(SUBSTITUTE(SUBSTITUTE(L586,"~","~~"),"*","~*"),"?","~?"))&lt;&gt;1,"Other amount is invalid",IF(J586&lt;&gt;0,"Amount differs","Matched")))))))</x:f>
      </x:c>
      <x:c r="L586" t="str">
        <x:f>IF(COUNTA(A586:F586)=0,"",LEN(A586)&amp;":"&amp;A586&amp;LEN(B586)&amp;":"&amp;B586&amp;LEN(C586)&amp;":"&amp;C586&amp;LEN(D586)&amp;":"&amp;D586)</x:f>
      </x:c>
      <x:c r="M586" t="str">
        <x:f>IF(COUNTA(A586:F586)=0,"",IF(ISNUMBER(E586),1,0))</x:f>
      </x:c>
    </x:row>
    <x:row r="587">
      <x:c r="A587" s="11"/>
      <x:c r="B587" s="11"/>
      <x:c r="C587" s="11"/>
      <x:c r="D587" s="11"/>
      <x:c r="E587" s="12"/>
      <x:c r="F587" s="10"/>
      <x:c r="G587" s="2" t="str">
        <x:f>IF(COUNTA(A587:F587)=0,"",COUNTIFS('App Data'!$L$2:$L$1001,SUBSTITUTE(SUBSTITUTE(SUBSTITUTE(L587,"~","~~"),"*","~*"),"?","~?")))</x:f>
      </x:c>
      <x:c r="H587" s="2" t="str">
        <x:f>IF(COUNTA(A587:F587)=0,"",COUNTIFS('External Data'!$L$2:$L$1001,SUBSTITUTE(SUBSTITUTE(SUBSTITUTE(L587,"~","~~"),"*","~*"),"?","~?")))</x:f>
      </x:c>
      <x:c r="I587" s="13" t="str">
        <x:f>IF(OR(H587&lt;&gt;1,G587&lt;&gt;1),"",SUMIFS('External Data'!$E$2:$E$1001,'External Data'!$L$2:$L$1001,SUBSTITUTE(SUBSTITUTE(SUBSTITUTE(L587,"~","~~"),"*","~*"),"?","~?")))</x:f>
      </x:c>
      <x:c r="J587" s="13" t="str">
        <x:f>IF(OR(NOT(ISNUMBER(E587)),NOT(ISNUMBER(I587))),"",ROUND(E587-I587,2))</x:f>
      </x:c>
      <x:c r="K587" s="2" t="str">
        <x:f>IF(COUNTA(A587:F587)=0,"",IF(OR(A587="",B587="",C587="",D587="",NOT(ISNUMBER(E587))),"Missing / invalid input",IF(G587&gt;1,"Duplicate key in this source",IF(H587=0,"Missing in other source",IF(H587&gt;1,"Duplicate in other source",IF(SUMIFS('External Data'!$M$2:$M$1001,'External Data'!$L$2:$L$1001,SUBSTITUTE(SUBSTITUTE(SUBSTITUTE(L587,"~","~~"),"*","~*"),"?","~?"))&lt;&gt;1,"Other amount is invalid",IF(J587&lt;&gt;0,"Amount differs","Matched")))))))</x:f>
      </x:c>
      <x:c r="L587" t="str">
        <x:f>IF(COUNTA(A587:F587)=0,"",LEN(A587)&amp;":"&amp;A587&amp;LEN(B587)&amp;":"&amp;B587&amp;LEN(C587)&amp;":"&amp;C587&amp;LEN(D587)&amp;":"&amp;D587)</x:f>
      </x:c>
      <x:c r="M587" t="str">
        <x:f>IF(COUNTA(A587:F587)=0,"",IF(ISNUMBER(E587),1,0))</x:f>
      </x:c>
    </x:row>
    <x:row r="588">
      <x:c r="A588" s="11"/>
      <x:c r="B588" s="11"/>
      <x:c r="C588" s="11"/>
      <x:c r="D588" s="11"/>
      <x:c r="E588" s="12"/>
      <x:c r="F588" s="10"/>
      <x:c r="G588" s="2" t="str">
        <x:f>IF(COUNTA(A588:F588)=0,"",COUNTIFS('App Data'!$L$2:$L$1001,SUBSTITUTE(SUBSTITUTE(SUBSTITUTE(L588,"~","~~"),"*","~*"),"?","~?")))</x:f>
      </x:c>
      <x:c r="H588" s="2" t="str">
        <x:f>IF(COUNTA(A588:F588)=0,"",COUNTIFS('External Data'!$L$2:$L$1001,SUBSTITUTE(SUBSTITUTE(SUBSTITUTE(L588,"~","~~"),"*","~*"),"?","~?")))</x:f>
      </x:c>
      <x:c r="I588" s="13" t="str">
        <x:f>IF(OR(H588&lt;&gt;1,G588&lt;&gt;1),"",SUMIFS('External Data'!$E$2:$E$1001,'External Data'!$L$2:$L$1001,SUBSTITUTE(SUBSTITUTE(SUBSTITUTE(L588,"~","~~"),"*","~*"),"?","~?")))</x:f>
      </x:c>
      <x:c r="J588" s="13" t="str">
        <x:f>IF(OR(NOT(ISNUMBER(E588)),NOT(ISNUMBER(I588))),"",ROUND(E588-I588,2))</x:f>
      </x:c>
      <x:c r="K588" s="2" t="str">
        <x:f>IF(COUNTA(A588:F588)=0,"",IF(OR(A588="",B588="",C588="",D588="",NOT(ISNUMBER(E588))),"Missing / invalid input",IF(G588&gt;1,"Duplicate key in this source",IF(H588=0,"Missing in other source",IF(H588&gt;1,"Duplicate in other source",IF(SUMIFS('External Data'!$M$2:$M$1001,'External Data'!$L$2:$L$1001,SUBSTITUTE(SUBSTITUTE(SUBSTITUTE(L588,"~","~~"),"*","~*"),"?","~?"))&lt;&gt;1,"Other amount is invalid",IF(J588&lt;&gt;0,"Amount differs","Matched")))))))</x:f>
      </x:c>
      <x:c r="L588" t="str">
        <x:f>IF(COUNTA(A588:F588)=0,"",LEN(A588)&amp;":"&amp;A588&amp;LEN(B588)&amp;":"&amp;B588&amp;LEN(C588)&amp;":"&amp;C588&amp;LEN(D588)&amp;":"&amp;D588)</x:f>
      </x:c>
      <x:c r="M588" t="str">
        <x:f>IF(COUNTA(A588:F588)=0,"",IF(ISNUMBER(E588),1,0))</x:f>
      </x:c>
    </x:row>
    <x:row r="589">
      <x:c r="A589" s="11"/>
      <x:c r="B589" s="11"/>
      <x:c r="C589" s="11"/>
      <x:c r="D589" s="11"/>
      <x:c r="E589" s="12"/>
      <x:c r="F589" s="10"/>
      <x:c r="G589" s="2" t="str">
        <x:f>IF(COUNTA(A589:F589)=0,"",COUNTIFS('App Data'!$L$2:$L$1001,SUBSTITUTE(SUBSTITUTE(SUBSTITUTE(L589,"~","~~"),"*","~*"),"?","~?")))</x:f>
      </x:c>
      <x:c r="H589" s="2" t="str">
        <x:f>IF(COUNTA(A589:F589)=0,"",COUNTIFS('External Data'!$L$2:$L$1001,SUBSTITUTE(SUBSTITUTE(SUBSTITUTE(L589,"~","~~"),"*","~*"),"?","~?")))</x:f>
      </x:c>
      <x:c r="I589" s="13" t="str">
        <x:f>IF(OR(H589&lt;&gt;1,G589&lt;&gt;1),"",SUMIFS('External Data'!$E$2:$E$1001,'External Data'!$L$2:$L$1001,SUBSTITUTE(SUBSTITUTE(SUBSTITUTE(L589,"~","~~"),"*","~*"),"?","~?")))</x:f>
      </x:c>
      <x:c r="J589" s="13" t="str">
        <x:f>IF(OR(NOT(ISNUMBER(E589)),NOT(ISNUMBER(I589))),"",ROUND(E589-I589,2))</x:f>
      </x:c>
      <x:c r="K589" s="2" t="str">
        <x:f>IF(COUNTA(A589:F589)=0,"",IF(OR(A589="",B589="",C589="",D589="",NOT(ISNUMBER(E589))),"Missing / invalid input",IF(G589&gt;1,"Duplicate key in this source",IF(H589=0,"Missing in other source",IF(H589&gt;1,"Duplicate in other source",IF(SUMIFS('External Data'!$M$2:$M$1001,'External Data'!$L$2:$L$1001,SUBSTITUTE(SUBSTITUTE(SUBSTITUTE(L589,"~","~~"),"*","~*"),"?","~?"))&lt;&gt;1,"Other amount is invalid",IF(J589&lt;&gt;0,"Amount differs","Matched")))))))</x:f>
      </x:c>
      <x:c r="L589" t="str">
        <x:f>IF(COUNTA(A589:F589)=0,"",LEN(A589)&amp;":"&amp;A589&amp;LEN(B589)&amp;":"&amp;B589&amp;LEN(C589)&amp;":"&amp;C589&amp;LEN(D589)&amp;":"&amp;D589)</x:f>
      </x:c>
      <x:c r="M589" t="str">
        <x:f>IF(COUNTA(A589:F589)=0,"",IF(ISNUMBER(E589),1,0))</x:f>
      </x:c>
    </x:row>
    <x:row r="590">
      <x:c r="A590" s="11"/>
      <x:c r="B590" s="11"/>
      <x:c r="C590" s="11"/>
      <x:c r="D590" s="11"/>
      <x:c r="E590" s="12"/>
      <x:c r="F590" s="10"/>
      <x:c r="G590" s="2" t="str">
        <x:f>IF(COUNTA(A590:F590)=0,"",COUNTIFS('App Data'!$L$2:$L$1001,SUBSTITUTE(SUBSTITUTE(SUBSTITUTE(L590,"~","~~"),"*","~*"),"?","~?")))</x:f>
      </x:c>
      <x:c r="H590" s="2" t="str">
        <x:f>IF(COUNTA(A590:F590)=0,"",COUNTIFS('External Data'!$L$2:$L$1001,SUBSTITUTE(SUBSTITUTE(SUBSTITUTE(L590,"~","~~"),"*","~*"),"?","~?")))</x:f>
      </x:c>
      <x:c r="I590" s="13" t="str">
        <x:f>IF(OR(H590&lt;&gt;1,G590&lt;&gt;1),"",SUMIFS('External Data'!$E$2:$E$1001,'External Data'!$L$2:$L$1001,SUBSTITUTE(SUBSTITUTE(SUBSTITUTE(L590,"~","~~"),"*","~*"),"?","~?")))</x:f>
      </x:c>
      <x:c r="J590" s="13" t="str">
        <x:f>IF(OR(NOT(ISNUMBER(E590)),NOT(ISNUMBER(I590))),"",ROUND(E590-I590,2))</x:f>
      </x:c>
      <x:c r="K590" s="2" t="str">
        <x:f>IF(COUNTA(A590:F590)=0,"",IF(OR(A590="",B590="",C590="",D590="",NOT(ISNUMBER(E590))),"Missing / invalid input",IF(G590&gt;1,"Duplicate key in this source",IF(H590=0,"Missing in other source",IF(H590&gt;1,"Duplicate in other source",IF(SUMIFS('External Data'!$M$2:$M$1001,'External Data'!$L$2:$L$1001,SUBSTITUTE(SUBSTITUTE(SUBSTITUTE(L590,"~","~~"),"*","~*"),"?","~?"))&lt;&gt;1,"Other amount is invalid",IF(J590&lt;&gt;0,"Amount differs","Matched")))))))</x:f>
      </x:c>
      <x:c r="L590" t="str">
        <x:f>IF(COUNTA(A590:F590)=0,"",LEN(A590)&amp;":"&amp;A590&amp;LEN(B590)&amp;":"&amp;B590&amp;LEN(C590)&amp;":"&amp;C590&amp;LEN(D590)&amp;":"&amp;D590)</x:f>
      </x:c>
      <x:c r="M590" t="str">
        <x:f>IF(COUNTA(A590:F590)=0,"",IF(ISNUMBER(E590),1,0))</x:f>
      </x:c>
    </x:row>
    <x:row r="591">
      <x:c r="A591" s="11"/>
      <x:c r="B591" s="11"/>
      <x:c r="C591" s="11"/>
      <x:c r="D591" s="11"/>
      <x:c r="E591" s="12"/>
      <x:c r="F591" s="10"/>
      <x:c r="G591" s="2" t="str">
        <x:f>IF(COUNTA(A591:F591)=0,"",COUNTIFS('App Data'!$L$2:$L$1001,SUBSTITUTE(SUBSTITUTE(SUBSTITUTE(L591,"~","~~"),"*","~*"),"?","~?")))</x:f>
      </x:c>
      <x:c r="H591" s="2" t="str">
        <x:f>IF(COUNTA(A591:F591)=0,"",COUNTIFS('External Data'!$L$2:$L$1001,SUBSTITUTE(SUBSTITUTE(SUBSTITUTE(L591,"~","~~"),"*","~*"),"?","~?")))</x:f>
      </x:c>
      <x:c r="I591" s="13" t="str">
        <x:f>IF(OR(H591&lt;&gt;1,G591&lt;&gt;1),"",SUMIFS('External Data'!$E$2:$E$1001,'External Data'!$L$2:$L$1001,SUBSTITUTE(SUBSTITUTE(SUBSTITUTE(L591,"~","~~"),"*","~*"),"?","~?")))</x:f>
      </x:c>
      <x:c r="J591" s="13" t="str">
        <x:f>IF(OR(NOT(ISNUMBER(E591)),NOT(ISNUMBER(I591))),"",ROUND(E591-I591,2))</x:f>
      </x:c>
      <x:c r="K591" s="2" t="str">
        <x:f>IF(COUNTA(A591:F591)=0,"",IF(OR(A591="",B591="",C591="",D591="",NOT(ISNUMBER(E591))),"Missing / invalid input",IF(G591&gt;1,"Duplicate key in this source",IF(H591=0,"Missing in other source",IF(H591&gt;1,"Duplicate in other source",IF(SUMIFS('External Data'!$M$2:$M$1001,'External Data'!$L$2:$L$1001,SUBSTITUTE(SUBSTITUTE(SUBSTITUTE(L591,"~","~~"),"*","~*"),"?","~?"))&lt;&gt;1,"Other amount is invalid",IF(J591&lt;&gt;0,"Amount differs","Matched")))))))</x:f>
      </x:c>
      <x:c r="L591" t="str">
        <x:f>IF(COUNTA(A591:F591)=0,"",LEN(A591)&amp;":"&amp;A591&amp;LEN(B591)&amp;":"&amp;B591&amp;LEN(C591)&amp;":"&amp;C591&amp;LEN(D591)&amp;":"&amp;D591)</x:f>
      </x:c>
      <x:c r="M591" t="str">
        <x:f>IF(COUNTA(A591:F591)=0,"",IF(ISNUMBER(E591),1,0))</x:f>
      </x:c>
    </x:row>
    <x:row r="592">
      <x:c r="A592" s="11"/>
      <x:c r="B592" s="11"/>
      <x:c r="C592" s="11"/>
      <x:c r="D592" s="11"/>
      <x:c r="E592" s="12"/>
      <x:c r="F592" s="10"/>
      <x:c r="G592" s="2" t="str">
        <x:f>IF(COUNTA(A592:F592)=0,"",COUNTIFS('App Data'!$L$2:$L$1001,SUBSTITUTE(SUBSTITUTE(SUBSTITUTE(L592,"~","~~"),"*","~*"),"?","~?")))</x:f>
      </x:c>
      <x:c r="H592" s="2" t="str">
        <x:f>IF(COUNTA(A592:F592)=0,"",COUNTIFS('External Data'!$L$2:$L$1001,SUBSTITUTE(SUBSTITUTE(SUBSTITUTE(L592,"~","~~"),"*","~*"),"?","~?")))</x:f>
      </x:c>
      <x:c r="I592" s="13" t="str">
        <x:f>IF(OR(H592&lt;&gt;1,G592&lt;&gt;1),"",SUMIFS('External Data'!$E$2:$E$1001,'External Data'!$L$2:$L$1001,SUBSTITUTE(SUBSTITUTE(SUBSTITUTE(L592,"~","~~"),"*","~*"),"?","~?")))</x:f>
      </x:c>
      <x:c r="J592" s="13" t="str">
        <x:f>IF(OR(NOT(ISNUMBER(E592)),NOT(ISNUMBER(I592))),"",ROUND(E592-I592,2))</x:f>
      </x:c>
      <x:c r="K592" s="2" t="str">
        <x:f>IF(COUNTA(A592:F592)=0,"",IF(OR(A592="",B592="",C592="",D592="",NOT(ISNUMBER(E592))),"Missing / invalid input",IF(G592&gt;1,"Duplicate key in this source",IF(H592=0,"Missing in other source",IF(H592&gt;1,"Duplicate in other source",IF(SUMIFS('External Data'!$M$2:$M$1001,'External Data'!$L$2:$L$1001,SUBSTITUTE(SUBSTITUTE(SUBSTITUTE(L592,"~","~~"),"*","~*"),"?","~?"))&lt;&gt;1,"Other amount is invalid",IF(J592&lt;&gt;0,"Amount differs","Matched")))))))</x:f>
      </x:c>
      <x:c r="L592" t="str">
        <x:f>IF(COUNTA(A592:F592)=0,"",LEN(A592)&amp;":"&amp;A592&amp;LEN(B592)&amp;":"&amp;B592&amp;LEN(C592)&amp;":"&amp;C592&amp;LEN(D592)&amp;":"&amp;D592)</x:f>
      </x:c>
      <x:c r="M592" t="str">
        <x:f>IF(COUNTA(A592:F592)=0,"",IF(ISNUMBER(E592),1,0))</x:f>
      </x:c>
    </x:row>
    <x:row r="593">
      <x:c r="A593" s="11"/>
      <x:c r="B593" s="11"/>
      <x:c r="C593" s="11"/>
      <x:c r="D593" s="11"/>
      <x:c r="E593" s="12"/>
      <x:c r="F593" s="10"/>
      <x:c r="G593" s="2" t="str">
        <x:f>IF(COUNTA(A593:F593)=0,"",COUNTIFS('App Data'!$L$2:$L$1001,SUBSTITUTE(SUBSTITUTE(SUBSTITUTE(L593,"~","~~"),"*","~*"),"?","~?")))</x:f>
      </x:c>
      <x:c r="H593" s="2" t="str">
        <x:f>IF(COUNTA(A593:F593)=0,"",COUNTIFS('External Data'!$L$2:$L$1001,SUBSTITUTE(SUBSTITUTE(SUBSTITUTE(L593,"~","~~"),"*","~*"),"?","~?")))</x:f>
      </x:c>
      <x:c r="I593" s="13" t="str">
        <x:f>IF(OR(H593&lt;&gt;1,G593&lt;&gt;1),"",SUMIFS('External Data'!$E$2:$E$1001,'External Data'!$L$2:$L$1001,SUBSTITUTE(SUBSTITUTE(SUBSTITUTE(L593,"~","~~"),"*","~*"),"?","~?")))</x:f>
      </x:c>
      <x:c r="J593" s="13" t="str">
        <x:f>IF(OR(NOT(ISNUMBER(E593)),NOT(ISNUMBER(I593))),"",ROUND(E593-I593,2))</x:f>
      </x:c>
      <x:c r="K593" s="2" t="str">
        <x:f>IF(COUNTA(A593:F593)=0,"",IF(OR(A593="",B593="",C593="",D593="",NOT(ISNUMBER(E593))),"Missing / invalid input",IF(G593&gt;1,"Duplicate key in this source",IF(H593=0,"Missing in other source",IF(H593&gt;1,"Duplicate in other source",IF(SUMIFS('External Data'!$M$2:$M$1001,'External Data'!$L$2:$L$1001,SUBSTITUTE(SUBSTITUTE(SUBSTITUTE(L593,"~","~~"),"*","~*"),"?","~?"))&lt;&gt;1,"Other amount is invalid",IF(J593&lt;&gt;0,"Amount differs","Matched")))))))</x:f>
      </x:c>
      <x:c r="L593" t="str">
        <x:f>IF(COUNTA(A593:F593)=0,"",LEN(A593)&amp;":"&amp;A593&amp;LEN(B593)&amp;":"&amp;B593&amp;LEN(C593)&amp;":"&amp;C593&amp;LEN(D593)&amp;":"&amp;D593)</x:f>
      </x:c>
      <x:c r="M593" t="str">
        <x:f>IF(COUNTA(A593:F593)=0,"",IF(ISNUMBER(E593),1,0))</x:f>
      </x:c>
    </x:row>
    <x:row r="594">
      <x:c r="A594" s="11"/>
      <x:c r="B594" s="11"/>
      <x:c r="C594" s="11"/>
      <x:c r="D594" s="11"/>
      <x:c r="E594" s="12"/>
      <x:c r="F594" s="10"/>
      <x:c r="G594" s="2" t="str">
        <x:f>IF(COUNTA(A594:F594)=0,"",COUNTIFS('App Data'!$L$2:$L$1001,SUBSTITUTE(SUBSTITUTE(SUBSTITUTE(L594,"~","~~"),"*","~*"),"?","~?")))</x:f>
      </x:c>
      <x:c r="H594" s="2" t="str">
        <x:f>IF(COUNTA(A594:F594)=0,"",COUNTIFS('External Data'!$L$2:$L$1001,SUBSTITUTE(SUBSTITUTE(SUBSTITUTE(L594,"~","~~"),"*","~*"),"?","~?")))</x:f>
      </x:c>
      <x:c r="I594" s="13" t="str">
        <x:f>IF(OR(H594&lt;&gt;1,G594&lt;&gt;1),"",SUMIFS('External Data'!$E$2:$E$1001,'External Data'!$L$2:$L$1001,SUBSTITUTE(SUBSTITUTE(SUBSTITUTE(L594,"~","~~"),"*","~*"),"?","~?")))</x:f>
      </x:c>
      <x:c r="J594" s="13" t="str">
        <x:f>IF(OR(NOT(ISNUMBER(E594)),NOT(ISNUMBER(I594))),"",ROUND(E594-I594,2))</x:f>
      </x:c>
      <x:c r="K594" s="2" t="str">
        <x:f>IF(COUNTA(A594:F594)=0,"",IF(OR(A594="",B594="",C594="",D594="",NOT(ISNUMBER(E594))),"Missing / invalid input",IF(G594&gt;1,"Duplicate key in this source",IF(H594=0,"Missing in other source",IF(H594&gt;1,"Duplicate in other source",IF(SUMIFS('External Data'!$M$2:$M$1001,'External Data'!$L$2:$L$1001,SUBSTITUTE(SUBSTITUTE(SUBSTITUTE(L594,"~","~~"),"*","~*"),"?","~?"))&lt;&gt;1,"Other amount is invalid",IF(J594&lt;&gt;0,"Amount differs","Matched")))))))</x:f>
      </x:c>
      <x:c r="L594" t="str">
        <x:f>IF(COUNTA(A594:F594)=0,"",LEN(A594)&amp;":"&amp;A594&amp;LEN(B594)&amp;":"&amp;B594&amp;LEN(C594)&amp;":"&amp;C594&amp;LEN(D594)&amp;":"&amp;D594)</x:f>
      </x:c>
      <x:c r="M594" t="str">
        <x:f>IF(COUNTA(A594:F594)=0,"",IF(ISNUMBER(E594),1,0))</x:f>
      </x:c>
    </x:row>
    <x:row r="595">
      <x:c r="A595" s="11"/>
      <x:c r="B595" s="11"/>
      <x:c r="C595" s="11"/>
      <x:c r="D595" s="11"/>
      <x:c r="E595" s="12"/>
      <x:c r="F595" s="10"/>
      <x:c r="G595" s="2" t="str">
        <x:f>IF(COUNTA(A595:F595)=0,"",COUNTIFS('App Data'!$L$2:$L$1001,SUBSTITUTE(SUBSTITUTE(SUBSTITUTE(L595,"~","~~"),"*","~*"),"?","~?")))</x:f>
      </x:c>
      <x:c r="H595" s="2" t="str">
        <x:f>IF(COUNTA(A595:F595)=0,"",COUNTIFS('External Data'!$L$2:$L$1001,SUBSTITUTE(SUBSTITUTE(SUBSTITUTE(L595,"~","~~"),"*","~*"),"?","~?")))</x:f>
      </x:c>
      <x:c r="I595" s="13" t="str">
        <x:f>IF(OR(H595&lt;&gt;1,G595&lt;&gt;1),"",SUMIFS('External Data'!$E$2:$E$1001,'External Data'!$L$2:$L$1001,SUBSTITUTE(SUBSTITUTE(SUBSTITUTE(L595,"~","~~"),"*","~*"),"?","~?")))</x:f>
      </x:c>
      <x:c r="J595" s="13" t="str">
        <x:f>IF(OR(NOT(ISNUMBER(E595)),NOT(ISNUMBER(I595))),"",ROUND(E595-I595,2))</x:f>
      </x:c>
      <x:c r="K595" s="2" t="str">
        <x:f>IF(COUNTA(A595:F595)=0,"",IF(OR(A595="",B595="",C595="",D595="",NOT(ISNUMBER(E595))),"Missing / invalid input",IF(G595&gt;1,"Duplicate key in this source",IF(H595=0,"Missing in other source",IF(H595&gt;1,"Duplicate in other source",IF(SUMIFS('External Data'!$M$2:$M$1001,'External Data'!$L$2:$L$1001,SUBSTITUTE(SUBSTITUTE(SUBSTITUTE(L595,"~","~~"),"*","~*"),"?","~?"))&lt;&gt;1,"Other amount is invalid",IF(J595&lt;&gt;0,"Amount differs","Matched")))))))</x:f>
      </x:c>
      <x:c r="L595" t="str">
        <x:f>IF(COUNTA(A595:F595)=0,"",LEN(A595)&amp;":"&amp;A595&amp;LEN(B595)&amp;":"&amp;B595&amp;LEN(C595)&amp;":"&amp;C595&amp;LEN(D595)&amp;":"&amp;D595)</x:f>
      </x:c>
      <x:c r="M595" t="str">
        <x:f>IF(COUNTA(A595:F595)=0,"",IF(ISNUMBER(E595),1,0))</x:f>
      </x:c>
    </x:row>
    <x:row r="596">
      <x:c r="A596" s="11"/>
      <x:c r="B596" s="11"/>
      <x:c r="C596" s="11"/>
      <x:c r="D596" s="11"/>
      <x:c r="E596" s="12"/>
      <x:c r="F596" s="10"/>
      <x:c r="G596" s="2" t="str">
        <x:f>IF(COUNTA(A596:F596)=0,"",COUNTIFS('App Data'!$L$2:$L$1001,SUBSTITUTE(SUBSTITUTE(SUBSTITUTE(L596,"~","~~"),"*","~*"),"?","~?")))</x:f>
      </x:c>
      <x:c r="H596" s="2" t="str">
        <x:f>IF(COUNTA(A596:F596)=0,"",COUNTIFS('External Data'!$L$2:$L$1001,SUBSTITUTE(SUBSTITUTE(SUBSTITUTE(L596,"~","~~"),"*","~*"),"?","~?")))</x:f>
      </x:c>
      <x:c r="I596" s="13" t="str">
        <x:f>IF(OR(H596&lt;&gt;1,G596&lt;&gt;1),"",SUMIFS('External Data'!$E$2:$E$1001,'External Data'!$L$2:$L$1001,SUBSTITUTE(SUBSTITUTE(SUBSTITUTE(L596,"~","~~"),"*","~*"),"?","~?")))</x:f>
      </x:c>
      <x:c r="J596" s="13" t="str">
        <x:f>IF(OR(NOT(ISNUMBER(E596)),NOT(ISNUMBER(I596))),"",ROUND(E596-I596,2))</x:f>
      </x:c>
      <x:c r="K596" s="2" t="str">
        <x:f>IF(COUNTA(A596:F596)=0,"",IF(OR(A596="",B596="",C596="",D596="",NOT(ISNUMBER(E596))),"Missing / invalid input",IF(G596&gt;1,"Duplicate key in this source",IF(H596=0,"Missing in other source",IF(H596&gt;1,"Duplicate in other source",IF(SUMIFS('External Data'!$M$2:$M$1001,'External Data'!$L$2:$L$1001,SUBSTITUTE(SUBSTITUTE(SUBSTITUTE(L596,"~","~~"),"*","~*"),"?","~?"))&lt;&gt;1,"Other amount is invalid",IF(J596&lt;&gt;0,"Amount differs","Matched")))))))</x:f>
      </x:c>
      <x:c r="L596" t="str">
        <x:f>IF(COUNTA(A596:F596)=0,"",LEN(A596)&amp;":"&amp;A596&amp;LEN(B596)&amp;":"&amp;B596&amp;LEN(C596)&amp;":"&amp;C596&amp;LEN(D596)&amp;":"&amp;D596)</x:f>
      </x:c>
      <x:c r="M596" t="str">
        <x:f>IF(COUNTA(A596:F596)=0,"",IF(ISNUMBER(E596),1,0))</x:f>
      </x:c>
    </x:row>
    <x:row r="597">
      <x:c r="A597" s="11"/>
      <x:c r="B597" s="11"/>
      <x:c r="C597" s="11"/>
      <x:c r="D597" s="11"/>
      <x:c r="E597" s="12"/>
      <x:c r="F597" s="10"/>
      <x:c r="G597" s="2" t="str">
        <x:f>IF(COUNTA(A597:F597)=0,"",COUNTIFS('App Data'!$L$2:$L$1001,SUBSTITUTE(SUBSTITUTE(SUBSTITUTE(L597,"~","~~"),"*","~*"),"?","~?")))</x:f>
      </x:c>
      <x:c r="H597" s="2" t="str">
        <x:f>IF(COUNTA(A597:F597)=0,"",COUNTIFS('External Data'!$L$2:$L$1001,SUBSTITUTE(SUBSTITUTE(SUBSTITUTE(L597,"~","~~"),"*","~*"),"?","~?")))</x:f>
      </x:c>
      <x:c r="I597" s="13" t="str">
        <x:f>IF(OR(H597&lt;&gt;1,G597&lt;&gt;1),"",SUMIFS('External Data'!$E$2:$E$1001,'External Data'!$L$2:$L$1001,SUBSTITUTE(SUBSTITUTE(SUBSTITUTE(L597,"~","~~"),"*","~*"),"?","~?")))</x:f>
      </x:c>
      <x:c r="J597" s="13" t="str">
        <x:f>IF(OR(NOT(ISNUMBER(E597)),NOT(ISNUMBER(I597))),"",ROUND(E597-I597,2))</x:f>
      </x:c>
      <x:c r="K597" s="2" t="str">
        <x:f>IF(COUNTA(A597:F597)=0,"",IF(OR(A597="",B597="",C597="",D597="",NOT(ISNUMBER(E597))),"Missing / invalid input",IF(G597&gt;1,"Duplicate key in this source",IF(H597=0,"Missing in other source",IF(H597&gt;1,"Duplicate in other source",IF(SUMIFS('External Data'!$M$2:$M$1001,'External Data'!$L$2:$L$1001,SUBSTITUTE(SUBSTITUTE(SUBSTITUTE(L597,"~","~~"),"*","~*"),"?","~?"))&lt;&gt;1,"Other amount is invalid",IF(J597&lt;&gt;0,"Amount differs","Matched")))))))</x:f>
      </x:c>
      <x:c r="L597" t="str">
        <x:f>IF(COUNTA(A597:F597)=0,"",LEN(A597)&amp;":"&amp;A597&amp;LEN(B597)&amp;":"&amp;B597&amp;LEN(C597)&amp;":"&amp;C597&amp;LEN(D597)&amp;":"&amp;D597)</x:f>
      </x:c>
      <x:c r="M597" t="str">
        <x:f>IF(COUNTA(A597:F597)=0,"",IF(ISNUMBER(E597),1,0))</x:f>
      </x:c>
    </x:row>
    <x:row r="598">
      <x:c r="A598" s="11"/>
      <x:c r="B598" s="11"/>
      <x:c r="C598" s="11"/>
      <x:c r="D598" s="11"/>
      <x:c r="E598" s="12"/>
      <x:c r="F598" s="10"/>
      <x:c r="G598" s="2" t="str">
        <x:f>IF(COUNTA(A598:F598)=0,"",COUNTIFS('App Data'!$L$2:$L$1001,SUBSTITUTE(SUBSTITUTE(SUBSTITUTE(L598,"~","~~"),"*","~*"),"?","~?")))</x:f>
      </x:c>
      <x:c r="H598" s="2" t="str">
        <x:f>IF(COUNTA(A598:F598)=0,"",COUNTIFS('External Data'!$L$2:$L$1001,SUBSTITUTE(SUBSTITUTE(SUBSTITUTE(L598,"~","~~"),"*","~*"),"?","~?")))</x:f>
      </x:c>
      <x:c r="I598" s="13" t="str">
        <x:f>IF(OR(H598&lt;&gt;1,G598&lt;&gt;1),"",SUMIFS('External Data'!$E$2:$E$1001,'External Data'!$L$2:$L$1001,SUBSTITUTE(SUBSTITUTE(SUBSTITUTE(L598,"~","~~"),"*","~*"),"?","~?")))</x:f>
      </x:c>
      <x:c r="J598" s="13" t="str">
        <x:f>IF(OR(NOT(ISNUMBER(E598)),NOT(ISNUMBER(I598))),"",ROUND(E598-I598,2))</x:f>
      </x:c>
      <x:c r="K598" s="2" t="str">
        <x:f>IF(COUNTA(A598:F598)=0,"",IF(OR(A598="",B598="",C598="",D598="",NOT(ISNUMBER(E598))),"Missing / invalid input",IF(G598&gt;1,"Duplicate key in this source",IF(H598=0,"Missing in other source",IF(H598&gt;1,"Duplicate in other source",IF(SUMIFS('External Data'!$M$2:$M$1001,'External Data'!$L$2:$L$1001,SUBSTITUTE(SUBSTITUTE(SUBSTITUTE(L598,"~","~~"),"*","~*"),"?","~?"))&lt;&gt;1,"Other amount is invalid",IF(J598&lt;&gt;0,"Amount differs","Matched")))))))</x:f>
      </x:c>
      <x:c r="L598" t="str">
        <x:f>IF(COUNTA(A598:F598)=0,"",LEN(A598)&amp;":"&amp;A598&amp;LEN(B598)&amp;":"&amp;B598&amp;LEN(C598)&amp;":"&amp;C598&amp;LEN(D598)&amp;":"&amp;D598)</x:f>
      </x:c>
      <x:c r="M598" t="str">
        <x:f>IF(COUNTA(A598:F598)=0,"",IF(ISNUMBER(E598),1,0))</x:f>
      </x:c>
    </x:row>
    <x:row r="599">
      <x:c r="A599" s="11"/>
      <x:c r="B599" s="11"/>
      <x:c r="C599" s="11"/>
      <x:c r="D599" s="11"/>
      <x:c r="E599" s="12"/>
      <x:c r="F599" s="10"/>
      <x:c r="G599" s="2" t="str">
        <x:f>IF(COUNTA(A599:F599)=0,"",COUNTIFS('App Data'!$L$2:$L$1001,SUBSTITUTE(SUBSTITUTE(SUBSTITUTE(L599,"~","~~"),"*","~*"),"?","~?")))</x:f>
      </x:c>
      <x:c r="H599" s="2" t="str">
        <x:f>IF(COUNTA(A599:F599)=0,"",COUNTIFS('External Data'!$L$2:$L$1001,SUBSTITUTE(SUBSTITUTE(SUBSTITUTE(L599,"~","~~"),"*","~*"),"?","~?")))</x:f>
      </x:c>
      <x:c r="I599" s="13" t="str">
        <x:f>IF(OR(H599&lt;&gt;1,G599&lt;&gt;1),"",SUMIFS('External Data'!$E$2:$E$1001,'External Data'!$L$2:$L$1001,SUBSTITUTE(SUBSTITUTE(SUBSTITUTE(L599,"~","~~"),"*","~*"),"?","~?")))</x:f>
      </x:c>
      <x:c r="J599" s="13" t="str">
        <x:f>IF(OR(NOT(ISNUMBER(E599)),NOT(ISNUMBER(I599))),"",ROUND(E599-I599,2))</x:f>
      </x:c>
      <x:c r="K599" s="2" t="str">
        <x:f>IF(COUNTA(A599:F599)=0,"",IF(OR(A599="",B599="",C599="",D599="",NOT(ISNUMBER(E599))),"Missing / invalid input",IF(G599&gt;1,"Duplicate key in this source",IF(H599=0,"Missing in other source",IF(H599&gt;1,"Duplicate in other source",IF(SUMIFS('External Data'!$M$2:$M$1001,'External Data'!$L$2:$L$1001,SUBSTITUTE(SUBSTITUTE(SUBSTITUTE(L599,"~","~~"),"*","~*"),"?","~?"))&lt;&gt;1,"Other amount is invalid",IF(J599&lt;&gt;0,"Amount differs","Matched")))))))</x:f>
      </x:c>
      <x:c r="L599" t="str">
        <x:f>IF(COUNTA(A599:F599)=0,"",LEN(A599)&amp;":"&amp;A599&amp;LEN(B599)&amp;":"&amp;B599&amp;LEN(C599)&amp;":"&amp;C599&amp;LEN(D599)&amp;":"&amp;D599)</x:f>
      </x:c>
      <x:c r="M599" t="str">
        <x:f>IF(COUNTA(A599:F599)=0,"",IF(ISNUMBER(E599),1,0))</x:f>
      </x:c>
    </x:row>
    <x:row r="600">
      <x:c r="A600" s="11"/>
      <x:c r="B600" s="11"/>
      <x:c r="C600" s="11"/>
      <x:c r="D600" s="11"/>
      <x:c r="E600" s="12"/>
      <x:c r="F600" s="10"/>
      <x:c r="G600" s="2" t="str">
        <x:f>IF(COUNTA(A600:F600)=0,"",COUNTIFS('App Data'!$L$2:$L$1001,SUBSTITUTE(SUBSTITUTE(SUBSTITUTE(L600,"~","~~"),"*","~*"),"?","~?")))</x:f>
      </x:c>
      <x:c r="H600" s="2" t="str">
        <x:f>IF(COUNTA(A600:F600)=0,"",COUNTIFS('External Data'!$L$2:$L$1001,SUBSTITUTE(SUBSTITUTE(SUBSTITUTE(L600,"~","~~"),"*","~*"),"?","~?")))</x:f>
      </x:c>
      <x:c r="I600" s="13" t="str">
        <x:f>IF(OR(H600&lt;&gt;1,G600&lt;&gt;1),"",SUMIFS('External Data'!$E$2:$E$1001,'External Data'!$L$2:$L$1001,SUBSTITUTE(SUBSTITUTE(SUBSTITUTE(L600,"~","~~"),"*","~*"),"?","~?")))</x:f>
      </x:c>
      <x:c r="J600" s="13" t="str">
        <x:f>IF(OR(NOT(ISNUMBER(E600)),NOT(ISNUMBER(I600))),"",ROUND(E600-I600,2))</x:f>
      </x:c>
      <x:c r="K600" s="2" t="str">
        <x:f>IF(COUNTA(A600:F600)=0,"",IF(OR(A600="",B600="",C600="",D600="",NOT(ISNUMBER(E600))),"Missing / invalid input",IF(G600&gt;1,"Duplicate key in this source",IF(H600=0,"Missing in other source",IF(H600&gt;1,"Duplicate in other source",IF(SUMIFS('External Data'!$M$2:$M$1001,'External Data'!$L$2:$L$1001,SUBSTITUTE(SUBSTITUTE(SUBSTITUTE(L600,"~","~~"),"*","~*"),"?","~?"))&lt;&gt;1,"Other amount is invalid",IF(J600&lt;&gt;0,"Amount differs","Matched")))))))</x:f>
      </x:c>
      <x:c r="L600" t="str">
        <x:f>IF(COUNTA(A600:F600)=0,"",LEN(A600)&amp;":"&amp;A600&amp;LEN(B600)&amp;":"&amp;B600&amp;LEN(C600)&amp;":"&amp;C600&amp;LEN(D600)&amp;":"&amp;D600)</x:f>
      </x:c>
      <x:c r="M600" t="str">
        <x:f>IF(COUNTA(A600:F600)=0,"",IF(ISNUMBER(E600),1,0))</x:f>
      </x:c>
    </x:row>
    <x:row r="601">
      <x:c r="A601" s="11"/>
      <x:c r="B601" s="11"/>
      <x:c r="C601" s="11"/>
      <x:c r="D601" s="11"/>
      <x:c r="E601" s="12"/>
      <x:c r="F601" s="10"/>
      <x:c r="G601" s="2" t="str">
        <x:f>IF(COUNTA(A601:F601)=0,"",COUNTIFS('App Data'!$L$2:$L$1001,SUBSTITUTE(SUBSTITUTE(SUBSTITUTE(L601,"~","~~"),"*","~*"),"?","~?")))</x:f>
      </x:c>
      <x:c r="H601" s="2" t="str">
        <x:f>IF(COUNTA(A601:F601)=0,"",COUNTIFS('External Data'!$L$2:$L$1001,SUBSTITUTE(SUBSTITUTE(SUBSTITUTE(L601,"~","~~"),"*","~*"),"?","~?")))</x:f>
      </x:c>
      <x:c r="I601" s="13" t="str">
        <x:f>IF(OR(H601&lt;&gt;1,G601&lt;&gt;1),"",SUMIFS('External Data'!$E$2:$E$1001,'External Data'!$L$2:$L$1001,SUBSTITUTE(SUBSTITUTE(SUBSTITUTE(L601,"~","~~"),"*","~*"),"?","~?")))</x:f>
      </x:c>
      <x:c r="J601" s="13" t="str">
        <x:f>IF(OR(NOT(ISNUMBER(E601)),NOT(ISNUMBER(I601))),"",ROUND(E601-I601,2))</x:f>
      </x:c>
      <x:c r="K601" s="2" t="str">
        <x:f>IF(COUNTA(A601:F601)=0,"",IF(OR(A601="",B601="",C601="",D601="",NOT(ISNUMBER(E601))),"Missing / invalid input",IF(G601&gt;1,"Duplicate key in this source",IF(H601=0,"Missing in other source",IF(H601&gt;1,"Duplicate in other source",IF(SUMIFS('External Data'!$M$2:$M$1001,'External Data'!$L$2:$L$1001,SUBSTITUTE(SUBSTITUTE(SUBSTITUTE(L601,"~","~~"),"*","~*"),"?","~?"))&lt;&gt;1,"Other amount is invalid",IF(J601&lt;&gt;0,"Amount differs","Matched")))))))</x:f>
      </x:c>
      <x:c r="L601" t="str">
        <x:f>IF(COUNTA(A601:F601)=0,"",LEN(A601)&amp;":"&amp;A601&amp;LEN(B601)&amp;":"&amp;B601&amp;LEN(C601)&amp;":"&amp;C601&amp;LEN(D601)&amp;":"&amp;D601)</x:f>
      </x:c>
      <x:c r="M601" t="str">
        <x:f>IF(COUNTA(A601:F601)=0,"",IF(ISNUMBER(E601),1,0))</x:f>
      </x:c>
    </x:row>
    <x:row r="602">
      <x:c r="A602" s="11"/>
      <x:c r="B602" s="11"/>
      <x:c r="C602" s="11"/>
      <x:c r="D602" s="11"/>
      <x:c r="E602" s="12"/>
      <x:c r="F602" s="10"/>
      <x:c r="G602" s="2" t="str">
        <x:f>IF(COUNTA(A602:F602)=0,"",COUNTIFS('App Data'!$L$2:$L$1001,SUBSTITUTE(SUBSTITUTE(SUBSTITUTE(L602,"~","~~"),"*","~*"),"?","~?")))</x:f>
      </x:c>
      <x:c r="H602" s="2" t="str">
        <x:f>IF(COUNTA(A602:F602)=0,"",COUNTIFS('External Data'!$L$2:$L$1001,SUBSTITUTE(SUBSTITUTE(SUBSTITUTE(L602,"~","~~"),"*","~*"),"?","~?")))</x:f>
      </x:c>
      <x:c r="I602" s="13" t="str">
        <x:f>IF(OR(H602&lt;&gt;1,G602&lt;&gt;1),"",SUMIFS('External Data'!$E$2:$E$1001,'External Data'!$L$2:$L$1001,SUBSTITUTE(SUBSTITUTE(SUBSTITUTE(L602,"~","~~"),"*","~*"),"?","~?")))</x:f>
      </x:c>
      <x:c r="J602" s="13" t="str">
        <x:f>IF(OR(NOT(ISNUMBER(E602)),NOT(ISNUMBER(I602))),"",ROUND(E602-I602,2))</x:f>
      </x:c>
      <x:c r="K602" s="2" t="str">
        <x:f>IF(COUNTA(A602:F602)=0,"",IF(OR(A602="",B602="",C602="",D602="",NOT(ISNUMBER(E602))),"Missing / invalid input",IF(G602&gt;1,"Duplicate key in this source",IF(H602=0,"Missing in other source",IF(H602&gt;1,"Duplicate in other source",IF(SUMIFS('External Data'!$M$2:$M$1001,'External Data'!$L$2:$L$1001,SUBSTITUTE(SUBSTITUTE(SUBSTITUTE(L602,"~","~~"),"*","~*"),"?","~?"))&lt;&gt;1,"Other amount is invalid",IF(J602&lt;&gt;0,"Amount differs","Matched")))))))</x:f>
      </x:c>
      <x:c r="L602" t="str">
        <x:f>IF(COUNTA(A602:F602)=0,"",LEN(A602)&amp;":"&amp;A602&amp;LEN(B602)&amp;":"&amp;B602&amp;LEN(C602)&amp;":"&amp;C602&amp;LEN(D602)&amp;":"&amp;D602)</x:f>
      </x:c>
      <x:c r="M602" t="str">
        <x:f>IF(COUNTA(A602:F602)=0,"",IF(ISNUMBER(E602),1,0))</x:f>
      </x:c>
    </x:row>
    <x:row r="603">
      <x:c r="A603" s="11"/>
      <x:c r="B603" s="11"/>
      <x:c r="C603" s="11"/>
      <x:c r="D603" s="11"/>
      <x:c r="E603" s="12"/>
      <x:c r="F603" s="10"/>
      <x:c r="G603" s="2" t="str">
        <x:f>IF(COUNTA(A603:F603)=0,"",COUNTIFS('App Data'!$L$2:$L$1001,SUBSTITUTE(SUBSTITUTE(SUBSTITUTE(L603,"~","~~"),"*","~*"),"?","~?")))</x:f>
      </x:c>
      <x:c r="H603" s="2" t="str">
        <x:f>IF(COUNTA(A603:F603)=0,"",COUNTIFS('External Data'!$L$2:$L$1001,SUBSTITUTE(SUBSTITUTE(SUBSTITUTE(L603,"~","~~"),"*","~*"),"?","~?")))</x:f>
      </x:c>
      <x:c r="I603" s="13" t="str">
        <x:f>IF(OR(H603&lt;&gt;1,G603&lt;&gt;1),"",SUMIFS('External Data'!$E$2:$E$1001,'External Data'!$L$2:$L$1001,SUBSTITUTE(SUBSTITUTE(SUBSTITUTE(L603,"~","~~"),"*","~*"),"?","~?")))</x:f>
      </x:c>
      <x:c r="J603" s="13" t="str">
        <x:f>IF(OR(NOT(ISNUMBER(E603)),NOT(ISNUMBER(I603))),"",ROUND(E603-I603,2))</x:f>
      </x:c>
      <x:c r="K603" s="2" t="str">
        <x:f>IF(COUNTA(A603:F603)=0,"",IF(OR(A603="",B603="",C603="",D603="",NOT(ISNUMBER(E603))),"Missing / invalid input",IF(G603&gt;1,"Duplicate key in this source",IF(H603=0,"Missing in other source",IF(H603&gt;1,"Duplicate in other source",IF(SUMIFS('External Data'!$M$2:$M$1001,'External Data'!$L$2:$L$1001,SUBSTITUTE(SUBSTITUTE(SUBSTITUTE(L603,"~","~~"),"*","~*"),"?","~?"))&lt;&gt;1,"Other amount is invalid",IF(J603&lt;&gt;0,"Amount differs","Matched")))))))</x:f>
      </x:c>
      <x:c r="L603" t="str">
        <x:f>IF(COUNTA(A603:F603)=0,"",LEN(A603)&amp;":"&amp;A603&amp;LEN(B603)&amp;":"&amp;B603&amp;LEN(C603)&amp;":"&amp;C603&amp;LEN(D603)&amp;":"&amp;D603)</x:f>
      </x:c>
      <x:c r="M603" t="str">
        <x:f>IF(COUNTA(A603:F603)=0,"",IF(ISNUMBER(E603),1,0))</x:f>
      </x:c>
    </x:row>
    <x:row r="604">
      <x:c r="A604" s="11"/>
      <x:c r="B604" s="11"/>
      <x:c r="C604" s="11"/>
      <x:c r="D604" s="11"/>
      <x:c r="E604" s="12"/>
      <x:c r="F604" s="10"/>
      <x:c r="G604" s="2" t="str">
        <x:f>IF(COUNTA(A604:F604)=0,"",COUNTIFS('App Data'!$L$2:$L$1001,SUBSTITUTE(SUBSTITUTE(SUBSTITUTE(L604,"~","~~"),"*","~*"),"?","~?")))</x:f>
      </x:c>
      <x:c r="H604" s="2" t="str">
        <x:f>IF(COUNTA(A604:F604)=0,"",COUNTIFS('External Data'!$L$2:$L$1001,SUBSTITUTE(SUBSTITUTE(SUBSTITUTE(L604,"~","~~"),"*","~*"),"?","~?")))</x:f>
      </x:c>
      <x:c r="I604" s="13" t="str">
        <x:f>IF(OR(H604&lt;&gt;1,G604&lt;&gt;1),"",SUMIFS('External Data'!$E$2:$E$1001,'External Data'!$L$2:$L$1001,SUBSTITUTE(SUBSTITUTE(SUBSTITUTE(L604,"~","~~"),"*","~*"),"?","~?")))</x:f>
      </x:c>
      <x:c r="J604" s="13" t="str">
        <x:f>IF(OR(NOT(ISNUMBER(E604)),NOT(ISNUMBER(I604))),"",ROUND(E604-I604,2))</x:f>
      </x:c>
      <x:c r="K604" s="2" t="str">
        <x:f>IF(COUNTA(A604:F604)=0,"",IF(OR(A604="",B604="",C604="",D604="",NOT(ISNUMBER(E604))),"Missing / invalid input",IF(G604&gt;1,"Duplicate key in this source",IF(H604=0,"Missing in other source",IF(H604&gt;1,"Duplicate in other source",IF(SUMIFS('External Data'!$M$2:$M$1001,'External Data'!$L$2:$L$1001,SUBSTITUTE(SUBSTITUTE(SUBSTITUTE(L604,"~","~~"),"*","~*"),"?","~?"))&lt;&gt;1,"Other amount is invalid",IF(J604&lt;&gt;0,"Amount differs","Matched")))))))</x:f>
      </x:c>
      <x:c r="L604" t="str">
        <x:f>IF(COUNTA(A604:F604)=0,"",LEN(A604)&amp;":"&amp;A604&amp;LEN(B604)&amp;":"&amp;B604&amp;LEN(C604)&amp;":"&amp;C604&amp;LEN(D604)&amp;":"&amp;D604)</x:f>
      </x:c>
      <x:c r="M604" t="str">
        <x:f>IF(COUNTA(A604:F604)=0,"",IF(ISNUMBER(E604),1,0))</x:f>
      </x:c>
    </x:row>
    <x:row r="605">
      <x:c r="A605" s="11"/>
      <x:c r="B605" s="11"/>
      <x:c r="C605" s="11"/>
      <x:c r="D605" s="11"/>
      <x:c r="E605" s="12"/>
      <x:c r="F605" s="10"/>
      <x:c r="G605" s="2" t="str">
        <x:f>IF(COUNTA(A605:F605)=0,"",COUNTIFS('App Data'!$L$2:$L$1001,SUBSTITUTE(SUBSTITUTE(SUBSTITUTE(L605,"~","~~"),"*","~*"),"?","~?")))</x:f>
      </x:c>
      <x:c r="H605" s="2" t="str">
        <x:f>IF(COUNTA(A605:F605)=0,"",COUNTIFS('External Data'!$L$2:$L$1001,SUBSTITUTE(SUBSTITUTE(SUBSTITUTE(L605,"~","~~"),"*","~*"),"?","~?")))</x:f>
      </x:c>
      <x:c r="I605" s="13" t="str">
        <x:f>IF(OR(H605&lt;&gt;1,G605&lt;&gt;1),"",SUMIFS('External Data'!$E$2:$E$1001,'External Data'!$L$2:$L$1001,SUBSTITUTE(SUBSTITUTE(SUBSTITUTE(L605,"~","~~"),"*","~*"),"?","~?")))</x:f>
      </x:c>
      <x:c r="J605" s="13" t="str">
        <x:f>IF(OR(NOT(ISNUMBER(E605)),NOT(ISNUMBER(I605))),"",ROUND(E605-I605,2))</x:f>
      </x:c>
      <x:c r="K605" s="2" t="str">
        <x:f>IF(COUNTA(A605:F605)=0,"",IF(OR(A605="",B605="",C605="",D605="",NOT(ISNUMBER(E605))),"Missing / invalid input",IF(G605&gt;1,"Duplicate key in this source",IF(H605=0,"Missing in other source",IF(H605&gt;1,"Duplicate in other source",IF(SUMIFS('External Data'!$M$2:$M$1001,'External Data'!$L$2:$L$1001,SUBSTITUTE(SUBSTITUTE(SUBSTITUTE(L605,"~","~~"),"*","~*"),"?","~?"))&lt;&gt;1,"Other amount is invalid",IF(J605&lt;&gt;0,"Amount differs","Matched")))))))</x:f>
      </x:c>
      <x:c r="L605" t="str">
        <x:f>IF(COUNTA(A605:F605)=0,"",LEN(A605)&amp;":"&amp;A605&amp;LEN(B605)&amp;":"&amp;B605&amp;LEN(C605)&amp;":"&amp;C605&amp;LEN(D605)&amp;":"&amp;D605)</x:f>
      </x:c>
      <x:c r="M605" t="str">
        <x:f>IF(COUNTA(A605:F605)=0,"",IF(ISNUMBER(E605),1,0))</x:f>
      </x:c>
    </x:row>
    <x:row r="606">
      <x:c r="A606" s="11"/>
      <x:c r="B606" s="11"/>
      <x:c r="C606" s="11"/>
      <x:c r="D606" s="11"/>
      <x:c r="E606" s="12"/>
      <x:c r="F606" s="10"/>
      <x:c r="G606" s="2" t="str">
        <x:f>IF(COUNTA(A606:F606)=0,"",COUNTIFS('App Data'!$L$2:$L$1001,SUBSTITUTE(SUBSTITUTE(SUBSTITUTE(L606,"~","~~"),"*","~*"),"?","~?")))</x:f>
      </x:c>
      <x:c r="H606" s="2" t="str">
        <x:f>IF(COUNTA(A606:F606)=0,"",COUNTIFS('External Data'!$L$2:$L$1001,SUBSTITUTE(SUBSTITUTE(SUBSTITUTE(L606,"~","~~"),"*","~*"),"?","~?")))</x:f>
      </x:c>
      <x:c r="I606" s="13" t="str">
        <x:f>IF(OR(H606&lt;&gt;1,G606&lt;&gt;1),"",SUMIFS('External Data'!$E$2:$E$1001,'External Data'!$L$2:$L$1001,SUBSTITUTE(SUBSTITUTE(SUBSTITUTE(L606,"~","~~"),"*","~*"),"?","~?")))</x:f>
      </x:c>
      <x:c r="J606" s="13" t="str">
        <x:f>IF(OR(NOT(ISNUMBER(E606)),NOT(ISNUMBER(I606))),"",ROUND(E606-I606,2))</x:f>
      </x:c>
      <x:c r="K606" s="2" t="str">
        <x:f>IF(COUNTA(A606:F606)=0,"",IF(OR(A606="",B606="",C606="",D606="",NOT(ISNUMBER(E606))),"Missing / invalid input",IF(G606&gt;1,"Duplicate key in this source",IF(H606=0,"Missing in other source",IF(H606&gt;1,"Duplicate in other source",IF(SUMIFS('External Data'!$M$2:$M$1001,'External Data'!$L$2:$L$1001,SUBSTITUTE(SUBSTITUTE(SUBSTITUTE(L606,"~","~~"),"*","~*"),"?","~?"))&lt;&gt;1,"Other amount is invalid",IF(J606&lt;&gt;0,"Amount differs","Matched")))))))</x:f>
      </x:c>
      <x:c r="L606" t="str">
        <x:f>IF(COUNTA(A606:F606)=0,"",LEN(A606)&amp;":"&amp;A606&amp;LEN(B606)&amp;":"&amp;B606&amp;LEN(C606)&amp;":"&amp;C606&amp;LEN(D606)&amp;":"&amp;D606)</x:f>
      </x:c>
      <x:c r="M606" t="str">
        <x:f>IF(COUNTA(A606:F606)=0,"",IF(ISNUMBER(E606),1,0))</x:f>
      </x:c>
    </x:row>
    <x:row r="607">
      <x:c r="A607" s="11"/>
      <x:c r="B607" s="11"/>
      <x:c r="C607" s="11"/>
      <x:c r="D607" s="11"/>
      <x:c r="E607" s="12"/>
      <x:c r="F607" s="10"/>
      <x:c r="G607" s="2" t="str">
        <x:f>IF(COUNTA(A607:F607)=0,"",COUNTIFS('App Data'!$L$2:$L$1001,SUBSTITUTE(SUBSTITUTE(SUBSTITUTE(L607,"~","~~"),"*","~*"),"?","~?")))</x:f>
      </x:c>
      <x:c r="H607" s="2" t="str">
        <x:f>IF(COUNTA(A607:F607)=0,"",COUNTIFS('External Data'!$L$2:$L$1001,SUBSTITUTE(SUBSTITUTE(SUBSTITUTE(L607,"~","~~"),"*","~*"),"?","~?")))</x:f>
      </x:c>
      <x:c r="I607" s="13" t="str">
        <x:f>IF(OR(H607&lt;&gt;1,G607&lt;&gt;1),"",SUMIFS('External Data'!$E$2:$E$1001,'External Data'!$L$2:$L$1001,SUBSTITUTE(SUBSTITUTE(SUBSTITUTE(L607,"~","~~"),"*","~*"),"?","~?")))</x:f>
      </x:c>
      <x:c r="J607" s="13" t="str">
        <x:f>IF(OR(NOT(ISNUMBER(E607)),NOT(ISNUMBER(I607))),"",ROUND(E607-I607,2))</x:f>
      </x:c>
      <x:c r="K607" s="2" t="str">
        <x:f>IF(COUNTA(A607:F607)=0,"",IF(OR(A607="",B607="",C607="",D607="",NOT(ISNUMBER(E607))),"Missing / invalid input",IF(G607&gt;1,"Duplicate key in this source",IF(H607=0,"Missing in other source",IF(H607&gt;1,"Duplicate in other source",IF(SUMIFS('External Data'!$M$2:$M$1001,'External Data'!$L$2:$L$1001,SUBSTITUTE(SUBSTITUTE(SUBSTITUTE(L607,"~","~~"),"*","~*"),"?","~?"))&lt;&gt;1,"Other amount is invalid",IF(J607&lt;&gt;0,"Amount differs","Matched")))))))</x:f>
      </x:c>
      <x:c r="L607" t="str">
        <x:f>IF(COUNTA(A607:F607)=0,"",LEN(A607)&amp;":"&amp;A607&amp;LEN(B607)&amp;":"&amp;B607&amp;LEN(C607)&amp;":"&amp;C607&amp;LEN(D607)&amp;":"&amp;D607)</x:f>
      </x:c>
      <x:c r="M607" t="str">
        <x:f>IF(COUNTA(A607:F607)=0,"",IF(ISNUMBER(E607),1,0))</x:f>
      </x:c>
    </x:row>
    <x:row r="608">
      <x:c r="A608" s="11"/>
      <x:c r="B608" s="11"/>
      <x:c r="C608" s="11"/>
      <x:c r="D608" s="11"/>
      <x:c r="E608" s="12"/>
      <x:c r="F608" s="10"/>
      <x:c r="G608" s="2" t="str">
        <x:f>IF(COUNTA(A608:F608)=0,"",COUNTIFS('App Data'!$L$2:$L$1001,SUBSTITUTE(SUBSTITUTE(SUBSTITUTE(L608,"~","~~"),"*","~*"),"?","~?")))</x:f>
      </x:c>
      <x:c r="H608" s="2" t="str">
        <x:f>IF(COUNTA(A608:F608)=0,"",COUNTIFS('External Data'!$L$2:$L$1001,SUBSTITUTE(SUBSTITUTE(SUBSTITUTE(L608,"~","~~"),"*","~*"),"?","~?")))</x:f>
      </x:c>
      <x:c r="I608" s="13" t="str">
        <x:f>IF(OR(H608&lt;&gt;1,G608&lt;&gt;1),"",SUMIFS('External Data'!$E$2:$E$1001,'External Data'!$L$2:$L$1001,SUBSTITUTE(SUBSTITUTE(SUBSTITUTE(L608,"~","~~"),"*","~*"),"?","~?")))</x:f>
      </x:c>
      <x:c r="J608" s="13" t="str">
        <x:f>IF(OR(NOT(ISNUMBER(E608)),NOT(ISNUMBER(I608))),"",ROUND(E608-I608,2))</x:f>
      </x:c>
      <x:c r="K608" s="2" t="str">
        <x:f>IF(COUNTA(A608:F608)=0,"",IF(OR(A608="",B608="",C608="",D608="",NOT(ISNUMBER(E608))),"Missing / invalid input",IF(G608&gt;1,"Duplicate key in this source",IF(H608=0,"Missing in other source",IF(H608&gt;1,"Duplicate in other source",IF(SUMIFS('External Data'!$M$2:$M$1001,'External Data'!$L$2:$L$1001,SUBSTITUTE(SUBSTITUTE(SUBSTITUTE(L608,"~","~~"),"*","~*"),"?","~?"))&lt;&gt;1,"Other amount is invalid",IF(J608&lt;&gt;0,"Amount differs","Matched")))))))</x:f>
      </x:c>
      <x:c r="L608" t="str">
        <x:f>IF(COUNTA(A608:F608)=0,"",LEN(A608)&amp;":"&amp;A608&amp;LEN(B608)&amp;":"&amp;B608&amp;LEN(C608)&amp;":"&amp;C608&amp;LEN(D608)&amp;":"&amp;D608)</x:f>
      </x:c>
      <x:c r="M608" t="str">
        <x:f>IF(COUNTA(A608:F608)=0,"",IF(ISNUMBER(E608),1,0))</x:f>
      </x:c>
    </x:row>
    <x:row r="609">
      <x:c r="A609" s="11"/>
      <x:c r="B609" s="11"/>
      <x:c r="C609" s="11"/>
      <x:c r="D609" s="11"/>
      <x:c r="E609" s="12"/>
      <x:c r="F609" s="10"/>
      <x:c r="G609" s="2" t="str">
        <x:f>IF(COUNTA(A609:F609)=0,"",COUNTIFS('App Data'!$L$2:$L$1001,SUBSTITUTE(SUBSTITUTE(SUBSTITUTE(L609,"~","~~"),"*","~*"),"?","~?")))</x:f>
      </x:c>
      <x:c r="H609" s="2" t="str">
        <x:f>IF(COUNTA(A609:F609)=0,"",COUNTIFS('External Data'!$L$2:$L$1001,SUBSTITUTE(SUBSTITUTE(SUBSTITUTE(L609,"~","~~"),"*","~*"),"?","~?")))</x:f>
      </x:c>
      <x:c r="I609" s="13" t="str">
        <x:f>IF(OR(H609&lt;&gt;1,G609&lt;&gt;1),"",SUMIFS('External Data'!$E$2:$E$1001,'External Data'!$L$2:$L$1001,SUBSTITUTE(SUBSTITUTE(SUBSTITUTE(L609,"~","~~"),"*","~*"),"?","~?")))</x:f>
      </x:c>
      <x:c r="J609" s="13" t="str">
        <x:f>IF(OR(NOT(ISNUMBER(E609)),NOT(ISNUMBER(I609))),"",ROUND(E609-I609,2))</x:f>
      </x:c>
      <x:c r="K609" s="2" t="str">
        <x:f>IF(COUNTA(A609:F609)=0,"",IF(OR(A609="",B609="",C609="",D609="",NOT(ISNUMBER(E609))),"Missing / invalid input",IF(G609&gt;1,"Duplicate key in this source",IF(H609=0,"Missing in other source",IF(H609&gt;1,"Duplicate in other source",IF(SUMIFS('External Data'!$M$2:$M$1001,'External Data'!$L$2:$L$1001,SUBSTITUTE(SUBSTITUTE(SUBSTITUTE(L609,"~","~~"),"*","~*"),"?","~?"))&lt;&gt;1,"Other amount is invalid",IF(J609&lt;&gt;0,"Amount differs","Matched")))))))</x:f>
      </x:c>
      <x:c r="L609" t="str">
        <x:f>IF(COUNTA(A609:F609)=0,"",LEN(A609)&amp;":"&amp;A609&amp;LEN(B609)&amp;":"&amp;B609&amp;LEN(C609)&amp;":"&amp;C609&amp;LEN(D609)&amp;":"&amp;D609)</x:f>
      </x:c>
      <x:c r="M609" t="str">
        <x:f>IF(COUNTA(A609:F609)=0,"",IF(ISNUMBER(E609),1,0))</x:f>
      </x:c>
    </x:row>
    <x:row r="610">
      <x:c r="A610" s="11"/>
      <x:c r="B610" s="11"/>
      <x:c r="C610" s="11"/>
      <x:c r="D610" s="11"/>
      <x:c r="E610" s="12"/>
      <x:c r="F610" s="10"/>
      <x:c r="G610" s="2" t="str">
        <x:f>IF(COUNTA(A610:F610)=0,"",COUNTIFS('App Data'!$L$2:$L$1001,SUBSTITUTE(SUBSTITUTE(SUBSTITUTE(L610,"~","~~"),"*","~*"),"?","~?")))</x:f>
      </x:c>
      <x:c r="H610" s="2" t="str">
        <x:f>IF(COUNTA(A610:F610)=0,"",COUNTIFS('External Data'!$L$2:$L$1001,SUBSTITUTE(SUBSTITUTE(SUBSTITUTE(L610,"~","~~"),"*","~*"),"?","~?")))</x:f>
      </x:c>
      <x:c r="I610" s="13" t="str">
        <x:f>IF(OR(H610&lt;&gt;1,G610&lt;&gt;1),"",SUMIFS('External Data'!$E$2:$E$1001,'External Data'!$L$2:$L$1001,SUBSTITUTE(SUBSTITUTE(SUBSTITUTE(L610,"~","~~"),"*","~*"),"?","~?")))</x:f>
      </x:c>
      <x:c r="J610" s="13" t="str">
        <x:f>IF(OR(NOT(ISNUMBER(E610)),NOT(ISNUMBER(I610))),"",ROUND(E610-I610,2))</x:f>
      </x:c>
      <x:c r="K610" s="2" t="str">
        <x:f>IF(COUNTA(A610:F610)=0,"",IF(OR(A610="",B610="",C610="",D610="",NOT(ISNUMBER(E610))),"Missing / invalid input",IF(G610&gt;1,"Duplicate key in this source",IF(H610=0,"Missing in other source",IF(H610&gt;1,"Duplicate in other source",IF(SUMIFS('External Data'!$M$2:$M$1001,'External Data'!$L$2:$L$1001,SUBSTITUTE(SUBSTITUTE(SUBSTITUTE(L610,"~","~~"),"*","~*"),"?","~?"))&lt;&gt;1,"Other amount is invalid",IF(J610&lt;&gt;0,"Amount differs","Matched")))))))</x:f>
      </x:c>
      <x:c r="L610" t="str">
        <x:f>IF(COUNTA(A610:F610)=0,"",LEN(A610)&amp;":"&amp;A610&amp;LEN(B610)&amp;":"&amp;B610&amp;LEN(C610)&amp;":"&amp;C610&amp;LEN(D610)&amp;":"&amp;D610)</x:f>
      </x:c>
      <x:c r="M610" t="str">
        <x:f>IF(COUNTA(A610:F610)=0,"",IF(ISNUMBER(E610),1,0))</x:f>
      </x:c>
    </x:row>
    <x:row r="611">
      <x:c r="A611" s="11"/>
      <x:c r="B611" s="11"/>
      <x:c r="C611" s="11"/>
      <x:c r="D611" s="11"/>
      <x:c r="E611" s="12"/>
      <x:c r="F611" s="10"/>
      <x:c r="G611" s="2" t="str">
        <x:f>IF(COUNTA(A611:F611)=0,"",COUNTIFS('App Data'!$L$2:$L$1001,SUBSTITUTE(SUBSTITUTE(SUBSTITUTE(L611,"~","~~"),"*","~*"),"?","~?")))</x:f>
      </x:c>
      <x:c r="H611" s="2" t="str">
        <x:f>IF(COUNTA(A611:F611)=0,"",COUNTIFS('External Data'!$L$2:$L$1001,SUBSTITUTE(SUBSTITUTE(SUBSTITUTE(L611,"~","~~"),"*","~*"),"?","~?")))</x:f>
      </x:c>
      <x:c r="I611" s="13" t="str">
        <x:f>IF(OR(H611&lt;&gt;1,G611&lt;&gt;1),"",SUMIFS('External Data'!$E$2:$E$1001,'External Data'!$L$2:$L$1001,SUBSTITUTE(SUBSTITUTE(SUBSTITUTE(L611,"~","~~"),"*","~*"),"?","~?")))</x:f>
      </x:c>
      <x:c r="J611" s="13" t="str">
        <x:f>IF(OR(NOT(ISNUMBER(E611)),NOT(ISNUMBER(I611))),"",ROUND(E611-I611,2))</x:f>
      </x:c>
      <x:c r="K611" s="2" t="str">
        <x:f>IF(COUNTA(A611:F611)=0,"",IF(OR(A611="",B611="",C611="",D611="",NOT(ISNUMBER(E611))),"Missing / invalid input",IF(G611&gt;1,"Duplicate key in this source",IF(H611=0,"Missing in other source",IF(H611&gt;1,"Duplicate in other source",IF(SUMIFS('External Data'!$M$2:$M$1001,'External Data'!$L$2:$L$1001,SUBSTITUTE(SUBSTITUTE(SUBSTITUTE(L611,"~","~~"),"*","~*"),"?","~?"))&lt;&gt;1,"Other amount is invalid",IF(J611&lt;&gt;0,"Amount differs","Matched")))))))</x:f>
      </x:c>
      <x:c r="L611" t="str">
        <x:f>IF(COUNTA(A611:F611)=0,"",LEN(A611)&amp;":"&amp;A611&amp;LEN(B611)&amp;":"&amp;B611&amp;LEN(C611)&amp;":"&amp;C611&amp;LEN(D611)&amp;":"&amp;D611)</x:f>
      </x:c>
      <x:c r="M611" t="str">
        <x:f>IF(COUNTA(A611:F611)=0,"",IF(ISNUMBER(E611),1,0))</x:f>
      </x:c>
    </x:row>
    <x:row r="612">
      <x:c r="A612" s="11"/>
      <x:c r="B612" s="11"/>
      <x:c r="C612" s="11"/>
      <x:c r="D612" s="11"/>
      <x:c r="E612" s="12"/>
      <x:c r="F612" s="10"/>
      <x:c r="G612" s="2" t="str">
        <x:f>IF(COUNTA(A612:F612)=0,"",COUNTIFS('App Data'!$L$2:$L$1001,SUBSTITUTE(SUBSTITUTE(SUBSTITUTE(L612,"~","~~"),"*","~*"),"?","~?")))</x:f>
      </x:c>
      <x:c r="H612" s="2" t="str">
        <x:f>IF(COUNTA(A612:F612)=0,"",COUNTIFS('External Data'!$L$2:$L$1001,SUBSTITUTE(SUBSTITUTE(SUBSTITUTE(L612,"~","~~"),"*","~*"),"?","~?")))</x:f>
      </x:c>
      <x:c r="I612" s="13" t="str">
        <x:f>IF(OR(H612&lt;&gt;1,G612&lt;&gt;1),"",SUMIFS('External Data'!$E$2:$E$1001,'External Data'!$L$2:$L$1001,SUBSTITUTE(SUBSTITUTE(SUBSTITUTE(L612,"~","~~"),"*","~*"),"?","~?")))</x:f>
      </x:c>
      <x:c r="J612" s="13" t="str">
        <x:f>IF(OR(NOT(ISNUMBER(E612)),NOT(ISNUMBER(I612))),"",ROUND(E612-I612,2))</x:f>
      </x:c>
      <x:c r="K612" s="2" t="str">
        <x:f>IF(COUNTA(A612:F612)=0,"",IF(OR(A612="",B612="",C612="",D612="",NOT(ISNUMBER(E612))),"Missing / invalid input",IF(G612&gt;1,"Duplicate key in this source",IF(H612=0,"Missing in other source",IF(H612&gt;1,"Duplicate in other source",IF(SUMIFS('External Data'!$M$2:$M$1001,'External Data'!$L$2:$L$1001,SUBSTITUTE(SUBSTITUTE(SUBSTITUTE(L612,"~","~~"),"*","~*"),"?","~?"))&lt;&gt;1,"Other amount is invalid",IF(J612&lt;&gt;0,"Amount differs","Matched")))))))</x:f>
      </x:c>
      <x:c r="L612" t="str">
        <x:f>IF(COUNTA(A612:F612)=0,"",LEN(A612)&amp;":"&amp;A612&amp;LEN(B612)&amp;":"&amp;B612&amp;LEN(C612)&amp;":"&amp;C612&amp;LEN(D612)&amp;":"&amp;D612)</x:f>
      </x:c>
      <x:c r="M612" t="str">
        <x:f>IF(COUNTA(A612:F612)=0,"",IF(ISNUMBER(E612),1,0))</x:f>
      </x:c>
    </x:row>
    <x:row r="613">
      <x:c r="A613" s="11"/>
      <x:c r="B613" s="11"/>
      <x:c r="C613" s="11"/>
      <x:c r="D613" s="11"/>
      <x:c r="E613" s="12"/>
      <x:c r="F613" s="10"/>
      <x:c r="G613" s="2" t="str">
        <x:f>IF(COUNTA(A613:F613)=0,"",COUNTIFS('App Data'!$L$2:$L$1001,SUBSTITUTE(SUBSTITUTE(SUBSTITUTE(L613,"~","~~"),"*","~*"),"?","~?")))</x:f>
      </x:c>
      <x:c r="H613" s="2" t="str">
        <x:f>IF(COUNTA(A613:F613)=0,"",COUNTIFS('External Data'!$L$2:$L$1001,SUBSTITUTE(SUBSTITUTE(SUBSTITUTE(L613,"~","~~"),"*","~*"),"?","~?")))</x:f>
      </x:c>
      <x:c r="I613" s="13" t="str">
        <x:f>IF(OR(H613&lt;&gt;1,G613&lt;&gt;1),"",SUMIFS('External Data'!$E$2:$E$1001,'External Data'!$L$2:$L$1001,SUBSTITUTE(SUBSTITUTE(SUBSTITUTE(L613,"~","~~"),"*","~*"),"?","~?")))</x:f>
      </x:c>
      <x:c r="J613" s="13" t="str">
        <x:f>IF(OR(NOT(ISNUMBER(E613)),NOT(ISNUMBER(I613))),"",ROUND(E613-I613,2))</x:f>
      </x:c>
      <x:c r="K613" s="2" t="str">
        <x:f>IF(COUNTA(A613:F613)=0,"",IF(OR(A613="",B613="",C613="",D613="",NOT(ISNUMBER(E613))),"Missing / invalid input",IF(G613&gt;1,"Duplicate key in this source",IF(H613=0,"Missing in other source",IF(H613&gt;1,"Duplicate in other source",IF(SUMIFS('External Data'!$M$2:$M$1001,'External Data'!$L$2:$L$1001,SUBSTITUTE(SUBSTITUTE(SUBSTITUTE(L613,"~","~~"),"*","~*"),"?","~?"))&lt;&gt;1,"Other amount is invalid",IF(J613&lt;&gt;0,"Amount differs","Matched")))))))</x:f>
      </x:c>
      <x:c r="L613" t="str">
        <x:f>IF(COUNTA(A613:F613)=0,"",LEN(A613)&amp;":"&amp;A613&amp;LEN(B613)&amp;":"&amp;B613&amp;LEN(C613)&amp;":"&amp;C613&amp;LEN(D613)&amp;":"&amp;D613)</x:f>
      </x:c>
      <x:c r="M613" t="str">
        <x:f>IF(COUNTA(A613:F613)=0,"",IF(ISNUMBER(E613),1,0))</x:f>
      </x:c>
    </x:row>
    <x:row r="614">
      <x:c r="A614" s="11"/>
      <x:c r="B614" s="11"/>
      <x:c r="C614" s="11"/>
      <x:c r="D614" s="11"/>
      <x:c r="E614" s="12"/>
      <x:c r="F614" s="10"/>
      <x:c r="G614" s="2" t="str">
        <x:f>IF(COUNTA(A614:F614)=0,"",COUNTIFS('App Data'!$L$2:$L$1001,SUBSTITUTE(SUBSTITUTE(SUBSTITUTE(L614,"~","~~"),"*","~*"),"?","~?")))</x:f>
      </x:c>
      <x:c r="H614" s="2" t="str">
        <x:f>IF(COUNTA(A614:F614)=0,"",COUNTIFS('External Data'!$L$2:$L$1001,SUBSTITUTE(SUBSTITUTE(SUBSTITUTE(L614,"~","~~"),"*","~*"),"?","~?")))</x:f>
      </x:c>
      <x:c r="I614" s="13" t="str">
        <x:f>IF(OR(H614&lt;&gt;1,G614&lt;&gt;1),"",SUMIFS('External Data'!$E$2:$E$1001,'External Data'!$L$2:$L$1001,SUBSTITUTE(SUBSTITUTE(SUBSTITUTE(L614,"~","~~"),"*","~*"),"?","~?")))</x:f>
      </x:c>
      <x:c r="J614" s="13" t="str">
        <x:f>IF(OR(NOT(ISNUMBER(E614)),NOT(ISNUMBER(I614))),"",ROUND(E614-I614,2))</x:f>
      </x:c>
      <x:c r="K614" s="2" t="str">
        <x:f>IF(COUNTA(A614:F614)=0,"",IF(OR(A614="",B614="",C614="",D614="",NOT(ISNUMBER(E614))),"Missing / invalid input",IF(G614&gt;1,"Duplicate key in this source",IF(H614=0,"Missing in other source",IF(H614&gt;1,"Duplicate in other source",IF(SUMIFS('External Data'!$M$2:$M$1001,'External Data'!$L$2:$L$1001,SUBSTITUTE(SUBSTITUTE(SUBSTITUTE(L614,"~","~~"),"*","~*"),"?","~?"))&lt;&gt;1,"Other amount is invalid",IF(J614&lt;&gt;0,"Amount differs","Matched")))))))</x:f>
      </x:c>
      <x:c r="L614" t="str">
        <x:f>IF(COUNTA(A614:F614)=0,"",LEN(A614)&amp;":"&amp;A614&amp;LEN(B614)&amp;":"&amp;B614&amp;LEN(C614)&amp;":"&amp;C614&amp;LEN(D614)&amp;":"&amp;D614)</x:f>
      </x:c>
      <x:c r="M614" t="str">
        <x:f>IF(COUNTA(A614:F614)=0,"",IF(ISNUMBER(E614),1,0))</x:f>
      </x:c>
    </x:row>
    <x:row r="615">
      <x:c r="A615" s="11"/>
      <x:c r="B615" s="11"/>
      <x:c r="C615" s="11"/>
      <x:c r="D615" s="11"/>
      <x:c r="E615" s="12"/>
      <x:c r="F615" s="10"/>
      <x:c r="G615" s="2" t="str">
        <x:f>IF(COUNTA(A615:F615)=0,"",COUNTIFS('App Data'!$L$2:$L$1001,SUBSTITUTE(SUBSTITUTE(SUBSTITUTE(L615,"~","~~"),"*","~*"),"?","~?")))</x:f>
      </x:c>
      <x:c r="H615" s="2" t="str">
        <x:f>IF(COUNTA(A615:F615)=0,"",COUNTIFS('External Data'!$L$2:$L$1001,SUBSTITUTE(SUBSTITUTE(SUBSTITUTE(L615,"~","~~"),"*","~*"),"?","~?")))</x:f>
      </x:c>
      <x:c r="I615" s="13" t="str">
        <x:f>IF(OR(H615&lt;&gt;1,G615&lt;&gt;1),"",SUMIFS('External Data'!$E$2:$E$1001,'External Data'!$L$2:$L$1001,SUBSTITUTE(SUBSTITUTE(SUBSTITUTE(L615,"~","~~"),"*","~*"),"?","~?")))</x:f>
      </x:c>
      <x:c r="J615" s="13" t="str">
        <x:f>IF(OR(NOT(ISNUMBER(E615)),NOT(ISNUMBER(I615))),"",ROUND(E615-I615,2))</x:f>
      </x:c>
      <x:c r="K615" s="2" t="str">
        <x:f>IF(COUNTA(A615:F615)=0,"",IF(OR(A615="",B615="",C615="",D615="",NOT(ISNUMBER(E615))),"Missing / invalid input",IF(G615&gt;1,"Duplicate key in this source",IF(H615=0,"Missing in other source",IF(H615&gt;1,"Duplicate in other source",IF(SUMIFS('External Data'!$M$2:$M$1001,'External Data'!$L$2:$L$1001,SUBSTITUTE(SUBSTITUTE(SUBSTITUTE(L615,"~","~~"),"*","~*"),"?","~?"))&lt;&gt;1,"Other amount is invalid",IF(J615&lt;&gt;0,"Amount differs","Matched")))))))</x:f>
      </x:c>
      <x:c r="L615" t="str">
        <x:f>IF(COUNTA(A615:F615)=0,"",LEN(A615)&amp;":"&amp;A615&amp;LEN(B615)&amp;":"&amp;B615&amp;LEN(C615)&amp;":"&amp;C615&amp;LEN(D615)&amp;":"&amp;D615)</x:f>
      </x:c>
      <x:c r="M615" t="str">
        <x:f>IF(COUNTA(A615:F615)=0,"",IF(ISNUMBER(E615),1,0))</x:f>
      </x:c>
    </x:row>
    <x:row r="616">
      <x:c r="A616" s="11"/>
      <x:c r="B616" s="11"/>
      <x:c r="C616" s="11"/>
      <x:c r="D616" s="11"/>
      <x:c r="E616" s="12"/>
      <x:c r="F616" s="10"/>
      <x:c r="G616" s="2" t="str">
        <x:f>IF(COUNTA(A616:F616)=0,"",COUNTIFS('App Data'!$L$2:$L$1001,SUBSTITUTE(SUBSTITUTE(SUBSTITUTE(L616,"~","~~"),"*","~*"),"?","~?")))</x:f>
      </x:c>
      <x:c r="H616" s="2" t="str">
        <x:f>IF(COUNTA(A616:F616)=0,"",COUNTIFS('External Data'!$L$2:$L$1001,SUBSTITUTE(SUBSTITUTE(SUBSTITUTE(L616,"~","~~"),"*","~*"),"?","~?")))</x:f>
      </x:c>
      <x:c r="I616" s="13" t="str">
        <x:f>IF(OR(H616&lt;&gt;1,G616&lt;&gt;1),"",SUMIFS('External Data'!$E$2:$E$1001,'External Data'!$L$2:$L$1001,SUBSTITUTE(SUBSTITUTE(SUBSTITUTE(L616,"~","~~"),"*","~*"),"?","~?")))</x:f>
      </x:c>
      <x:c r="J616" s="13" t="str">
        <x:f>IF(OR(NOT(ISNUMBER(E616)),NOT(ISNUMBER(I616))),"",ROUND(E616-I616,2))</x:f>
      </x:c>
      <x:c r="K616" s="2" t="str">
        <x:f>IF(COUNTA(A616:F616)=0,"",IF(OR(A616="",B616="",C616="",D616="",NOT(ISNUMBER(E616))),"Missing / invalid input",IF(G616&gt;1,"Duplicate key in this source",IF(H616=0,"Missing in other source",IF(H616&gt;1,"Duplicate in other source",IF(SUMIFS('External Data'!$M$2:$M$1001,'External Data'!$L$2:$L$1001,SUBSTITUTE(SUBSTITUTE(SUBSTITUTE(L616,"~","~~"),"*","~*"),"?","~?"))&lt;&gt;1,"Other amount is invalid",IF(J616&lt;&gt;0,"Amount differs","Matched")))))))</x:f>
      </x:c>
      <x:c r="L616" t="str">
        <x:f>IF(COUNTA(A616:F616)=0,"",LEN(A616)&amp;":"&amp;A616&amp;LEN(B616)&amp;":"&amp;B616&amp;LEN(C616)&amp;":"&amp;C616&amp;LEN(D616)&amp;":"&amp;D616)</x:f>
      </x:c>
      <x:c r="M616" t="str">
        <x:f>IF(COUNTA(A616:F616)=0,"",IF(ISNUMBER(E616),1,0))</x:f>
      </x:c>
    </x:row>
    <x:row r="617">
      <x:c r="A617" s="11"/>
      <x:c r="B617" s="11"/>
      <x:c r="C617" s="11"/>
      <x:c r="D617" s="11"/>
      <x:c r="E617" s="12"/>
      <x:c r="F617" s="10"/>
      <x:c r="G617" s="2" t="str">
        <x:f>IF(COUNTA(A617:F617)=0,"",COUNTIFS('App Data'!$L$2:$L$1001,SUBSTITUTE(SUBSTITUTE(SUBSTITUTE(L617,"~","~~"),"*","~*"),"?","~?")))</x:f>
      </x:c>
      <x:c r="H617" s="2" t="str">
        <x:f>IF(COUNTA(A617:F617)=0,"",COUNTIFS('External Data'!$L$2:$L$1001,SUBSTITUTE(SUBSTITUTE(SUBSTITUTE(L617,"~","~~"),"*","~*"),"?","~?")))</x:f>
      </x:c>
      <x:c r="I617" s="13" t="str">
        <x:f>IF(OR(H617&lt;&gt;1,G617&lt;&gt;1),"",SUMIFS('External Data'!$E$2:$E$1001,'External Data'!$L$2:$L$1001,SUBSTITUTE(SUBSTITUTE(SUBSTITUTE(L617,"~","~~"),"*","~*"),"?","~?")))</x:f>
      </x:c>
      <x:c r="J617" s="13" t="str">
        <x:f>IF(OR(NOT(ISNUMBER(E617)),NOT(ISNUMBER(I617))),"",ROUND(E617-I617,2))</x:f>
      </x:c>
      <x:c r="K617" s="2" t="str">
        <x:f>IF(COUNTA(A617:F617)=0,"",IF(OR(A617="",B617="",C617="",D617="",NOT(ISNUMBER(E617))),"Missing / invalid input",IF(G617&gt;1,"Duplicate key in this source",IF(H617=0,"Missing in other source",IF(H617&gt;1,"Duplicate in other source",IF(SUMIFS('External Data'!$M$2:$M$1001,'External Data'!$L$2:$L$1001,SUBSTITUTE(SUBSTITUTE(SUBSTITUTE(L617,"~","~~"),"*","~*"),"?","~?"))&lt;&gt;1,"Other amount is invalid",IF(J617&lt;&gt;0,"Amount differs","Matched")))))))</x:f>
      </x:c>
      <x:c r="L617" t="str">
        <x:f>IF(COUNTA(A617:F617)=0,"",LEN(A617)&amp;":"&amp;A617&amp;LEN(B617)&amp;":"&amp;B617&amp;LEN(C617)&amp;":"&amp;C617&amp;LEN(D617)&amp;":"&amp;D617)</x:f>
      </x:c>
      <x:c r="M617" t="str">
        <x:f>IF(COUNTA(A617:F617)=0,"",IF(ISNUMBER(E617),1,0))</x:f>
      </x:c>
    </x:row>
    <x:row r="618">
      <x:c r="A618" s="11"/>
      <x:c r="B618" s="11"/>
      <x:c r="C618" s="11"/>
      <x:c r="D618" s="11"/>
      <x:c r="E618" s="12"/>
      <x:c r="F618" s="10"/>
      <x:c r="G618" s="2" t="str">
        <x:f>IF(COUNTA(A618:F618)=0,"",COUNTIFS('App Data'!$L$2:$L$1001,SUBSTITUTE(SUBSTITUTE(SUBSTITUTE(L618,"~","~~"),"*","~*"),"?","~?")))</x:f>
      </x:c>
      <x:c r="H618" s="2" t="str">
        <x:f>IF(COUNTA(A618:F618)=0,"",COUNTIFS('External Data'!$L$2:$L$1001,SUBSTITUTE(SUBSTITUTE(SUBSTITUTE(L618,"~","~~"),"*","~*"),"?","~?")))</x:f>
      </x:c>
      <x:c r="I618" s="13" t="str">
        <x:f>IF(OR(H618&lt;&gt;1,G618&lt;&gt;1),"",SUMIFS('External Data'!$E$2:$E$1001,'External Data'!$L$2:$L$1001,SUBSTITUTE(SUBSTITUTE(SUBSTITUTE(L618,"~","~~"),"*","~*"),"?","~?")))</x:f>
      </x:c>
      <x:c r="J618" s="13" t="str">
        <x:f>IF(OR(NOT(ISNUMBER(E618)),NOT(ISNUMBER(I618))),"",ROUND(E618-I618,2))</x:f>
      </x:c>
      <x:c r="K618" s="2" t="str">
        <x:f>IF(COUNTA(A618:F618)=0,"",IF(OR(A618="",B618="",C618="",D618="",NOT(ISNUMBER(E618))),"Missing / invalid input",IF(G618&gt;1,"Duplicate key in this source",IF(H618=0,"Missing in other source",IF(H618&gt;1,"Duplicate in other source",IF(SUMIFS('External Data'!$M$2:$M$1001,'External Data'!$L$2:$L$1001,SUBSTITUTE(SUBSTITUTE(SUBSTITUTE(L618,"~","~~"),"*","~*"),"?","~?"))&lt;&gt;1,"Other amount is invalid",IF(J618&lt;&gt;0,"Amount differs","Matched")))))))</x:f>
      </x:c>
      <x:c r="L618" t="str">
        <x:f>IF(COUNTA(A618:F618)=0,"",LEN(A618)&amp;":"&amp;A618&amp;LEN(B618)&amp;":"&amp;B618&amp;LEN(C618)&amp;":"&amp;C618&amp;LEN(D618)&amp;":"&amp;D618)</x:f>
      </x:c>
      <x:c r="M618" t="str">
        <x:f>IF(COUNTA(A618:F618)=0,"",IF(ISNUMBER(E618),1,0))</x:f>
      </x:c>
    </x:row>
    <x:row r="619">
      <x:c r="A619" s="11"/>
      <x:c r="B619" s="11"/>
      <x:c r="C619" s="11"/>
      <x:c r="D619" s="11"/>
      <x:c r="E619" s="12"/>
      <x:c r="F619" s="10"/>
      <x:c r="G619" s="2" t="str">
        <x:f>IF(COUNTA(A619:F619)=0,"",COUNTIFS('App Data'!$L$2:$L$1001,SUBSTITUTE(SUBSTITUTE(SUBSTITUTE(L619,"~","~~"),"*","~*"),"?","~?")))</x:f>
      </x:c>
      <x:c r="H619" s="2" t="str">
        <x:f>IF(COUNTA(A619:F619)=0,"",COUNTIFS('External Data'!$L$2:$L$1001,SUBSTITUTE(SUBSTITUTE(SUBSTITUTE(L619,"~","~~"),"*","~*"),"?","~?")))</x:f>
      </x:c>
      <x:c r="I619" s="13" t="str">
        <x:f>IF(OR(H619&lt;&gt;1,G619&lt;&gt;1),"",SUMIFS('External Data'!$E$2:$E$1001,'External Data'!$L$2:$L$1001,SUBSTITUTE(SUBSTITUTE(SUBSTITUTE(L619,"~","~~"),"*","~*"),"?","~?")))</x:f>
      </x:c>
      <x:c r="J619" s="13" t="str">
        <x:f>IF(OR(NOT(ISNUMBER(E619)),NOT(ISNUMBER(I619))),"",ROUND(E619-I619,2))</x:f>
      </x:c>
      <x:c r="K619" s="2" t="str">
        <x:f>IF(COUNTA(A619:F619)=0,"",IF(OR(A619="",B619="",C619="",D619="",NOT(ISNUMBER(E619))),"Missing / invalid input",IF(G619&gt;1,"Duplicate key in this source",IF(H619=0,"Missing in other source",IF(H619&gt;1,"Duplicate in other source",IF(SUMIFS('External Data'!$M$2:$M$1001,'External Data'!$L$2:$L$1001,SUBSTITUTE(SUBSTITUTE(SUBSTITUTE(L619,"~","~~"),"*","~*"),"?","~?"))&lt;&gt;1,"Other amount is invalid",IF(J619&lt;&gt;0,"Amount differs","Matched")))))))</x:f>
      </x:c>
      <x:c r="L619" t="str">
        <x:f>IF(COUNTA(A619:F619)=0,"",LEN(A619)&amp;":"&amp;A619&amp;LEN(B619)&amp;":"&amp;B619&amp;LEN(C619)&amp;":"&amp;C619&amp;LEN(D619)&amp;":"&amp;D619)</x:f>
      </x:c>
      <x:c r="M619" t="str">
        <x:f>IF(COUNTA(A619:F619)=0,"",IF(ISNUMBER(E619),1,0))</x:f>
      </x:c>
    </x:row>
    <x:row r="620">
      <x:c r="A620" s="11"/>
      <x:c r="B620" s="11"/>
      <x:c r="C620" s="11"/>
      <x:c r="D620" s="11"/>
      <x:c r="E620" s="12"/>
      <x:c r="F620" s="10"/>
      <x:c r="G620" s="2" t="str">
        <x:f>IF(COUNTA(A620:F620)=0,"",COUNTIFS('App Data'!$L$2:$L$1001,SUBSTITUTE(SUBSTITUTE(SUBSTITUTE(L620,"~","~~"),"*","~*"),"?","~?")))</x:f>
      </x:c>
      <x:c r="H620" s="2" t="str">
        <x:f>IF(COUNTA(A620:F620)=0,"",COUNTIFS('External Data'!$L$2:$L$1001,SUBSTITUTE(SUBSTITUTE(SUBSTITUTE(L620,"~","~~"),"*","~*"),"?","~?")))</x:f>
      </x:c>
      <x:c r="I620" s="13" t="str">
        <x:f>IF(OR(H620&lt;&gt;1,G620&lt;&gt;1),"",SUMIFS('External Data'!$E$2:$E$1001,'External Data'!$L$2:$L$1001,SUBSTITUTE(SUBSTITUTE(SUBSTITUTE(L620,"~","~~"),"*","~*"),"?","~?")))</x:f>
      </x:c>
      <x:c r="J620" s="13" t="str">
        <x:f>IF(OR(NOT(ISNUMBER(E620)),NOT(ISNUMBER(I620))),"",ROUND(E620-I620,2))</x:f>
      </x:c>
      <x:c r="K620" s="2" t="str">
        <x:f>IF(COUNTA(A620:F620)=0,"",IF(OR(A620="",B620="",C620="",D620="",NOT(ISNUMBER(E620))),"Missing / invalid input",IF(G620&gt;1,"Duplicate key in this source",IF(H620=0,"Missing in other source",IF(H620&gt;1,"Duplicate in other source",IF(SUMIFS('External Data'!$M$2:$M$1001,'External Data'!$L$2:$L$1001,SUBSTITUTE(SUBSTITUTE(SUBSTITUTE(L620,"~","~~"),"*","~*"),"?","~?"))&lt;&gt;1,"Other amount is invalid",IF(J620&lt;&gt;0,"Amount differs","Matched")))))))</x:f>
      </x:c>
      <x:c r="L620" t="str">
        <x:f>IF(COUNTA(A620:F620)=0,"",LEN(A620)&amp;":"&amp;A620&amp;LEN(B620)&amp;":"&amp;B620&amp;LEN(C620)&amp;":"&amp;C620&amp;LEN(D620)&amp;":"&amp;D620)</x:f>
      </x:c>
      <x:c r="M620" t="str">
        <x:f>IF(COUNTA(A620:F620)=0,"",IF(ISNUMBER(E620),1,0))</x:f>
      </x:c>
    </x:row>
    <x:row r="621">
      <x:c r="A621" s="11"/>
      <x:c r="B621" s="11"/>
      <x:c r="C621" s="11"/>
      <x:c r="D621" s="11"/>
      <x:c r="E621" s="12"/>
      <x:c r="F621" s="10"/>
      <x:c r="G621" s="2" t="str">
        <x:f>IF(COUNTA(A621:F621)=0,"",COUNTIFS('App Data'!$L$2:$L$1001,SUBSTITUTE(SUBSTITUTE(SUBSTITUTE(L621,"~","~~"),"*","~*"),"?","~?")))</x:f>
      </x:c>
      <x:c r="H621" s="2" t="str">
        <x:f>IF(COUNTA(A621:F621)=0,"",COUNTIFS('External Data'!$L$2:$L$1001,SUBSTITUTE(SUBSTITUTE(SUBSTITUTE(L621,"~","~~"),"*","~*"),"?","~?")))</x:f>
      </x:c>
      <x:c r="I621" s="13" t="str">
        <x:f>IF(OR(H621&lt;&gt;1,G621&lt;&gt;1),"",SUMIFS('External Data'!$E$2:$E$1001,'External Data'!$L$2:$L$1001,SUBSTITUTE(SUBSTITUTE(SUBSTITUTE(L621,"~","~~"),"*","~*"),"?","~?")))</x:f>
      </x:c>
      <x:c r="J621" s="13" t="str">
        <x:f>IF(OR(NOT(ISNUMBER(E621)),NOT(ISNUMBER(I621))),"",ROUND(E621-I621,2))</x:f>
      </x:c>
      <x:c r="K621" s="2" t="str">
        <x:f>IF(COUNTA(A621:F621)=0,"",IF(OR(A621="",B621="",C621="",D621="",NOT(ISNUMBER(E621))),"Missing / invalid input",IF(G621&gt;1,"Duplicate key in this source",IF(H621=0,"Missing in other source",IF(H621&gt;1,"Duplicate in other source",IF(SUMIFS('External Data'!$M$2:$M$1001,'External Data'!$L$2:$L$1001,SUBSTITUTE(SUBSTITUTE(SUBSTITUTE(L621,"~","~~"),"*","~*"),"?","~?"))&lt;&gt;1,"Other amount is invalid",IF(J621&lt;&gt;0,"Amount differs","Matched")))))))</x:f>
      </x:c>
      <x:c r="L621" t="str">
        <x:f>IF(COUNTA(A621:F621)=0,"",LEN(A621)&amp;":"&amp;A621&amp;LEN(B621)&amp;":"&amp;B621&amp;LEN(C621)&amp;":"&amp;C621&amp;LEN(D621)&amp;":"&amp;D621)</x:f>
      </x:c>
      <x:c r="M621" t="str">
        <x:f>IF(COUNTA(A621:F621)=0,"",IF(ISNUMBER(E621),1,0))</x:f>
      </x:c>
    </x:row>
    <x:row r="622">
      <x:c r="A622" s="11"/>
      <x:c r="B622" s="11"/>
      <x:c r="C622" s="11"/>
      <x:c r="D622" s="11"/>
      <x:c r="E622" s="12"/>
      <x:c r="F622" s="10"/>
      <x:c r="G622" s="2" t="str">
        <x:f>IF(COUNTA(A622:F622)=0,"",COUNTIFS('App Data'!$L$2:$L$1001,SUBSTITUTE(SUBSTITUTE(SUBSTITUTE(L622,"~","~~"),"*","~*"),"?","~?")))</x:f>
      </x:c>
      <x:c r="H622" s="2" t="str">
        <x:f>IF(COUNTA(A622:F622)=0,"",COUNTIFS('External Data'!$L$2:$L$1001,SUBSTITUTE(SUBSTITUTE(SUBSTITUTE(L622,"~","~~"),"*","~*"),"?","~?")))</x:f>
      </x:c>
      <x:c r="I622" s="13" t="str">
        <x:f>IF(OR(H622&lt;&gt;1,G622&lt;&gt;1),"",SUMIFS('External Data'!$E$2:$E$1001,'External Data'!$L$2:$L$1001,SUBSTITUTE(SUBSTITUTE(SUBSTITUTE(L622,"~","~~"),"*","~*"),"?","~?")))</x:f>
      </x:c>
      <x:c r="J622" s="13" t="str">
        <x:f>IF(OR(NOT(ISNUMBER(E622)),NOT(ISNUMBER(I622))),"",ROUND(E622-I622,2))</x:f>
      </x:c>
      <x:c r="K622" s="2" t="str">
        <x:f>IF(COUNTA(A622:F622)=0,"",IF(OR(A622="",B622="",C622="",D622="",NOT(ISNUMBER(E622))),"Missing / invalid input",IF(G622&gt;1,"Duplicate key in this source",IF(H622=0,"Missing in other source",IF(H622&gt;1,"Duplicate in other source",IF(SUMIFS('External Data'!$M$2:$M$1001,'External Data'!$L$2:$L$1001,SUBSTITUTE(SUBSTITUTE(SUBSTITUTE(L622,"~","~~"),"*","~*"),"?","~?"))&lt;&gt;1,"Other amount is invalid",IF(J622&lt;&gt;0,"Amount differs","Matched")))))))</x:f>
      </x:c>
      <x:c r="L622" t="str">
        <x:f>IF(COUNTA(A622:F622)=0,"",LEN(A622)&amp;":"&amp;A622&amp;LEN(B622)&amp;":"&amp;B622&amp;LEN(C622)&amp;":"&amp;C622&amp;LEN(D622)&amp;":"&amp;D622)</x:f>
      </x:c>
      <x:c r="M622" t="str">
        <x:f>IF(COUNTA(A622:F622)=0,"",IF(ISNUMBER(E622),1,0))</x:f>
      </x:c>
    </x:row>
    <x:row r="623">
      <x:c r="A623" s="11"/>
      <x:c r="B623" s="11"/>
      <x:c r="C623" s="11"/>
      <x:c r="D623" s="11"/>
      <x:c r="E623" s="12"/>
      <x:c r="F623" s="10"/>
      <x:c r="G623" s="2" t="str">
        <x:f>IF(COUNTA(A623:F623)=0,"",COUNTIFS('App Data'!$L$2:$L$1001,SUBSTITUTE(SUBSTITUTE(SUBSTITUTE(L623,"~","~~"),"*","~*"),"?","~?")))</x:f>
      </x:c>
      <x:c r="H623" s="2" t="str">
        <x:f>IF(COUNTA(A623:F623)=0,"",COUNTIFS('External Data'!$L$2:$L$1001,SUBSTITUTE(SUBSTITUTE(SUBSTITUTE(L623,"~","~~"),"*","~*"),"?","~?")))</x:f>
      </x:c>
      <x:c r="I623" s="13" t="str">
        <x:f>IF(OR(H623&lt;&gt;1,G623&lt;&gt;1),"",SUMIFS('External Data'!$E$2:$E$1001,'External Data'!$L$2:$L$1001,SUBSTITUTE(SUBSTITUTE(SUBSTITUTE(L623,"~","~~"),"*","~*"),"?","~?")))</x:f>
      </x:c>
      <x:c r="J623" s="13" t="str">
        <x:f>IF(OR(NOT(ISNUMBER(E623)),NOT(ISNUMBER(I623))),"",ROUND(E623-I623,2))</x:f>
      </x:c>
      <x:c r="K623" s="2" t="str">
        <x:f>IF(COUNTA(A623:F623)=0,"",IF(OR(A623="",B623="",C623="",D623="",NOT(ISNUMBER(E623))),"Missing / invalid input",IF(G623&gt;1,"Duplicate key in this source",IF(H623=0,"Missing in other source",IF(H623&gt;1,"Duplicate in other source",IF(SUMIFS('External Data'!$M$2:$M$1001,'External Data'!$L$2:$L$1001,SUBSTITUTE(SUBSTITUTE(SUBSTITUTE(L623,"~","~~"),"*","~*"),"?","~?"))&lt;&gt;1,"Other amount is invalid",IF(J623&lt;&gt;0,"Amount differs","Matched")))))))</x:f>
      </x:c>
      <x:c r="L623" t="str">
        <x:f>IF(COUNTA(A623:F623)=0,"",LEN(A623)&amp;":"&amp;A623&amp;LEN(B623)&amp;":"&amp;B623&amp;LEN(C623)&amp;":"&amp;C623&amp;LEN(D623)&amp;":"&amp;D623)</x:f>
      </x:c>
      <x:c r="M623" t="str">
        <x:f>IF(COUNTA(A623:F623)=0,"",IF(ISNUMBER(E623),1,0))</x:f>
      </x:c>
    </x:row>
    <x:row r="624">
      <x:c r="A624" s="11"/>
      <x:c r="B624" s="11"/>
      <x:c r="C624" s="11"/>
      <x:c r="D624" s="11"/>
      <x:c r="E624" s="12"/>
      <x:c r="F624" s="10"/>
      <x:c r="G624" s="2" t="str">
        <x:f>IF(COUNTA(A624:F624)=0,"",COUNTIFS('App Data'!$L$2:$L$1001,SUBSTITUTE(SUBSTITUTE(SUBSTITUTE(L624,"~","~~"),"*","~*"),"?","~?")))</x:f>
      </x:c>
      <x:c r="H624" s="2" t="str">
        <x:f>IF(COUNTA(A624:F624)=0,"",COUNTIFS('External Data'!$L$2:$L$1001,SUBSTITUTE(SUBSTITUTE(SUBSTITUTE(L624,"~","~~"),"*","~*"),"?","~?")))</x:f>
      </x:c>
      <x:c r="I624" s="13" t="str">
        <x:f>IF(OR(H624&lt;&gt;1,G624&lt;&gt;1),"",SUMIFS('External Data'!$E$2:$E$1001,'External Data'!$L$2:$L$1001,SUBSTITUTE(SUBSTITUTE(SUBSTITUTE(L624,"~","~~"),"*","~*"),"?","~?")))</x:f>
      </x:c>
      <x:c r="J624" s="13" t="str">
        <x:f>IF(OR(NOT(ISNUMBER(E624)),NOT(ISNUMBER(I624))),"",ROUND(E624-I624,2))</x:f>
      </x:c>
      <x:c r="K624" s="2" t="str">
        <x:f>IF(COUNTA(A624:F624)=0,"",IF(OR(A624="",B624="",C624="",D624="",NOT(ISNUMBER(E624))),"Missing / invalid input",IF(G624&gt;1,"Duplicate key in this source",IF(H624=0,"Missing in other source",IF(H624&gt;1,"Duplicate in other source",IF(SUMIFS('External Data'!$M$2:$M$1001,'External Data'!$L$2:$L$1001,SUBSTITUTE(SUBSTITUTE(SUBSTITUTE(L624,"~","~~"),"*","~*"),"?","~?"))&lt;&gt;1,"Other amount is invalid",IF(J624&lt;&gt;0,"Amount differs","Matched")))))))</x:f>
      </x:c>
      <x:c r="L624" t="str">
        <x:f>IF(COUNTA(A624:F624)=0,"",LEN(A624)&amp;":"&amp;A624&amp;LEN(B624)&amp;":"&amp;B624&amp;LEN(C624)&amp;":"&amp;C624&amp;LEN(D624)&amp;":"&amp;D624)</x:f>
      </x:c>
      <x:c r="M624" t="str">
        <x:f>IF(COUNTA(A624:F624)=0,"",IF(ISNUMBER(E624),1,0))</x:f>
      </x:c>
    </x:row>
    <x:row r="625">
      <x:c r="A625" s="11"/>
      <x:c r="B625" s="11"/>
      <x:c r="C625" s="11"/>
      <x:c r="D625" s="11"/>
      <x:c r="E625" s="12"/>
      <x:c r="F625" s="10"/>
      <x:c r="G625" s="2" t="str">
        <x:f>IF(COUNTA(A625:F625)=0,"",COUNTIFS('App Data'!$L$2:$L$1001,SUBSTITUTE(SUBSTITUTE(SUBSTITUTE(L625,"~","~~"),"*","~*"),"?","~?")))</x:f>
      </x:c>
      <x:c r="H625" s="2" t="str">
        <x:f>IF(COUNTA(A625:F625)=0,"",COUNTIFS('External Data'!$L$2:$L$1001,SUBSTITUTE(SUBSTITUTE(SUBSTITUTE(L625,"~","~~"),"*","~*"),"?","~?")))</x:f>
      </x:c>
      <x:c r="I625" s="13" t="str">
        <x:f>IF(OR(H625&lt;&gt;1,G625&lt;&gt;1),"",SUMIFS('External Data'!$E$2:$E$1001,'External Data'!$L$2:$L$1001,SUBSTITUTE(SUBSTITUTE(SUBSTITUTE(L625,"~","~~"),"*","~*"),"?","~?")))</x:f>
      </x:c>
      <x:c r="J625" s="13" t="str">
        <x:f>IF(OR(NOT(ISNUMBER(E625)),NOT(ISNUMBER(I625))),"",ROUND(E625-I625,2))</x:f>
      </x:c>
      <x:c r="K625" s="2" t="str">
        <x:f>IF(COUNTA(A625:F625)=0,"",IF(OR(A625="",B625="",C625="",D625="",NOT(ISNUMBER(E625))),"Missing / invalid input",IF(G625&gt;1,"Duplicate key in this source",IF(H625=0,"Missing in other source",IF(H625&gt;1,"Duplicate in other source",IF(SUMIFS('External Data'!$M$2:$M$1001,'External Data'!$L$2:$L$1001,SUBSTITUTE(SUBSTITUTE(SUBSTITUTE(L625,"~","~~"),"*","~*"),"?","~?"))&lt;&gt;1,"Other amount is invalid",IF(J625&lt;&gt;0,"Amount differs","Matched")))))))</x:f>
      </x:c>
      <x:c r="L625" t="str">
        <x:f>IF(COUNTA(A625:F625)=0,"",LEN(A625)&amp;":"&amp;A625&amp;LEN(B625)&amp;":"&amp;B625&amp;LEN(C625)&amp;":"&amp;C625&amp;LEN(D625)&amp;":"&amp;D625)</x:f>
      </x:c>
      <x:c r="M625" t="str">
        <x:f>IF(COUNTA(A625:F625)=0,"",IF(ISNUMBER(E625),1,0))</x:f>
      </x:c>
    </x:row>
    <x:row r="626">
      <x:c r="A626" s="11"/>
      <x:c r="B626" s="11"/>
      <x:c r="C626" s="11"/>
      <x:c r="D626" s="11"/>
      <x:c r="E626" s="12"/>
      <x:c r="F626" s="10"/>
      <x:c r="G626" s="2" t="str">
        <x:f>IF(COUNTA(A626:F626)=0,"",COUNTIFS('App Data'!$L$2:$L$1001,SUBSTITUTE(SUBSTITUTE(SUBSTITUTE(L626,"~","~~"),"*","~*"),"?","~?")))</x:f>
      </x:c>
      <x:c r="H626" s="2" t="str">
        <x:f>IF(COUNTA(A626:F626)=0,"",COUNTIFS('External Data'!$L$2:$L$1001,SUBSTITUTE(SUBSTITUTE(SUBSTITUTE(L626,"~","~~"),"*","~*"),"?","~?")))</x:f>
      </x:c>
      <x:c r="I626" s="13" t="str">
        <x:f>IF(OR(H626&lt;&gt;1,G626&lt;&gt;1),"",SUMIFS('External Data'!$E$2:$E$1001,'External Data'!$L$2:$L$1001,SUBSTITUTE(SUBSTITUTE(SUBSTITUTE(L626,"~","~~"),"*","~*"),"?","~?")))</x:f>
      </x:c>
      <x:c r="J626" s="13" t="str">
        <x:f>IF(OR(NOT(ISNUMBER(E626)),NOT(ISNUMBER(I626))),"",ROUND(E626-I626,2))</x:f>
      </x:c>
      <x:c r="K626" s="2" t="str">
        <x:f>IF(COUNTA(A626:F626)=0,"",IF(OR(A626="",B626="",C626="",D626="",NOT(ISNUMBER(E626))),"Missing / invalid input",IF(G626&gt;1,"Duplicate key in this source",IF(H626=0,"Missing in other source",IF(H626&gt;1,"Duplicate in other source",IF(SUMIFS('External Data'!$M$2:$M$1001,'External Data'!$L$2:$L$1001,SUBSTITUTE(SUBSTITUTE(SUBSTITUTE(L626,"~","~~"),"*","~*"),"?","~?"))&lt;&gt;1,"Other amount is invalid",IF(J626&lt;&gt;0,"Amount differs","Matched")))))))</x:f>
      </x:c>
      <x:c r="L626" t="str">
        <x:f>IF(COUNTA(A626:F626)=0,"",LEN(A626)&amp;":"&amp;A626&amp;LEN(B626)&amp;":"&amp;B626&amp;LEN(C626)&amp;":"&amp;C626&amp;LEN(D626)&amp;":"&amp;D626)</x:f>
      </x:c>
      <x:c r="M626" t="str">
        <x:f>IF(COUNTA(A626:F626)=0,"",IF(ISNUMBER(E626),1,0))</x:f>
      </x:c>
    </x:row>
    <x:row r="627">
      <x:c r="A627" s="11"/>
      <x:c r="B627" s="11"/>
      <x:c r="C627" s="11"/>
      <x:c r="D627" s="11"/>
      <x:c r="E627" s="12"/>
      <x:c r="F627" s="10"/>
      <x:c r="G627" s="2" t="str">
        <x:f>IF(COUNTA(A627:F627)=0,"",COUNTIFS('App Data'!$L$2:$L$1001,SUBSTITUTE(SUBSTITUTE(SUBSTITUTE(L627,"~","~~"),"*","~*"),"?","~?")))</x:f>
      </x:c>
      <x:c r="H627" s="2" t="str">
        <x:f>IF(COUNTA(A627:F627)=0,"",COUNTIFS('External Data'!$L$2:$L$1001,SUBSTITUTE(SUBSTITUTE(SUBSTITUTE(L627,"~","~~"),"*","~*"),"?","~?")))</x:f>
      </x:c>
      <x:c r="I627" s="13" t="str">
        <x:f>IF(OR(H627&lt;&gt;1,G627&lt;&gt;1),"",SUMIFS('External Data'!$E$2:$E$1001,'External Data'!$L$2:$L$1001,SUBSTITUTE(SUBSTITUTE(SUBSTITUTE(L627,"~","~~"),"*","~*"),"?","~?")))</x:f>
      </x:c>
      <x:c r="J627" s="13" t="str">
        <x:f>IF(OR(NOT(ISNUMBER(E627)),NOT(ISNUMBER(I627))),"",ROUND(E627-I627,2))</x:f>
      </x:c>
      <x:c r="K627" s="2" t="str">
        <x:f>IF(COUNTA(A627:F627)=0,"",IF(OR(A627="",B627="",C627="",D627="",NOT(ISNUMBER(E627))),"Missing / invalid input",IF(G627&gt;1,"Duplicate key in this source",IF(H627=0,"Missing in other source",IF(H627&gt;1,"Duplicate in other source",IF(SUMIFS('External Data'!$M$2:$M$1001,'External Data'!$L$2:$L$1001,SUBSTITUTE(SUBSTITUTE(SUBSTITUTE(L627,"~","~~"),"*","~*"),"?","~?"))&lt;&gt;1,"Other amount is invalid",IF(J627&lt;&gt;0,"Amount differs","Matched")))))))</x:f>
      </x:c>
      <x:c r="L627" t="str">
        <x:f>IF(COUNTA(A627:F627)=0,"",LEN(A627)&amp;":"&amp;A627&amp;LEN(B627)&amp;":"&amp;B627&amp;LEN(C627)&amp;":"&amp;C627&amp;LEN(D627)&amp;":"&amp;D627)</x:f>
      </x:c>
      <x:c r="M627" t="str">
        <x:f>IF(COUNTA(A627:F627)=0,"",IF(ISNUMBER(E627),1,0))</x:f>
      </x:c>
    </x:row>
    <x:row r="628">
      <x:c r="A628" s="11"/>
      <x:c r="B628" s="11"/>
      <x:c r="C628" s="11"/>
      <x:c r="D628" s="11"/>
      <x:c r="E628" s="12"/>
      <x:c r="F628" s="10"/>
      <x:c r="G628" s="2" t="str">
        <x:f>IF(COUNTA(A628:F628)=0,"",COUNTIFS('App Data'!$L$2:$L$1001,SUBSTITUTE(SUBSTITUTE(SUBSTITUTE(L628,"~","~~"),"*","~*"),"?","~?")))</x:f>
      </x:c>
      <x:c r="H628" s="2" t="str">
        <x:f>IF(COUNTA(A628:F628)=0,"",COUNTIFS('External Data'!$L$2:$L$1001,SUBSTITUTE(SUBSTITUTE(SUBSTITUTE(L628,"~","~~"),"*","~*"),"?","~?")))</x:f>
      </x:c>
      <x:c r="I628" s="13" t="str">
        <x:f>IF(OR(H628&lt;&gt;1,G628&lt;&gt;1),"",SUMIFS('External Data'!$E$2:$E$1001,'External Data'!$L$2:$L$1001,SUBSTITUTE(SUBSTITUTE(SUBSTITUTE(L628,"~","~~"),"*","~*"),"?","~?")))</x:f>
      </x:c>
      <x:c r="J628" s="13" t="str">
        <x:f>IF(OR(NOT(ISNUMBER(E628)),NOT(ISNUMBER(I628))),"",ROUND(E628-I628,2))</x:f>
      </x:c>
      <x:c r="K628" s="2" t="str">
        <x:f>IF(COUNTA(A628:F628)=0,"",IF(OR(A628="",B628="",C628="",D628="",NOT(ISNUMBER(E628))),"Missing / invalid input",IF(G628&gt;1,"Duplicate key in this source",IF(H628=0,"Missing in other source",IF(H628&gt;1,"Duplicate in other source",IF(SUMIFS('External Data'!$M$2:$M$1001,'External Data'!$L$2:$L$1001,SUBSTITUTE(SUBSTITUTE(SUBSTITUTE(L628,"~","~~"),"*","~*"),"?","~?"))&lt;&gt;1,"Other amount is invalid",IF(J628&lt;&gt;0,"Amount differs","Matched")))))))</x:f>
      </x:c>
      <x:c r="L628" t="str">
        <x:f>IF(COUNTA(A628:F628)=0,"",LEN(A628)&amp;":"&amp;A628&amp;LEN(B628)&amp;":"&amp;B628&amp;LEN(C628)&amp;":"&amp;C628&amp;LEN(D628)&amp;":"&amp;D628)</x:f>
      </x:c>
      <x:c r="M628" t="str">
        <x:f>IF(COUNTA(A628:F628)=0,"",IF(ISNUMBER(E628),1,0))</x:f>
      </x:c>
    </x:row>
    <x:row r="629">
      <x:c r="A629" s="11"/>
      <x:c r="B629" s="11"/>
      <x:c r="C629" s="11"/>
      <x:c r="D629" s="11"/>
      <x:c r="E629" s="12"/>
      <x:c r="F629" s="10"/>
      <x:c r="G629" s="2" t="str">
        <x:f>IF(COUNTA(A629:F629)=0,"",COUNTIFS('App Data'!$L$2:$L$1001,SUBSTITUTE(SUBSTITUTE(SUBSTITUTE(L629,"~","~~"),"*","~*"),"?","~?")))</x:f>
      </x:c>
      <x:c r="H629" s="2" t="str">
        <x:f>IF(COUNTA(A629:F629)=0,"",COUNTIFS('External Data'!$L$2:$L$1001,SUBSTITUTE(SUBSTITUTE(SUBSTITUTE(L629,"~","~~"),"*","~*"),"?","~?")))</x:f>
      </x:c>
      <x:c r="I629" s="13" t="str">
        <x:f>IF(OR(H629&lt;&gt;1,G629&lt;&gt;1),"",SUMIFS('External Data'!$E$2:$E$1001,'External Data'!$L$2:$L$1001,SUBSTITUTE(SUBSTITUTE(SUBSTITUTE(L629,"~","~~"),"*","~*"),"?","~?")))</x:f>
      </x:c>
      <x:c r="J629" s="13" t="str">
        <x:f>IF(OR(NOT(ISNUMBER(E629)),NOT(ISNUMBER(I629))),"",ROUND(E629-I629,2))</x:f>
      </x:c>
      <x:c r="K629" s="2" t="str">
        <x:f>IF(COUNTA(A629:F629)=0,"",IF(OR(A629="",B629="",C629="",D629="",NOT(ISNUMBER(E629))),"Missing / invalid input",IF(G629&gt;1,"Duplicate key in this source",IF(H629=0,"Missing in other source",IF(H629&gt;1,"Duplicate in other source",IF(SUMIFS('External Data'!$M$2:$M$1001,'External Data'!$L$2:$L$1001,SUBSTITUTE(SUBSTITUTE(SUBSTITUTE(L629,"~","~~"),"*","~*"),"?","~?"))&lt;&gt;1,"Other amount is invalid",IF(J629&lt;&gt;0,"Amount differs","Matched")))))))</x:f>
      </x:c>
      <x:c r="L629" t="str">
        <x:f>IF(COUNTA(A629:F629)=0,"",LEN(A629)&amp;":"&amp;A629&amp;LEN(B629)&amp;":"&amp;B629&amp;LEN(C629)&amp;":"&amp;C629&amp;LEN(D629)&amp;":"&amp;D629)</x:f>
      </x:c>
      <x:c r="M629" t="str">
        <x:f>IF(COUNTA(A629:F629)=0,"",IF(ISNUMBER(E629),1,0))</x:f>
      </x:c>
    </x:row>
    <x:row r="630">
      <x:c r="A630" s="11"/>
      <x:c r="B630" s="11"/>
      <x:c r="C630" s="11"/>
      <x:c r="D630" s="11"/>
      <x:c r="E630" s="12"/>
      <x:c r="F630" s="10"/>
      <x:c r="G630" s="2" t="str">
        <x:f>IF(COUNTA(A630:F630)=0,"",COUNTIFS('App Data'!$L$2:$L$1001,SUBSTITUTE(SUBSTITUTE(SUBSTITUTE(L630,"~","~~"),"*","~*"),"?","~?")))</x:f>
      </x:c>
      <x:c r="H630" s="2" t="str">
        <x:f>IF(COUNTA(A630:F630)=0,"",COUNTIFS('External Data'!$L$2:$L$1001,SUBSTITUTE(SUBSTITUTE(SUBSTITUTE(L630,"~","~~"),"*","~*"),"?","~?")))</x:f>
      </x:c>
      <x:c r="I630" s="13" t="str">
        <x:f>IF(OR(H630&lt;&gt;1,G630&lt;&gt;1),"",SUMIFS('External Data'!$E$2:$E$1001,'External Data'!$L$2:$L$1001,SUBSTITUTE(SUBSTITUTE(SUBSTITUTE(L630,"~","~~"),"*","~*"),"?","~?")))</x:f>
      </x:c>
      <x:c r="J630" s="13" t="str">
        <x:f>IF(OR(NOT(ISNUMBER(E630)),NOT(ISNUMBER(I630))),"",ROUND(E630-I630,2))</x:f>
      </x:c>
      <x:c r="K630" s="2" t="str">
        <x:f>IF(COUNTA(A630:F630)=0,"",IF(OR(A630="",B630="",C630="",D630="",NOT(ISNUMBER(E630))),"Missing / invalid input",IF(G630&gt;1,"Duplicate key in this source",IF(H630=0,"Missing in other source",IF(H630&gt;1,"Duplicate in other source",IF(SUMIFS('External Data'!$M$2:$M$1001,'External Data'!$L$2:$L$1001,SUBSTITUTE(SUBSTITUTE(SUBSTITUTE(L630,"~","~~"),"*","~*"),"?","~?"))&lt;&gt;1,"Other amount is invalid",IF(J630&lt;&gt;0,"Amount differs","Matched")))))))</x:f>
      </x:c>
      <x:c r="L630" t="str">
        <x:f>IF(COUNTA(A630:F630)=0,"",LEN(A630)&amp;":"&amp;A630&amp;LEN(B630)&amp;":"&amp;B630&amp;LEN(C630)&amp;":"&amp;C630&amp;LEN(D630)&amp;":"&amp;D630)</x:f>
      </x:c>
      <x:c r="M630" t="str">
        <x:f>IF(COUNTA(A630:F630)=0,"",IF(ISNUMBER(E630),1,0))</x:f>
      </x:c>
    </x:row>
    <x:row r="631">
      <x:c r="A631" s="11"/>
      <x:c r="B631" s="11"/>
      <x:c r="C631" s="11"/>
      <x:c r="D631" s="11"/>
      <x:c r="E631" s="12"/>
      <x:c r="F631" s="10"/>
      <x:c r="G631" s="2" t="str">
        <x:f>IF(COUNTA(A631:F631)=0,"",COUNTIFS('App Data'!$L$2:$L$1001,SUBSTITUTE(SUBSTITUTE(SUBSTITUTE(L631,"~","~~"),"*","~*"),"?","~?")))</x:f>
      </x:c>
      <x:c r="H631" s="2" t="str">
        <x:f>IF(COUNTA(A631:F631)=0,"",COUNTIFS('External Data'!$L$2:$L$1001,SUBSTITUTE(SUBSTITUTE(SUBSTITUTE(L631,"~","~~"),"*","~*"),"?","~?")))</x:f>
      </x:c>
      <x:c r="I631" s="13" t="str">
        <x:f>IF(OR(H631&lt;&gt;1,G631&lt;&gt;1),"",SUMIFS('External Data'!$E$2:$E$1001,'External Data'!$L$2:$L$1001,SUBSTITUTE(SUBSTITUTE(SUBSTITUTE(L631,"~","~~"),"*","~*"),"?","~?")))</x:f>
      </x:c>
      <x:c r="J631" s="13" t="str">
        <x:f>IF(OR(NOT(ISNUMBER(E631)),NOT(ISNUMBER(I631))),"",ROUND(E631-I631,2))</x:f>
      </x:c>
      <x:c r="K631" s="2" t="str">
        <x:f>IF(COUNTA(A631:F631)=0,"",IF(OR(A631="",B631="",C631="",D631="",NOT(ISNUMBER(E631))),"Missing / invalid input",IF(G631&gt;1,"Duplicate key in this source",IF(H631=0,"Missing in other source",IF(H631&gt;1,"Duplicate in other source",IF(SUMIFS('External Data'!$M$2:$M$1001,'External Data'!$L$2:$L$1001,SUBSTITUTE(SUBSTITUTE(SUBSTITUTE(L631,"~","~~"),"*","~*"),"?","~?"))&lt;&gt;1,"Other amount is invalid",IF(J631&lt;&gt;0,"Amount differs","Matched")))))))</x:f>
      </x:c>
      <x:c r="L631" t="str">
        <x:f>IF(COUNTA(A631:F631)=0,"",LEN(A631)&amp;":"&amp;A631&amp;LEN(B631)&amp;":"&amp;B631&amp;LEN(C631)&amp;":"&amp;C631&amp;LEN(D631)&amp;":"&amp;D631)</x:f>
      </x:c>
      <x:c r="M631" t="str">
        <x:f>IF(COUNTA(A631:F631)=0,"",IF(ISNUMBER(E631),1,0))</x:f>
      </x:c>
    </x:row>
    <x:row r="632">
      <x:c r="A632" s="11"/>
      <x:c r="B632" s="11"/>
      <x:c r="C632" s="11"/>
      <x:c r="D632" s="11"/>
      <x:c r="E632" s="12"/>
      <x:c r="F632" s="10"/>
      <x:c r="G632" s="2" t="str">
        <x:f>IF(COUNTA(A632:F632)=0,"",COUNTIFS('App Data'!$L$2:$L$1001,SUBSTITUTE(SUBSTITUTE(SUBSTITUTE(L632,"~","~~"),"*","~*"),"?","~?")))</x:f>
      </x:c>
      <x:c r="H632" s="2" t="str">
        <x:f>IF(COUNTA(A632:F632)=0,"",COUNTIFS('External Data'!$L$2:$L$1001,SUBSTITUTE(SUBSTITUTE(SUBSTITUTE(L632,"~","~~"),"*","~*"),"?","~?")))</x:f>
      </x:c>
      <x:c r="I632" s="13" t="str">
        <x:f>IF(OR(H632&lt;&gt;1,G632&lt;&gt;1),"",SUMIFS('External Data'!$E$2:$E$1001,'External Data'!$L$2:$L$1001,SUBSTITUTE(SUBSTITUTE(SUBSTITUTE(L632,"~","~~"),"*","~*"),"?","~?")))</x:f>
      </x:c>
      <x:c r="J632" s="13" t="str">
        <x:f>IF(OR(NOT(ISNUMBER(E632)),NOT(ISNUMBER(I632))),"",ROUND(E632-I632,2))</x:f>
      </x:c>
      <x:c r="K632" s="2" t="str">
        <x:f>IF(COUNTA(A632:F632)=0,"",IF(OR(A632="",B632="",C632="",D632="",NOT(ISNUMBER(E632))),"Missing / invalid input",IF(G632&gt;1,"Duplicate key in this source",IF(H632=0,"Missing in other source",IF(H632&gt;1,"Duplicate in other source",IF(SUMIFS('External Data'!$M$2:$M$1001,'External Data'!$L$2:$L$1001,SUBSTITUTE(SUBSTITUTE(SUBSTITUTE(L632,"~","~~"),"*","~*"),"?","~?"))&lt;&gt;1,"Other amount is invalid",IF(J632&lt;&gt;0,"Amount differs","Matched")))))))</x:f>
      </x:c>
      <x:c r="L632" t="str">
        <x:f>IF(COUNTA(A632:F632)=0,"",LEN(A632)&amp;":"&amp;A632&amp;LEN(B632)&amp;":"&amp;B632&amp;LEN(C632)&amp;":"&amp;C632&amp;LEN(D632)&amp;":"&amp;D632)</x:f>
      </x:c>
      <x:c r="M632" t="str">
        <x:f>IF(COUNTA(A632:F632)=0,"",IF(ISNUMBER(E632),1,0))</x:f>
      </x:c>
    </x:row>
    <x:row r="633">
      <x:c r="A633" s="11"/>
      <x:c r="B633" s="11"/>
      <x:c r="C633" s="11"/>
      <x:c r="D633" s="11"/>
      <x:c r="E633" s="12"/>
      <x:c r="F633" s="10"/>
      <x:c r="G633" s="2" t="str">
        <x:f>IF(COUNTA(A633:F633)=0,"",COUNTIFS('App Data'!$L$2:$L$1001,SUBSTITUTE(SUBSTITUTE(SUBSTITUTE(L633,"~","~~"),"*","~*"),"?","~?")))</x:f>
      </x:c>
      <x:c r="H633" s="2" t="str">
        <x:f>IF(COUNTA(A633:F633)=0,"",COUNTIFS('External Data'!$L$2:$L$1001,SUBSTITUTE(SUBSTITUTE(SUBSTITUTE(L633,"~","~~"),"*","~*"),"?","~?")))</x:f>
      </x:c>
      <x:c r="I633" s="13" t="str">
        <x:f>IF(OR(H633&lt;&gt;1,G633&lt;&gt;1),"",SUMIFS('External Data'!$E$2:$E$1001,'External Data'!$L$2:$L$1001,SUBSTITUTE(SUBSTITUTE(SUBSTITUTE(L633,"~","~~"),"*","~*"),"?","~?")))</x:f>
      </x:c>
      <x:c r="J633" s="13" t="str">
        <x:f>IF(OR(NOT(ISNUMBER(E633)),NOT(ISNUMBER(I633))),"",ROUND(E633-I633,2))</x:f>
      </x:c>
      <x:c r="K633" s="2" t="str">
        <x:f>IF(COUNTA(A633:F633)=0,"",IF(OR(A633="",B633="",C633="",D633="",NOT(ISNUMBER(E633))),"Missing / invalid input",IF(G633&gt;1,"Duplicate key in this source",IF(H633=0,"Missing in other source",IF(H633&gt;1,"Duplicate in other source",IF(SUMIFS('External Data'!$M$2:$M$1001,'External Data'!$L$2:$L$1001,SUBSTITUTE(SUBSTITUTE(SUBSTITUTE(L633,"~","~~"),"*","~*"),"?","~?"))&lt;&gt;1,"Other amount is invalid",IF(J633&lt;&gt;0,"Amount differs","Matched")))))))</x:f>
      </x:c>
      <x:c r="L633" t="str">
        <x:f>IF(COUNTA(A633:F633)=0,"",LEN(A633)&amp;":"&amp;A633&amp;LEN(B633)&amp;":"&amp;B633&amp;LEN(C633)&amp;":"&amp;C633&amp;LEN(D633)&amp;":"&amp;D633)</x:f>
      </x:c>
      <x:c r="M633" t="str">
        <x:f>IF(COUNTA(A633:F633)=0,"",IF(ISNUMBER(E633),1,0))</x:f>
      </x:c>
    </x:row>
    <x:row r="634">
      <x:c r="A634" s="11"/>
      <x:c r="B634" s="11"/>
      <x:c r="C634" s="11"/>
      <x:c r="D634" s="11"/>
      <x:c r="E634" s="12"/>
      <x:c r="F634" s="10"/>
      <x:c r="G634" s="2" t="str">
        <x:f>IF(COUNTA(A634:F634)=0,"",COUNTIFS('App Data'!$L$2:$L$1001,SUBSTITUTE(SUBSTITUTE(SUBSTITUTE(L634,"~","~~"),"*","~*"),"?","~?")))</x:f>
      </x:c>
      <x:c r="H634" s="2" t="str">
        <x:f>IF(COUNTA(A634:F634)=0,"",COUNTIFS('External Data'!$L$2:$L$1001,SUBSTITUTE(SUBSTITUTE(SUBSTITUTE(L634,"~","~~"),"*","~*"),"?","~?")))</x:f>
      </x:c>
      <x:c r="I634" s="13" t="str">
        <x:f>IF(OR(H634&lt;&gt;1,G634&lt;&gt;1),"",SUMIFS('External Data'!$E$2:$E$1001,'External Data'!$L$2:$L$1001,SUBSTITUTE(SUBSTITUTE(SUBSTITUTE(L634,"~","~~"),"*","~*"),"?","~?")))</x:f>
      </x:c>
      <x:c r="J634" s="13" t="str">
        <x:f>IF(OR(NOT(ISNUMBER(E634)),NOT(ISNUMBER(I634))),"",ROUND(E634-I634,2))</x:f>
      </x:c>
      <x:c r="K634" s="2" t="str">
        <x:f>IF(COUNTA(A634:F634)=0,"",IF(OR(A634="",B634="",C634="",D634="",NOT(ISNUMBER(E634))),"Missing / invalid input",IF(G634&gt;1,"Duplicate key in this source",IF(H634=0,"Missing in other source",IF(H634&gt;1,"Duplicate in other source",IF(SUMIFS('External Data'!$M$2:$M$1001,'External Data'!$L$2:$L$1001,SUBSTITUTE(SUBSTITUTE(SUBSTITUTE(L634,"~","~~"),"*","~*"),"?","~?"))&lt;&gt;1,"Other amount is invalid",IF(J634&lt;&gt;0,"Amount differs","Matched")))))))</x:f>
      </x:c>
      <x:c r="L634" t="str">
        <x:f>IF(COUNTA(A634:F634)=0,"",LEN(A634)&amp;":"&amp;A634&amp;LEN(B634)&amp;":"&amp;B634&amp;LEN(C634)&amp;":"&amp;C634&amp;LEN(D634)&amp;":"&amp;D634)</x:f>
      </x:c>
      <x:c r="M634" t="str">
        <x:f>IF(COUNTA(A634:F634)=0,"",IF(ISNUMBER(E634),1,0))</x:f>
      </x:c>
    </x:row>
    <x:row r="635">
      <x:c r="A635" s="11"/>
      <x:c r="B635" s="11"/>
      <x:c r="C635" s="11"/>
      <x:c r="D635" s="11"/>
      <x:c r="E635" s="12"/>
      <x:c r="F635" s="10"/>
      <x:c r="G635" s="2" t="str">
        <x:f>IF(COUNTA(A635:F635)=0,"",COUNTIFS('App Data'!$L$2:$L$1001,SUBSTITUTE(SUBSTITUTE(SUBSTITUTE(L635,"~","~~"),"*","~*"),"?","~?")))</x:f>
      </x:c>
      <x:c r="H635" s="2" t="str">
        <x:f>IF(COUNTA(A635:F635)=0,"",COUNTIFS('External Data'!$L$2:$L$1001,SUBSTITUTE(SUBSTITUTE(SUBSTITUTE(L635,"~","~~"),"*","~*"),"?","~?")))</x:f>
      </x:c>
      <x:c r="I635" s="13" t="str">
        <x:f>IF(OR(H635&lt;&gt;1,G635&lt;&gt;1),"",SUMIFS('External Data'!$E$2:$E$1001,'External Data'!$L$2:$L$1001,SUBSTITUTE(SUBSTITUTE(SUBSTITUTE(L635,"~","~~"),"*","~*"),"?","~?")))</x:f>
      </x:c>
      <x:c r="J635" s="13" t="str">
        <x:f>IF(OR(NOT(ISNUMBER(E635)),NOT(ISNUMBER(I635))),"",ROUND(E635-I635,2))</x:f>
      </x:c>
      <x:c r="K635" s="2" t="str">
        <x:f>IF(COUNTA(A635:F635)=0,"",IF(OR(A635="",B635="",C635="",D635="",NOT(ISNUMBER(E635))),"Missing / invalid input",IF(G635&gt;1,"Duplicate key in this source",IF(H635=0,"Missing in other source",IF(H635&gt;1,"Duplicate in other source",IF(SUMIFS('External Data'!$M$2:$M$1001,'External Data'!$L$2:$L$1001,SUBSTITUTE(SUBSTITUTE(SUBSTITUTE(L635,"~","~~"),"*","~*"),"?","~?"))&lt;&gt;1,"Other amount is invalid",IF(J635&lt;&gt;0,"Amount differs","Matched")))))))</x:f>
      </x:c>
      <x:c r="L635" t="str">
        <x:f>IF(COUNTA(A635:F635)=0,"",LEN(A635)&amp;":"&amp;A635&amp;LEN(B635)&amp;":"&amp;B635&amp;LEN(C635)&amp;":"&amp;C635&amp;LEN(D635)&amp;":"&amp;D635)</x:f>
      </x:c>
      <x:c r="M635" t="str">
        <x:f>IF(COUNTA(A635:F635)=0,"",IF(ISNUMBER(E635),1,0))</x:f>
      </x:c>
    </x:row>
    <x:row r="636">
      <x:c r="A636" s="11"/>
      <x:c r="B636" s="11"/>
      <x:c r="C636" s="11"/>
      <x:c r="D636" s="11"/>
      <x:c r="E636" s="12"/>
      <x:c r="F636" s="10"/>
      <x:c r="G636" s="2" t="str">
        <x:f>IF(COUNTA(A636:F636)=0,"",COUNTIFS('App Data'!$L$2:$L$1001,SUBSTITUTE(SUBSTITUTE(SUBSTITUTE(L636,"~","~~"),"*","~*"),"?","~?")))</x:f>
      </x:c>
      <x:c r="H636" s="2" t="str">
        <x:f>IF(COUNTA(A636:F636)=0,"",COUNTIFS('External Data'!$L$2:$L$1001,SUBSTITUTE(SUBSTITUTE(SUBSTITUTE(L636,"~","~~"),"*","~*"),"?","~?")))</x:f>
      </x:c>
      <x:c r="I636" s="13" t="str">
        <x:f>IF(OR(H636&lt;&gt;1,G636&lt;&gt;1),"",SUMIFS('External Data'!$E$2:$E$1001,'External Data'!$L$2:$L$1001,SUBSTITUTE(SUBSTITUTE(SUBSTITUTE(L636,"~","~~"),"*","~*"),"?","~?")))</x:f>
      </x:c>
      <x:c r="J636" s="13" t="str">
        <x:f>IF(OR(NOT(ISNUMBER(E636)),NOT(ISNUMBER(I636))),"",ROUND(E636-I636,2))</x:f>
      </x:c>
      <x:c r="K636" s="2" t="str">
        <x:f>IF(COUNTA(A636:F636)=0,"",IF(OR(A636="",B636="",C636="",D636="",NOT(ISNUMBER(E636))),"Missing / invalid input",IF(G636&gt;1,"Duplicate key in this source",IF(H636=0,"Missing in other source",IF(H636&gt;1,"Duplicate in other source",IF(SUMIFS('External Data'!$M$2:$M$1001,'External Data'!$L$2:$L$1001,SUBSTITUTE(SUBSTITUTE(SUBSTITUTE(L636,"~","~~"),"*","~*"),"?","~?"))&lt;&gt;1,"Other amount is invalid",IF(J636&lt;&gt;0,"Amount differs","Matched")))))))</x:f>
      </x:c>
      <x:c r="L636" t="str">
        <x:f>IF(COUNTA(A636:F636)=0,"",LEN(A636)&amp;":"&amp;A636&amp;LEN(B636)&amp;":"&amp;B636&amp;LEN(C636)&amp;":"&amp;C636&amp;LEN(D636)&amp;":"&amp;D636)</x:f>
      </x:c>
      <x:c r="M636" t="str">
        <x:f>IF(COUNTA(A636:F636)=0,"",IF(ISNUMBER(E636),1,0))</x:f>
      </x:c>
    </x:row>
    <x:row r="637">
      <x:c r="A637" s="11"/>
      <x:c r="B637" s="11"/>
      <x:c r="C637" s="11"/>
      <x:c r="D637" s="11"/>
      <x:c r="E637" s="12"/>
      <x:c r="F637" s="10"/>
      <x:c r="G637" s="2" t="str">
        <x:f>IF(COUNTA(A637:F637)=0,"",COUNTIFS('App Data'!$L$2:$L$1001,SUBSTITUTE(SUBSTITUTE(SUBSTITUTE(L637,"~","~~"),"*","~*"),"?","~?")))</x:f>
      </x:c>
      <x:c r="H637" s="2" t="str">
        <x:f>IF(COUNTA(A637:F637)=0,"",COUNTIFS('External Data'!$L$2:$L$1001,SUBSTITUTE(SUBSTITUTE(SUBSTITUTE(L637,"~","~~"),"*","~*"),"?","~?")))</x:f>
      </x:c>
      <x:c r="I637" s="13" t="str">
        <x:f>IF(OR(H637&lt;&gt;1,G637&lt;&gt;1),"",SUMIFS('External Data'!$E$2:$E$1001,'External Data'!$L$2:$L$1001,SUBSTITUTE(SUBSTITUTE(SUBSTITUTE(L637,"~","~~"),"*","~*"),"?","~?")))</x:f>
      </x:c>
      <x:c r="J637" s="13" t="str">
        <x:f>IF(OR(NOT(ISNUMBER(E637)),NOT(ISNUMBER(I637))),"",ROUND(E637-I637,2))</x:f>
      </x:c>
      <x:c r="K637" s="2" t="str">
        <x:f>IF(COUNTA(A637:F637)=0,"",IF(OR(A637="",B637="",C637="",D637="",NOT(ISNUMBER(E637))),"Missing / invalid input",IF(G637&gt;1,"Duplicate key in this source",IF(H637=0,"Missing in other source",IF(H637&gt;1,"Duplicate in other source",IF(SUMIFS('External Data'!$M$2:$M$1001,'External Data'!$L$2:$L$1001,SUBSTITUTE(SUBSTITUTE(SUBSTITUTE(L637,"~","~~"),"*","~*"),"?","~?"))&lt;&gt;1,"Other amount is invalid",IF(J637&lt;&gt;0,"Amount differs","Matched")))))))</x:f>
      </x:c>
      <x:c r="L637" t="str">
        <x:f>IF(COUNTA(A637:F637)=0,"",LEN(A637)&amp;":"&amp;A637&amp;LEN(B637)&amp;":"&amp;B637&amp;LEN(C637)&amp;":"&amp;C637&amp;LEN(D637)&amp;":"&amp;D637)</x:f>
      </x:c>
      <x:c r="M637" t="str">
        <x:f>IF(COUNTA(A637:F637)=0,"",IF(ISNUMBER(E637),1,0))</x:f>
      </x:c>
    </x:row>
    <x:row r="638">
      <x:c r="A638" s="11"/>
      <x:c r="B638" s="11"/>
      <x:c r="C638" s="11"/>
      <x:c r="D638" s="11"/>
      <x:c r="E638" s="12"/>
      <x:c r="F638" s="10"/>
      <x:c r="G638" s="2" t="str">
        <x:f>IF(COUNTA(A638:F638)=0,"",COUNTIFS('App Data'!$L$2:$L$1001,SUBSTITUTE(SUBSTITUTE(SUBSTITUTE(L638,"~","~~"),"*","~*"),"?","~?")))</x:f>
      </x:c>
      <x:c r="H638" s="2" t="str">
        <x:f>IF(COUNTA(A638:F638)=0,"",COUNTIFS('External Data'!$L$2:$L$1001,SUBSTITUTE(SUBSTITUTE(SUBSTITUTE(L638,"~","~~"),"*","~*"),"?","~?")))</x:f>
      </x:c>
      <x:c r="I638" s="13" t="str">
        <x:f>IF(OR(H638&lt;&gt;1,G638&lt;&gt;1),"",SUMIFS('External Data'!$E$2:$E$1001,'External Data'!$L$2:$L$1001,SUBSTITUTE(SUBSTITUTE(SUBSTITUTE(L638,"~","~~"),"*","~*"),"?","~?")))</x:f>
      </x:c>
      <x:c r="J638" s="13" t="str">
        <x:f>IF(OR(NOT(ISNUMBER(E638)),NOT(ISNUMBER(I638))),"",ROUND(E638-I638,2))</x:f>
      </x:c>
      <x:c r="K638" s="2" t="str">
        <x:f>IF(COUNTA(A638:F638)=0,"",IF(OR(A638="",B638="",C638="",D638="",NOT(ISNUMBER(E638))),"Missing / invalid input",IF(G638&gt;1,"Duplicate key in this source",IF(H638=0,"Missing in other source",IF(H638&gt;1,"Duplicate in other source",IF(SUMIFS('External Data'!$M$2:$M$1001,'External Data'!$L$2:$L$1001,SUBSTITUTE(SUBSTITUTE(SUBSTITUTE(L638,"~","~~"),"*","~*"),"?","~?"))&lt;&gt;1,"Other amount is invalid",IF(J638&lt;&gt;0,"Amount differs","Matched")))))))</x:f>
      </x:c>
      <x:c r="L638" t="str">
        <x:f>IF(COUNTA(A638:F638)=0,"",LEN(A638)&amp;":"&amp;A638&amp;LEN(B638)&amp;":"&amp;B638&amp;LEN(C638)&amp;":"&amp;C638&amp;LEN(D638)&amp;":"&amp;D638)</x:f>
      </x:c>
      <x:c r="M638" t="str">
        <x:f>IF(COUNTA(A638:F638)=0,"",IF(ISNUMBER(E638),1,0))</x:f>
      </x:c>
    </x:row>
    <x:row r="639">
      <x:c r="A639" s="11"/>
      <x:c r="B639" s="11"/>
      <x:c r="C639" s="11"/>
      <x:c r="D639" s="11"/>
      <x:c r="E639" s="12"/>
      <x:c r="F639" s="10"/>
      <x:c r="G639" s="2" t="str">
        <x:f>IF(COUNTA(A639:F639)=0,"",COUNTIFS('App Data'!$L$2:$L$1001,SUBSTITUTE(SUBSTITUTE(SUBSTITUTE(L639,"~","~~"),"*","~*"),"?","~?")))</x:f>
      </x:c>
      <x:c r="H639" s="2" t="str">
        <x:f>IF(COUNTA(A639:F639)=0,"",COUNTIFS('External Data'!$L$2:$L$1001,SUBSTITUTE(SUBSTITUTE(SUBSTITUTE(L639,"~","~~"),"*","~*"),"?","~?")))</x:f>
      </x:c>
      <x:c r="I639" s="13" t="str">
        <x:f>IF(OR(H639&lt;&gt;1,G639&lt;&gt;1),"",SUMIFS('External Data'!$E$2:$E$1001,'External Data'!$L$2:$L$1001,SUBSTITUTE(SUBSTITUTE(SUBSTITUTE(L639,"~","~~"),"*","~*"),"?","~?")))</x:f>
      </x:c>
      <x:c r="J639" s="13" t="str">
        <x:f>IF(OR(NOT(ISNUMBER(E639)),NOT(ISNUMBER(I639))),"",ROUND(E639-I639,2))</x:f>
      </x:c>
      <x:c r="K639" s="2" t="str">
        <x:f>IF(COUNTA(A639:F639)=0,"",IF(OR(A639="",B639="",C639="",D639="",NOT(ISNUMBER(E639))),"Missing / invalid input",IF(G639&gt;1,"Duplicate key in this source",IF(H639=0,"Missing in other source",IF(H639&gt;1,"Duplicate in other source",IF(SUMIFS('External Data'!$M$2:$M$1001,'External Data'!$L$2:$L$1001,SUBSTITUTE(SUBSTITUTE(SUBSTITUTE(L639,"~","~~"),"*","~*"),"?","~?"))&lt;&gt;1,"Other amount is invalid",IF(J639&lt;&gt;0,"Amount differs","Matched")))))))</x:f>
      </x:c>
      <x:c r="L639" t="str">
        <x:f>IF(COUNTA(A639:F639)=0,"",LEN(A639)&amp;":"&amp;A639&amp;LEN(B639)&amp;":"&amp;B639&amp;LEN(C639)&amp;":"&amp;C639&amp;LEN(D639)&amp;":"&amp;D639)</x:f>
      </x:c>
      <x:c r="M639" t="str">
        <x:f>IF(COUNTA(A639:F639)=0,"",IF(ISNUMBER(E639),1,0))</x:f>
      </x:c>
    </x:row>
    <x:row r="640">
      <x:c r="A640" s="11"/>
      <x:c r="B640" s="11"/>
      <x:c r="C640" s="11"/>
      <x:c r="D640" s="11"/>
      <x:c r="E640" s="12"/>
      <x:c r="F640" s="10"/>
      <x:c r="G640" s="2" t="str">
        <x:f>IF(COUNTA(A640:F640)=0,"",COUNTIFS('App Data'!$L$2:$L$1001,SUBSTITUTE(SUBSTITUTE(SUBSTITUTE(L640,"~","~~"),"*","~*"),"?","~?")))</x:f>
      </x:c>
      <x:c r="H640" s="2" t="str">
        <x:f>IF(COUNTA(A640:F640)=0,"",COUNTIFS('External Data'!$L$2:$L$1001,SUBSTITUTE(SUBSTITUTE(SUBSTITUTE(L640,"~","~~"),"*","~*"),"?","~?")))</x:f>
      </x:c>
      <x:c r="I640" s="13" t="str">
        <x:f>IF(OR(H640&lt;&gt;1,G640&lt;&gt;1),"",SUMIFS('External Data'!$E$2:$E$1001,'External Data'!$L$2:$L$1001,SUBSTITUTE(SUBSTITUTE(SUBSTITUTE(L640,"~","~~"),"*","~*"),"?","~?")))</x:f>
      </x:c>
      <x:c r="J640" s="13" t="str">
        <x:f>IF(OR(NOT(ISNUMBER(E640)),NOT(ISNUMBER(I640))),"",ROUND(E640-I640,2))</x:f>
      </x:c>
      <x:c r="K640" s="2" t="str">
        <x:f>IF(COUNTA(A640:F640)=0,"",IF(OR(A640="",B640="",C640="",D640="",NOT(ISNUMBER(E640))),"Missing / invalid input",IF(G640&gt;1,"Duplicate key in this source",IF(H640=0,"Missing in other source",IF(H640&gt;1,"Duplicate in other source",IF(SUMIFS('External Data'!$M$2:$M$1001,'External Data'!$L$2:$L$1001,SUBSTITUTE(SUBSTITUTE(SUBSTITUTE(L640,"~","~~"),"*","~*"),"?","~?"))&lt;&gt;1,"Other amount is invalid",IF(J640&lt;&gt;0,"Amount differs","Matched")))))))</x:f>
      </x:c>
      <x:c r="L640" t="str">
        <x:f>IF(COUNTA(A640:F640)=0,"",LEN(A640)&amp;":"&amp;A640&amp;LEN(B640)&amp;":"&amp;B640&amp;LEN(C640)&amp;":"&amp;C640&amp;LEN(D640)&amp;":"&amp;D640)</x:f>
      </x:c>
      <x:c r="M640" t="str">
        <x:f>IF(COUNTA(A640:F640)=0,"",IF(ISNUMBER(E640),1,0))</x:f>
      </x:c>
    </x:row>
    <x:row r="641">
      <x:c r="A641" s="11"/>
      <x:c r="B641" s="11"/>
      <x:c r="C641" s="11"/>
      <x:c r="D641" s="11"/>
      <x:c r="E641" s="12"/>
      <x:c r="F641" s="10"/>
      <x:c r="G641" s="2" t="str">
        <x:f>IF(COUNTA(A641:F641)=0,"",COUNTIFS('App Data'!$L$2:$L$1001,SUBSTITUTE(SUBSTITUTE(SUBSTITUTE(L641,"~","~~"),"*","~*"),"?","~?")))</x:f>
      </x:c>
      <x:c r="H641" s="2" t="str">
        <x:f>IF(COUNTA(A641:F641)=0,"",COUNTIFS('External Data'!$L$2:$L$1001,SUBSTITUTE(SUBSTITUTE(SUBSTITUTE(L641,"~","~~"),"*","~*"),"?","~?")))</x:f>
      </x:c>
      <x:c r="I641" s="13" t="str">
        <x:f>IF(OR(H641&lt;&gt;1,G641&lt;&gt;1),"",SUMIFS('External Data'!$E$2:$E$1001,'External Data'!$L$2:$L$1001,SUBSTITUTE(SUBSTITUTE(SUBSTITUTE(L641,"~","~~"),"*","~*"),"?","~?")))</x:f>
      </x:c>
      <x:c r="J641" s="13" t="str">
        <x:f>IF(OR(NOT(ISNUMBER(E641)),NOT(ISNUMBER(I641))),"",ROUND(E641-I641,2))</x:f>
      </x:c>
      <x:c r="K641" s="2" t="str">
        <x:f>IF(COUNTA(A641:F641)=0,"",IF(OR(A641="",B641="",C641="",D641="",NOT(ISNUMBER(E641))),"Missing / invalid input",IF(G641&gt;1,"Duplicate key in this source",IF(H641=0,"Missing in other source",IF(H641&gt;1,"Duplicate in other source",IF(SUMIFS('External Data'!$M$2:$M$1001,'External Data'!$L$2:$L$1001,SUBSTITUTE(SUBSTITUTE(SUBSTITUTE(L641,"~","~~"),"*","~*"),"?","~?"))&lt;&gt;1,"Other amount is invalid",IF(J641&lt;&gt;0,"Amount differs","Matched")))))))</x:f>
      </x:c>
      <x:c r="L641" t="str">
        <x:f>IF(COUNTA(A641:F641)=0,"",LEN(A641)&amp;":"&amp;A641&amp;LEN(B641)&amp;":"&amp;B641&amp;LEN(C641)&amp;":"&amp;C641&amp;LEN(D641)&amp;":"&amp;D641)</x:f>
      </x:c>
      <x:c r="M641" t="str">
        <x:f>IF(COUNTA(A641:F641)=0,"",IF(ISNUMBER(E641),1,0))</x:f>
      </x:c>
    </x:row>
    <x:row r="642">
      <x:c r="A642" s="11"/>
      <x:c r="B642" s="11"/>
      <x:c r="C642" s="11"/>
      <x:c r="D642" s="11"/>
      <x:c r="E642" s="12"/>
      <x:c r="F642" s="10"/>
      <x:c r="G642" s="2" t="str">
        <x:f>IF(COUNTA(A642:F642)=0,"",COUNTIFS('App Data'!$L$2:$L$1001,SUBSTITUTE(SUBSTITUTE(SUBSTITUTE(L642,"~","~~"),"*","~*"),"?","~?")))</x:f>
      </x:c>
      <x:c r="H642" s="2" t="str">
        <x:f>IF(COUNTA(A642:F642)=0,"",COUNTIFS('External Data'!$L$2:$L$1001,SUBSTITUTE(SUBSTITUTE(SUBSTITUTE(L642,"~","~~"),"*","~*"),"?","~?")))</x:f>
      </x:c>
      <x:c r="I642" s="13" t="str">
        <x:f>IF(OR(H642&lt;&gt;1,G642&lt;&gt;1),"",SUMIFS('External Data'!$E$2:$E$1001,'External Data'!$L$2:$L$1001,SUBSTITUTE(SUBSTITUTE(SUBSTITUTE(L642,"~","~~"),"*","~*"),"?","~?")))</x:f>
      </x:c>
      <x:c r="J642" s="13" t="str">
        <x:f>IF(OR(NOT(ISNUMBER(E642)),NOT(ISNUMBER(I642))),"",ROUND(E642-I642,2))</x:f>
      </x:c>
      <x:c r="K642" s="2" t="str">
        <x:f>IF(COUNTA(A642:F642)=0,"",IF(OR(A642="",B642="",C642="",D642="",NOT(ISNUMBER(E642))),"Missing / invalid input",IF(G642&gt;1,"Duplicate key in this source",IF(H642=0,"Missing in other source",IF(H642&gt;1,"Duplicate in other source",IF(SUMIFS('External Data'!$M$2:$M$1001,'External Data'!$L$2:$L$1001,SUBSTITUTE(SUBSTITUTE(SUBSTITUTE(L642,"~","~~"),"*","~*"),"?","~?"))&lt;&gt;1,"Other amount is invalid",IF(J642&lt;&gt;0,"Amount differs","Matched")))))))</x:f>
      </x:c>
      <x:c r="L642" t="str">
        <x:f>IF(COUNTA(A642:F642)=0,"",LEN(A642)&amp;":"&amp;A642&amp;LEN(B642)&amp;":"&amp;B642&amp;LEN(C642)&amp;":"&amp;C642&amp;LEN(D642)&amp;":"&amp;D642)</x:f>
      </x:c>
      <x:c r="M642" t="str">
        <x:f>IF(COUNTA(A642:F642)=0,"",IF(ISNUMBER(E642),1,0))</x:f>
      </x:c>
    </x:row>
    <x:row r="643">
      <x:c r="A643" s="11"/>
      <x:c r="B643" s="11"/>
      <x:c r="C643" s="11"/>
      <x:c r="D643" s="11"/>
      <x:c r="E643" s="12"/>
      <x:c r="F643" s="10"/>
      <x:c r="G643" s="2" t="str">
        <x:f>IF(COUNTA(A643:F643)=0,"",COUNTIFS('App Data'!$L$2:$L$1001,SUBSTITUTE(SUBSTITUTE(SUBSTITUTE(L643,"~","~~"),"*","~*"),"?","~?")))</x:f>
      </x:c>
      <x:c r="H643" s="2" t="str">
        <x:f>IF(COUNTA(A643:F643)=0,"",COUNTIFS('External Data'!$L$2:$L$1001,SUBSTITUTE(SUBSTITUTE(SUBSTITUTE(L643,"~","~~"),"*","~*"),"?","~?")))</x:f>
      </x:c>
      <x:c r="I643" s="13" t="str">
        <x:f>IF(OR(H643&lt;&gt;1,G643&lt;&gt;1),"",SUMIFS('External Data'!$E$2:$E$1001,'External Data'!$L$2:$L$1001,SUBSTITUTE(SUBSTITUTE(SUBSTITUTE(L643,"~","~~"),"*","~*"),"?","~?")))</x:f>
      </x:c>
      <x:c r="J643" s="13" t="str">
        <x:f>IF(OR(NOT(ISNUMBER(E643)),NOT(ISNUMBER(I643))),"",ROUND(E643-I643,2))</x:f>
      </x:c>
      <x:c r="K643" s="2" t="str">
        <x:f>IF(COUNTA(A643:F643)=0,"",IF(OR(A643="",B643="",C643="",D643="",NOT(ISNUMBER(E643))),"Missing / invalid input",IF(G643&gt;1,"Duplicate key in this source",IF(H643=0,"Missing in other source",IF(H643&gt;1,"Duplicate in other source",IF(SUMIFS('External Data'!$M$2:$M$1001,'External Data'!$L$2:$L$1001,SUBSTITUTE(SUBSTITUTE(SUBSTITUTE(L643,"~","~~"),"*","~*"),"?","~?"))&lt;&gt;1,"Other amount is invalid",IF(J643&lt;&gt;0,"Amount differs","Matched")))))))</x:f>
      </x:c>
      <x:c r="L643" t="str">
        <x:f>IF(COUNTA(A643:F643)=0,"",LEN(A643)&amp;":"&amp;A643&amp;LEN(B643)&amp;":"&amp;B643&amp;LEN(C643)&amp;":"&amp;C643&amp;LEN(D643)&amp;":"&amp;D643)</x:f>
      </x:c>
      <x:c r="M643" t="str">
        <x:f>IF(COUNTA(A643:F643)=0,"",IF(ISNUMBER(E643),1,0))</x:f>
      </x:c>
    </x:row>
    <x:row r="644">
      <x:c r="A644" s="11"/>
      <x:c r="B644" s="11"/>
      <x:c r="C644" s="11"/>
      <x:c r="D644" s="11"/>
      <x:c r="E644" s="12"/>
      <x:c r="F644" s="10"/>
      <x:c r="G644" s="2" t="str">
        <x:f>IF(COUNTA(A644:F644)=0,"",COUNTIFS('App Data'!$L$2:$L$1001,SUBSTITUTE(SUBSTITUTE(SUBSTITUTE(L644,"~","~~"),"*","~*"),"?","~?")))</x:f>
      </x:c>
      <x:c r="H644" s="2" t="str">
        <x:f>IF(COUNTA(A644:F644)=0,"",COUNTIFS('External Data'!$L$2:$L$1001,SUBSTITUTE(SUBSTITUTE(SUBSTITUTE(L644,"~","~~"),"*","~*"),"?","~?")))</x:f>
      </x:c>
      <x:c r="I644" s="13" t="str">
        <x:f>IF(OR(H644&lt;&gt;1,G644&lt;&gt;1),"",SUMIFS('External Data'!$E$2:$E$1001,'External Data'!$L$2:$L$1001,SUBSTITUTE(SUBSTITUTE(SUBSTITUTE(L644,"~","~~"),"*","~*"),"?","~?")))</x:f>
      </x:c>
      <x:c r="J644" s="13" t="str">
        <x:f>IF(OR(NOT(ISNUMBER(E644)),NOT(ISNUMBER(I644))),"",ROUND(E644-I644,2))</x:f>
      </x:c>
      <x:c r="K644" s="2" t="str">
        <x:f>IF(COUNTA(A644:F644)=0,"",IF(OR(A644="",B644="",C644="",D644="",NOT(ISNUMBER(E644))),"Missing / invalid input",IF(G644&gt;1,"Duplicate key in this source",IF(H644=0,"Missing in other source",IF(H644&gt;1,"Duplicate in other source",IF(SUMIFS('External Data'!$M$2:$M$1001,'External Data'!$L$2:$L$1001,SUBSTITUTE(SUBSTITUTE(SUBSTITUTE(L644,"~","~~"),"*","~*"),"?","~?"))&lt;&gt;1,"Other amount is invalid",IF(J644&lt;&gt;0,"Amount differs","Matched")))))))</x:f>
      </x:c>
      <x:c r="L644" t="str">
        <x:f>IF(COUNTA(A644:F644)=0,"",LEN(A644)&amp;":"&amp;A644&amp;LEN(B644)&amp;":"&amp;B644&amp;LEN(C644)&amp;":"&amp;C644&amp;LEN(D644)&amp;":"&amp;D644)</x:f>
      </x:c>
      <x:c r="M644" t="str">
        <x:f>IF(COUNTA(A644:F644)=0,"",IF(ISNUMBER(E644),1,0))</x:f>
      </x:c>
    </x:row>
    <x:row r="645">
      <x:c r="A645" s="11"/>
      <x:c r="B645" s="11"/>
      <x:c r="C645" s="11"/>
      <x:c r="D645" s="11"/>
      <x:c r="E645" s="12"/>
      <x:c r="F645" s="10"/>
      <x:c r="G645" s="2" t="str">
        <x:f>IF(COUNTA(A645:F645)=0,"",COUNTIFS('App Data'!$L$2:$L$1001,SUBSTITUTE(SUBSTITUTE(SUBSTITUTE(L645,"~","~~"),"*","~*"),"?","~?")))</x:f>
      </x:c>
      <x:c r="H645" s="2" t="str">
        <x:f>IF(COUNTA(A645:F645)=0,"",COUNTIFS('External Data'!$L$2:$L$1001,SUBSTITUTE(SUBSTITUTE(SUBSTITUTE(L645,"~","~~"),"*","~*"),"?","~?")))</x:f>
      </x:c>
      <x:c r="I645" s="13" t="str">
        <x:f>IF(OR(H645&lt;&gt;1,G645&lt;&gt;1),"",SUMIFS('External Data'!$E$2:$E$1001,'External Data'!$L$2:$L$1001,SUBSTITUTE(SUBSTITUTE(SUBSTITUTE(L645,"~","~~"),"*","~*"),"?","~?")))</x:f>
      </x:c>
      <x:c r="J645" s="13" t="str">
        <x:f>IF(OR(NOT(ISNUMBER(E645)),NOT(ISNUMBER(I645))),"",ROUND(E645-I645,2))</x:f>
      </x:c>
      <x:c r="K645" s="2" t="str">
        <x:f>IF(COUNTA(A645:F645)=0,"",IF(OR(A645="",B645="",C645="",D645="",NOT(ISNUMBER(E645))),"Missing / invalid input",IF(G645&gt;1,"Duplicate key in this source",IF(H645=0,"Missing in other source",IF(H645&gt;1,"Duplicate in other source",IF(SUMIFS('External Data'!$M$2:$M$1001,'External Data'!$L$2:$L$1001,SUBSTITUTE(SUBSTITUTE(SUBSTITUTE(L645,"~","~~"),"*","~*"),"?","~?"))&lt;&gt;1,"Other amount is invalid",IF(J645&lt;&gt;0,"Amount differs","Matched")))))))</x:f>
      </x:c>
      <x:c r="L645" t="str">
        <x:f>IF(COUNTA(A645:F645)=0,"",LEN(A645)&amp;":"&amp;A645&amp;LEN(B645)&amp;":"&amp;B645&amp;LEN(C645)&amp;":"&amp;C645&amp;LEN(D645)&amp;":"&amp;D645)</x:f>
      </x:c>
      <x:c r="M645" t="str">
        <x:f>IF(COUNTA(A645:F645)=0,"",IF(ISNUMBER(E645),1,0))</x:f>
      </x:c>
    </x:row>
    <x:row r="646">
      <x:c r="A646" s="11"/>
      <x:c r="B646" s="11"/>
      <x:c r="C646" s="11"/>
      <x:c r="D646" s="11"/>
      <x:c r="E646" s="12"/>
      <x:c r="F646" s="10"/>
      <x:c r="G646" s="2" t="str">
        <x:f>IF(COUNTA(A646:F646)=0,"",COUNTIFS('App Data'!$L$2:$L$1001,SUBSTITUTE(SUBSTITUTE(SUBSTITUTE(L646,"~","~~"),"*","~*"),"?","~?")))</x:f>
      </x:c>
      <x:c r="H646" s="2" t="str">
        <x:f>IF(COUNTA(A646:F646)=0,"",COUNTIFS('External Data'!$L$2:$L$1001,SUBSTITUTE(SUBSTITUTE(SUBSTITUTE(L646,"~","~~"),"*","~*"),"?","~?")))</x:f>
      </x:c>
      <x:c r="I646" s="13" t="str">
        <x:f>IF(OR(H646&lt;&gt;1,G646&lt;&gt;1),"",SUMIFS('External Data'!$E$2:$E$1001,'External Data'!$L$2:$L$1001,SUBSTITUTE(SUBSTITUTE(SUBSTITUTE(L646,"~","~~"),"*","~*"),"?","~?")))</x:f>
      </x:c>
      <x:c r="J646" s="13" t="str">
        <x:f>IF(OR(NOT(ISNUMBER(E646)),NOT(ISNUMBER(I646))),"",ROUND(E646-I646,2))</x:f>
      </x:c>
      <x:c r="K646" s="2" t="str">
        <x:f>IF(COUNTA(A646:F646)=0,"",IF(OR(A646="",B646="",C646="",D646="",NOT(ISNUMBER(E646))),"Missing / invalid input",IF(G646&gt;1,"Duplicate key in this source",IF(H646=0,"Missing in other source",IF(H646&gt;1,"Duplicate in other source",IF(SUMIFS('External Data'!$M$2:$M$1001,'External Data'!$L$2:$L$1001,SUBSTITUTE(SUBSTITUTE(SUBSTITUTE(L646,"~","~~"),"*","~*"),"?","~?"))&lt;&gt;1,"Other amount is invalid",IF(J646&lt;&gt;0,"Amount differs","Matched")))))))</x:f>
      </x:c>
      <x:c r="L646" t="str">
        <x:f>IF(COUNTA(A646:F646)=0,"",LEN(A646)&amp;":"&amp;A646&amp;LEN(B646)&amp;":"&amp;B646&amp;LEN(C646)&amp;":"&amp;C646&amp;LEN(D646)&amp;":"&amp;D646)</x:f>
      </x:c>
      <x:c r="M646" t="str">
        <x:f>IF(COUNTA(A646:F646)=0,"",IF(ISNUMBER(E646),1,0))</x:f>
      </x:c>
    </x:row>
    <x:row r="647">
      <x:c r="A647" s="11"/>
      <x:c r="B647" s="11"/>
      <x:c r="C647" s="11"/>
      <x:c r="D647" s="11"/>
      <x:c r="E647" s="12"/>
      <x:c r="F647" s="10"/>
      <x:c r="G647" s="2" t="str">
        <x:f>IF(COUNTA(A647:F647)=0,"",COUNTIFS('App Data'!$L$2:$L$1001,SUBSTITUTE(SUBSTITUTE(SUBSTITUTE(L647,"~","~~"),"*","~*"),"?","~?")))</x:f>
      </x:c>
      <x:c r="H647" s="2" t="str">
        <x:f>IF(COUNTA(A647:F647)=0,"",COUNTIFS('External Data'!$L$2:$L$1001,SUBSTITUTE(SUBSTITUTE(SUBSTITUTE(L647,"~","~~"),"*","~*"),"?","~?")))</x:f>
      </x:c>
      <x:c r="I647" s="13" t="str">
        <x:f>IF(OR(H647&lt;&gt;1,G647&lt;&gt;1),"",SUMIFS('External Data'!$E$2:$E$1001,'External Data'!$L$2:$L$1001,SUBSTITUTE(SUBSTITUTE(SUBSTITUTE(L647,"~","~~"),"*","~*"),"?","~?")))</x:f>
      </x:c>
      <x:c r="J647" s="13" t="str">
        <x:f>IF(OR(NOT(ISNUMBER(E647)),NOT(ISNUMBER(I647))),"",ROUND(E647-I647,2))</x:f>
      </x:c>
      <x:c r="K647" s="2" t="str">
        <x:f>IF(COUNTA(A647:F647)=0,"",IF(OR(A647="",B647="",C647="",D647="",NOT(ISNUMBER(E647))),"Missing / invalid input",IF(G647&gt;1,"Duplicate key in this source",IF(H647=0,"Missing in other source",IF(H647&gt;1,"Duplicate in other source",IF(SUMIFS('External Data'!$M$2:$M$1001,'External Data'!$L$2:$L$1001,SUBSTITUTE(SUBSTITUTE(SUBSTITUTE(L647,"~","~~"),"*","~*"),"?","~?"))&lt;&gt;1,"Other amount is invalid",IF(J647&lt;&gt;0,"Amount differs","Matched")))))))</x:f>
      </x:c>
      <x:c r="L647" t="str">
        <x:f>IF(COUNTA(A647:F647)=0,"",LEN(A647)&amp;":"&amp;A647&amp;LEN(B647)&amp;":"&amp;B647&amp;LEN(C647)&amp;":"&amp;C647&amp;LEN(D647)&amp;":"&amp;D647)</x:f>
      </x:c>
      <x:c r="M647" t="str">
        <x:f>IF(COUNTA(A647:F647)=0,"",IF(ISNUMBER(E647),1,0))</x:f>
      </x:c>
    </x:row>
    <x:row r="648">
      <x:c r="A648" s="11"/>
      <x:c r="B648" s="11"/>
      <x:c r="C648" s="11"/>
      <x:c r="D648" s="11"/>
      <x:c r="E648" s="12"/>
      <x:c r="F648" s="10"/>
      <x:c r="G648" s="2" t="str">
        <x:f>IF(COUNTA(A648:F648)=0,"",COUNTIFS('App Data'!$L$2:$L$1001,SUBSTITUTE(SUBSTITUTE(SUBSTITUTE(L648,"~","~~"),"*","~*"),"?","~?")))</x:f>
      </x:c>
      <x:c r="H648" s="2" t="str">
        <x:f>IF(COUNTA(A648:F648)=0,"",COUNTIFS('External Data'!$L$2:$L$1001,SUBSTITUTE(SUBSTITUTE(SUBSTITUTE(L648,"~","~~"),"*","~*"),"?","~?")))</x:f>
      </x:c>
      <x:c r="I648" s="13" t="str">
        <x:f>IF(OR(H648&lt;&gt;1,G648&lt;&gt;1),"",SUMIFS('External Data'!$E$2:$E$1001,'External Data'!$L$2:$L$1001,SUBSTITUTE(SUBSTITUTE(SUBSTITUTE(L648,"~","~~"),"*","~*"),"?","~?")))</x:f>
      </x:c>
      <x:c r="J648" s="13" t="str">
        <x:f>IF(OR(NOT(ISNUMBER(E648)),NOT(ISNUMBER(I648))),"",ROUND(E648-I648,2))</x:f>
      </x:c>
      <x:c r="K648" s="2" t="str">
        <x:f>IF(COUNTA(A648:F648)=0,"",IF(OR(A648="",B648="",C648="",D648="",NOT(ISNUMBER(E648))),"Missing / invalid input",IF(G648&gt;1,"Duplicate key in this source",IF(H648=0,"Missing in other source",IF(H648&gt;1,"Duplicate in other source",IF(SUMIFS('External Data'!$M$2:$M$1001,'External Data'!$L$2:$L$1001,SUBSTITUTE(SUBSTITUTE(SUBSTITUTE(L648,"~","~~"),"*","~*"),"?","~?"))&lt;&gt;1,"Other amount is invalid",IF(J648&lt;&gt;0,"Amount differs","Matched")))))))</x:f>
      </x:c>
      <x:c r="L648" t="str">
        <x:f>IF(COUNTA(A648:F648)=0,"",LEN(A648)&amp;":"&amp;A648&amp;LEN(B648)&amp;":"&amp;B648&amp;LEN(C648)&amp;":"&amp;C648&amp;LEN(D648)&amp;":"&amp;D648)</x:f>
      </x:c>
      <x:c r="M648" t="str">
        <x:f>IF(COUNTA(A648:F648)=0,"",IF(ISNUMBER(E648),1,0))</x:f>
      </x:c>
    </x:row>
    <x:row r="649">
      <x:c r="A649" s="11"/>
      <x:c r="B649" s="11"/>
      <x:c r="C649" s="11"/>
      <x:c r="D649" s="11"/>
      <x:c r="E649" s="12"/>
      <x:c r="F649" s="10"/>
      <x:c r="G649" s="2" t="str">
        <x:f>IF(COUNTA(A649:F649)=0,"",COUNTIFS('App Data'!$L$2:$L$1001,SUBSTITUTE(SUBSTITUTE(SUBSTITUTE(L649,"~","~~"),"*","~*"),"?","~?")))</x:f>
      </x:c>
      <x:c r="H649" s="2" t="str">
        <x:f>IF(COUNTA(A649:F649)=0,"",COUNTIFS('External Data'!$L$2:$L$1001,SUBSTITUTE(SUBSTITUTE(SUBSTITUTE(L649,"~","~~"),"*","~*"),"?","~?")))</x:f>
      </x:c>
      <x:c r="I649" s="13" t="str">
        <x:f>IF(OR(H649&lt;&gt;1,G649&lt;&gt;1),"",SUMIFS('External Data'!$E$2:$E$1001,'External Data'!$L$2:$L$1001,SUBSTITUTE(SUBSTITUTE(SUBSTITUTE(L649,"~","~~"),"*","~*"),"?","~?")))</x:f>
      </x:c>
      <x:c r="J649" s="13" t="str">
        <x:f>IF(OR(NOT(ISNUMBER(E649)),NOT(ISNUMBER(I649))),"",ROUND(E649-I649,2))</x:f>
      </x:c>
      <x:c r="K649" s="2" t="str">
        <x:f>IF(COUNTA(A649:F649)=0,"",IF(OR(A649="",B649="",C649="",D649="",NOT(ISNUMBER(E649))),"Missing / invalid input",IF(G649&gt;1,"Duplicate key in this source",IF(H649=0,"Missing in other source",IF(H649&gt;1,"Duplicate in other source",IF(SUMIFS('External Data'!$M$2:$M$1001,'External Data'!$L$2:$L$1001,SUBSTITUTE(SUBSTITUTE(SUBSTITUTE(L649,"~","~~"),"*","~*"),"?","~?"))&lt;&gt;1,"Other amount is invalid",IF(J649&lt;&gt;0,"Amount differs","Matched")))))))</x:f>
      </x:c>
      <x:c r="L649" t="str">
        <x:f>IF(COUNTA(A649:F649)=0,"",LEN(A649)&amp;":"&amp;A649&amp;LEN(B649)&amp;":"&amp;B649&amp;LEN(C649)&amp;":"&amp;C649&amp;LEN(D649)&amp;":"&amp;D649)</x:f>
      </x:c>
      <x:c r="M649" t="str">
        <x:f>IF(COUNTA(A649:F649)=0,"",IF(ISNUMBER(E649),1,0))</x:f>
      </x:c>
    </x:row>
    <x:row r="650">
      <x:c r="A650" s="11"/>
      <x:c r="B650" s="11"/>
      <x:c r="C650" s="11"/>
      <x:c r="D650" s="11"/>
      <x:c r="E650" s="12"/>
      <x:c r="F650" s="10"/>
      <x:c r="G650" s="2" t="str">
        <x:f>IF(COUNTA(A650:F650)=0,"",COUNTIFS('App Data'!$L$2:$L$1001,SUBSTITUTE(SUBSTITUTE(SUBSTITUTE(L650,"~","~~"),"*","~*"),"?","~?")))</x:f>
      </x:c>
      <x:c r="H650" s="2" t="str">
        <x:f>IF(COUNTA(A650:F650)=0,"",COUNTIFS('External Data'!$L$2:$L$1001,SUBSTITUTE(SUBSTITUTE(SUBSTITUTE(L650,"~","~~"),"*","~*"),"?","~?")))</x:f>
      </x:c>
      <x:c r="I650" s="13" t="str">
        <x:f>IF(OR(H650&lt;&gt;1,G650&lt;&gt;1),"",SUMIFS('External Data'!$E$2:$E$1001,'External Data'!$L$2:$L$1001,SUBSTITUTE(SUBSTITUTE(SUBSTITUTE(L650,"~","~~"),"*","~*"),"?","~?")))</x:f>
      </x:c>
      <x:c r="J650" s="13" t="str">
        <x:f>IF(OR(NOT(ISNUMBER(E650)),NOT(ISNUMBER(I650))),"",ROUND(E650-I650,2))</x:f>
      </x:c>
      <x:c r="K650" s="2" t="str">
        <x:f>IF(COUNTA(A650:F650)=0,"",IF(OR(A650="",B650="",C650="",D650="",NOT(ISNUMBER(E650))),"Missing / invalid input",IF(G650&gt;1,"Duplicate key in this source",IF(H650=0,"Missing in other source",IF(H650&gt;1,"Duplicate in other source",IF(SUMIFS('External Data'!$M$2:$M$1001,'External Data'!$L$2:$L$1001,SUBSTITUTE(SUBSTITUTE(SUBSTITUTE(L650,"~","~~"),"*","~*"),"?","~?"))&lt;&gt;1,"Other amount is invalid",IF(J650&lt;&gt;0,"Amount differs","Matched")))))))</x:f>
      </x:c>
      <x:c r="L650" t="str">
        <x:f>IF(COUNTA(A650:F650)=0,"",LEN(A650)&amp;":"&amp;A650&amp;LEN(B650)&amp;":"&amp;B650&amp;LEN(C650)&amp;":"&amp;C650&amp;LEN(D650)&amp;":"&amp;D650)</x:f>
      </x:c>
      <x:c r="M650" t="str">
        <x:f>IF(COUNTA(A650:F650)=0,"",IF(ISNUMBER(E650),1,0))</x:f>
      </x:c>
    </x:row>
    <x:row r="651">
      <x:c r="A651" s="11"/>
      <x:c r="B651" s="11"/>
      <x:c r="C651" s="11"/>
      <x:c r="D651" s="11"/>
      <x:c r="E651" s="12"/>
      <x:c r="F651" s="10"/>
      <x:c r="G651" s="2" t="str">
        <x:f>IF(COUNTA(A651:F651)=0,"",COUNTIFS('App Data'!$L$2:$L$1001,SUBSTITUTE(SUBSTITUTE(SUBSTITUTE(L651,"~","~~"),"*","~*"),"?","~?")))</x:f>
      </x:c>
      <x:c r="H651" s="2" t="str">
        <x:f>IF(COUNTA(A651:F651)=0,"",COUNTIFS('External Data'!$L$2:$L$1001,SUBSTITUTE(SUBSTITUTE(SUBSTITUTE(L651,"~","~~"),"*","~*"),"?","~?")))</x:f>
      </x:c>
      <x:c r="I651" s="13" t="str">
        <x:f>IF(OR(H651&lt;&gt;1,G651&lt;&gt;1),"",SUMIFS('External Data'!$E$2:$E$1001,'External Data'!$L$2:$L$1001,SUBSTITUTE(SUBSTITUTE(SUBSTITUTE(L651,"~","~~"),"*","~*"),"?","~?")))</x:f>
      </x:c>
      <x:c r="J651" s="13" t="str">
        <x:f>IF(OR(NOT(ISNUMBER(E651)),NOT(ISNUMBER(I651))),"",ROUND(E651-I651,2))</x:f>
      </x:c>
      <x:c r="K651" s="2" t="str">
        <x:f>IF(COUNTA(A651:F651)=0,"",IF(OR(A651="",B651="",C651="",D651="",NOT(ISNUMBER(E651))),"Missing / invalid input",IF(G651&gt;1,"Duplicate key in this source",IF(H651=0,"Missing in other source",IF(H651&gt;1,"Duplicate in other source",IF(SUMIFS('External Data'!$M$2:$M$1001,'External Data'!$L$2:$L$1001,SUBSTITUTE(SUBSTITUTE(SUBSTITUTE(L651,"~","~~"),"*","~*"),"?","~?"))&lt;&gt;1,"Other amount is invalid",IF(J651&lt;&gt;0,"Amount differs","Matched")))))))</x:f>
      </x:c>
      <x:c r="L651" t="str">
        <x:f>IF(COUNTA(A651:F651)=0,"",LEN(A651)&amp;":"&amp;A651&amp;LEN(B651)&amp;":"&amp;B651&amp;LEN(C651)&amp;":"&amp;C651&amp;LEN(D651)&amp;":"&amp;D651)</x:f>
      </x:c>
      <x:c r="M651" t="str">
        <x:f>IF(COUNTA(A651:F651)=0,"",IF(ISNUMBER(E651),1,0))</x:f>
      </x:c>
    </x:row>
    <x:row r="652">
      <x:c r="A652" s="11"/>
      <x:c r="B652" s="11"/>
      <x:c r="C652" s="11"/>
      <x:c r="D652" s="11"/>
      <x:c r="E652" s="12"/>
      <x:c r="F652" s="10"/>
      <x:c r="G652" s="2" t="str">
        <x:f>IF(COUNTA(A652:F652)=0,"",COUNTIFS('App Data'!$L$2:$L$1001,SUBSTITUTE(SUBSTITUTE(SUBSTITUTE(L652,"~","~~"),"*","~*"),"?","~?")))</x:f>
      </x:c>
      <x:c r="H652" s="2" t="str">
        <x:f>IF(COUNTA(A652:F652)=0,"",COUNTIFS('External Data'!$L$2:$L$1001,SUBSTITUTE(SUBSTITUTE(SUBSTITUTE(L652,"~","~~"),"*","~*"),"?","~?")))</x:f>
      </x:c>
      <x:c r="I652" s="13" t="str">
        <x:f>IF(OR(H652&lt;&gt;1,G652&lt;&gt;1),"",SUMIFS('External Data'!$E$2:$E$1001,'External Data'!$L$2:$L$1001,SUBSTITUTE(SUBSTITUTE(SUBSTITUTE(L652,"~","~~"),"*","~*"),"?","~?")))</x:f>
      </x:c>
      <x:c r="J652" s="13" t="str">
        <x:f>IF(OR(NOT(ISNUMBER(E652)),NOT(ISNUMBER(I652))),"",ROUND(E652-I652,2))</x:f>
      </x:c>
      <x:c r="K652" s="2" t="str">
        <x:f>IF(COUNTA(A652:F652)=0,"",IF(OR(A652="",B652="",C652="",D652="",NOT(ISNUMBER(E652))),"Missing / invalid input",IF(G652&gt;1,"Duplicate key in this source",IF(H652=0,"Missing in other source",IF(H652&gt;1,"Duplicate in other source",IF(SUMIFS('External Data'!$M$2:$M$1001,'External Data'!$L$2:$L$1001,SUBSTITUTE(SUBSTITUTE(SUBSTITUTE(L652,"~","~~"),"*","~*"),"?","~?"))&lt;&gt;1,"Other amount is invalid",IF(J652&lt;&gt;0,"Amount differs","Matched")))))))</x:f>
      </x:c>
      <x:c r="L652" t="str">
        <x:f>IF(COUNTA(A652:F652)=0,"",LEN(A652)&amp;":"&amp;A652&amp;LEN(B652)&amp;":"&amp;B652&amp;LEN(C652)&amp;":"&amp;C652&amp;LEN(D652)&amp;":"&amp;D652)</x:f>
      </x:c>
      <x:c r="M652" t="str">
        <x:f>IF(COUNTA(A652:F652)=0,"",IF(ISNUMBER(E652),1,0))</x:f>
      </x:c>
    </x:row>
    <x:row r="653">
      <x:c r="A653" s="11"/>
      <x:c r="B653" s="11"/>
      <x:c r="C653" s="11"/>
      <x:c r="D653" s="11"/>
      <x:c r="E653" s="12"/>
      <x:c r="F653" s="10"/>
      <x:c r="G653" s="2" t="str">
        <x:f>IF(COUNTA(A653:F653)=0,"",COUNTIFS('App Data'!$L$2:$L$1001,SUBSTITUTE(SUBSTITUTE(SUBSTITUTE(L653,"~","~~"),"*","~*"),"?","~?")))</x:f>
      </x:c>
      <x:c r="H653" s="2" t="str">
        <x:f>IF(COUNTA(A653:F653)=0,"",COUNTIFS('External Data'!$L$2:$L$1001,SUBSTITUTE(SUBSTITUTE(SUBSTITUTE(L653,"~","~~"),"*","~*"),"?","~?")))</x:f>
      </x:c>
      <x:c r="I653" s="13" t="str">
        <x:f>IF(OR(H653&lt;&gt;1,G653&lt;&gt;1),"",SUMIFS('External Data'!$E$2:$E$1001,'External Data'!$L$2:$L$1001,SUBSTITUTE(SUBSTITUTE(SUBSTITUTE(L653,"~","~~"),"*","~*"),"?","~?")))</x:f>
      </x:c>
      <x:c r="J653" s="13" t="str">
        <x:f>IF(OR(NOT(ISNUMBER(E653)),NOT(ISNUMBER(I653))),"",ROUND(E653-I653,2))</x:f>
      </x:c>
      <x:c r="K653" s="2" t="str">
        <x:f>IF(COUNTA(A653:F653)=0,"",IF(OR(A653="",B653="",C653="",D653="",NOT(ISNUMBER(E653))),"Missing / invalid input",IF(G653&gt;1,"Duplicate key in this source",IF(H653=0,"Missing in other source",IF(H653&gt;1,"Duplicate in other source",IF(SUMIFS('External Data'!$M$2:$M$1001,'External Data'!$L$2:$L$1001,SUBSTITUTE(SUBSTITUTE(SUBSTITUTE(L653,"~","~~"),"*","~*"),"?","~?"))&lt;&gt;1,"Other amount is invalid",IF(J653&lt;&gt;0,"Amount differs","Matched")))))))</x:f>
      </x:c>
      <x:c r="L653" t="str">
        <x:f>IF(COUNTA(A653:F653)=0,"",LEN(A653)&amp;":"&amp;A653&amp;LEN(B653)&amp;":"&amp;B653&amp;LEN(C653)&amp;":"&amp;C653&amp;LEN(D653)&amp;":"&amp;D653)</x:f>
      </x:c>
      <x:c r="M653" t="str">
        <x:f>IF(COUNTA(A653:F653)=0,"",IF(ISNUMBER(E653),1,0))</x:f>
      </x:c>
    </x:row>
    <x:row r="654">
      <x:c r="A654" s="11"/>
      <x:c r="B654" s="11"/>
      <x:c r="C654" s="11"/>
      <x:c r="D654" s="11"/>
      <x:c r="E654" s="12"/>
      <x:c r="F654" s="10"/>
      <x:c r="G654" s="2" t="str">
        <x:f>IF(COUNTA(A654:F654)=0,"",COUNTIFS('App Data'!$L$2:$L$1001,SUBSTITUTE(SUBSTITUTE(SUBSTITUTE(L654,"~","~~"),"*","~*"),"?","~?")))</x:f>
      </x:c>
      <x:c r="H654" s="2" t="str">
        <x:f>IF(COUNTA(A654:F654)=0,"",COUNTIFS('External Data'!$L$2:$L$1001,SUBSTITUTE(SUBSTITUTE(SUBSTITUTE(L654,"~","~~"),"*","~*"),"?","~?")))</x:f>
      </x:c>
      <x:c r="I654" s="13" t="str">
        <x:f>IF(OR(H654&lt;&gt;1,G654&lt;&gt;1),"",SUMIFS('External Data'!$E$2:$E$1001,'External Data'!$L$2:$L$1001,SUBSTITUTE(SUBSTITUTE(SUBSTITUTE(L654,"~","~~"),"*","~*"),"?","~?")))</x:f>
      </x:c>
      <x:c r="J654" s="13" t="str">
        <x:f>IF(OR(NOT(ISNUMBER(E654)),NOT(ISNUMBER(I654))),"",ROUND(E654-I654,2))</x:f>
      </x:c>
      <x:c r="K654" s="2" t="str">
        <x:f>IF(COUNTA(A654:F654)=0,"",IF(OR(A654="",B654="",C654="",D654="",NOT(ISNUMBER(E654))),"Missing / invalid input",IF(G654&gt;1,"Duplicate key in this source",IF(H654=0,"Missing in other source",IF(H654&gt;1,"Duplicate in other source",IF(SUMIFS('External Data'!$M$2:$M$1001,'External Data'!$L$2:$L$1001,SUBSTITUTE(SUBSTITUTE(SUBSTITUTE(L654,"~","~~"),"*","~*"),"?","~?"))&lt;&gt;1,"Other amount is invalid",IF(J654&lt;&gt;0,"Amount differs","Matched")))))))</x:f>
      </x:c>
      <x:c r="L654" t="str">
        <x:f>IF(COUNTA(A654:F654)=0,"",LEN(A654)&amp;":"&amp;A654&amp;LEN(B654)&amp;":"&amp;B654&amp;LEN(C654)&amp;":"&amp;C654&amp;LEN(D654)&amp;":"&amp;D654)</x:f>
      </x:c>
      <x:c r="M654" t="str">
        <x:f>IF(COUNTA(A654:F654)=0,"",IF(ISNUMBER(E654),1,0))</x:f>
      </x:c>
    </x:row>
    <x:row r="655">
      <x:c r="A655" s="11"/>
      <x:c r="B655" s="11"/>
      <x:c r="C655" s="11"/>
      <x:c r="D655" s="11"/>
      <x:c r="E655" s="12"/>
      <x:c r="F655" s="10"/>
      <x:c r="G655" s="2" t="str">
        <x:f>IF(COUNTA(A655:F655)=0,"",COUNTIFS('App Data'!$L$2:$L$1001,SUBSTITUTE(SUBSTITUTE(SUBSTITUTE(L655,"~","~~"),"*","~*"),"?","~?")))</x:f>
      </x:c>
      <x:c r="H655" s="2" t="str">
        <x:f>IF(COUNTA(A655:F655)=0,"",COUNTIFS('External Data'!$L$2:$L$1001,SUBSTITUTE(SUBSTITUTE(SUBSTITUTE(L655,"~","~~"),"*","~*"),"?","~?")))</x:f>
      </x:c>
      <x:c r="I655" s="13" t="str">
        <x:f>IF(OR(H655&lt;&gt;1,G655&lt;&gt;1),"",SUMIFS('External Data'!$E$2:$E$1001,'External Data'!$L$2:$L$1001,SUBSTITUTE(SUBSTITUTE(SUBSTITUTE(L655,"~","~~"),"*","~*"),"?","~?")))</x:f>
      </x:c>
      <x:c r="J655" s="13" t="str">
        <x:f>IF(OR(NOT(ISNUMBER(E655)),NOT(ISNUMBER(I655))),"",ROUND(E655-I655,2))</x:f>
      </x:c>
      <x:c r="K655" s="2" t="str">
        <x:f>IF(COUNTA(A655:F655)=0,"",IF(OR(A655="",B655="",C655="",D655="",NOT(ISNUMBER(E655))),"Missing / invalid input",IF(G655&gt;1,"Duplicate key in this source",IF(H655=0,"Missing in other source",IF(H655&gt;1,"Duplicate in other source",IF(SUMIFS('External Data'!$M$2:$M$1001,'External Data'!$L$2:$L$1001,SUBSTITUTE(SUBSTITUTE(SUBSTITUTE(L655,"~","~~"),"*","~*"),"?","~?"))&lt;&gt;1,"Other amount is invalid",IF(J655&lt;&gt;0,"Amount differs","Matched")))))))</x:f>
      </x:c>
      <x:c r="L655" t="str">
        <x:f>IF(COUNTA(A655:F655)=0,"",LEN(A655)&amp;":"&amp;A655&amp;LEN(B655)&amp;":"&amp;B655&amp;LEN(C655)&amp;":"&amp;C655&amp;LEN(D655)&amp;":"&amp;D655)</x:f>
      </x:c>
      <x:c r="M655" t="str">
        <x:f>IF(COUNTA(A655:F655)=0,"",IF(ISNUMBER(E655),1,0))</x:f>
      </x:c>
    </x:row>
    <x:row r="656">
      <x:c r="A656" s="11"/>
      <x:c r="B656" s="11"/>
      <x:c r="C656" s="11"/>
      <x:c r="D656" s="11"/>
      <x:c r="E656" s="12"/>
      <x:c r="F656" s="10"/>
      <x:c r="G656" s="2" t="str">
        <x:f>IF(COUNTA(A656:F656)=0,"",COUNTIFS('App Data'!$L$2:$L$1001,SUBSTITUTE(SUBSTITUTE(SUBSTITUTE(L656,"~","~~"),"*","~*"),"?","~?")))</x:f>
      </x:c>
      <x:c r="H656" s="2" t="str">
        <x:f>IF(COUNTA(A656:F656)=0,"",COUNTIFS('External Data'!$L$2:$L$1001,SUBSTITUTE(SUBSTITUTE(SUBSTITUTE(L656,"~","~~"),"*","~*"),"?","~?")))</x:f>
      </x:c>
      <x:c r="I656" s="13" t="str">
        <x:f>IF(OR(H656&lt;&gt;1,G656&lt;&gt;1),"",SUMIFS('External Data'!$E$2:$E$1001,'External Data'!$L$2:$L$1001,SUBSTITUTE(SUBSTITUTE(SUBSTITUTE(L656,"~","~~"),"*","~*"),"?","~?")))</x:f>
      </x:c>
      <x:c r="J656" s="13" t="str">
        <x:f>IF(OR(NOT(ISNUMBER(E656)),NOT(ISNUMBER(I656))),"",ROUND(E656-I656,2))</x:f>
      </x:c>
      <x:c r="K656" s="2" t="str">
        <x:f>IF(COUNTA(A656:F656)=0,"",IF(OR(A656="",B656="",C656="",D656="",NOT(ISNUMBER(E656))),"Missing / invalid input",IF(G656&gt;1,"Duplicate key in this source",IF(H656=0,"Missing in other source",IF(H656&gt;1,"Duplicate in other source",IF(SUMIFS('External Data'!$M$2:$M$1001,'External Data'!$L$2:$L$1001,SUBSTITUTE(SUBSTITUTE(SUBSTITUTE(L656,"~","~~"),"*","~*"),"?","~?"))&lt;&gt;1,"Other amount is invalid",IF(J656&lt;&gt;0,"Amount differs","Matched")))))))</x:f>
      </x:c>
      <x:c r="L656" t="str">
        <x:f>IF(COUNTA(A656:F656)=0,"",LEN(A656)&amp;":"&amp;A656&amp;LEN(B656)&amp;":"&amp;B656&amp;LEN(C656)&amp;":"&amp;C656&amp;LEN(D656)&amp;":"&amp;D656)</x:f>
      </x:c>
      <x:c r="M656" t="str">
        <x:f>IF(COUNTA(A656:F656)=0,"",IF(ISNUMBER(E656),1,0))</x:f>
      </x:c>
    </x:row>
    <x:row r="657">
      <x:c r="A657" s="11"/>
      <x:c r="B657" s="11"/>
      <x:c r="C657" s="11"/>
      <x:c r="D657" s="11"/>
      <x:c r="E657" s="12"/>
      <x:c r="F657" s="10"/>
      <x:c r="G657" s="2" t="str">
        <x:f>IF(COUNTA(A657:F657)=0,"",COUNTIFS('App Data'!$L$2:$L$1001,SUBSTITUTE(SUBSTITUTE(SUBSTITUTE(L657,"~","~~"),"*","~*"),"?","~?")))</x:f>
      </x:c>
      <x:c r="H657" s="2" t="str">
        <x:f>IF(COUNTA(A657:F657)=0,"",COUNTIFS('External Data'!$L$2:$L$1001,SUBSTITUTE(SUBSTITUTE(SUBSTITUTE(L657,"~","~~"),"*","~*"),"?","~?")))</x:f>
      </x:c>
      <x:c r="I657" s="13" t="str">
        <x:f>IF(OR(H657&lt;&gt;1,G657&lt;&gt;1),"",SUMIFS('External Data'!$E$2:$E$1001,'External Data'!$L$2:$L$1001,SUBSTITUTE(SUBSTITUTE(SUBSTITUTE(L657,"~","~~"),"*","~*"),"?","~?")))</x:f>
      </x:c>
      <x:c r="J657" s="13" t="str">
        <x:f>IF(OR(NOT(ISNUMBER(E657)),NOT(ISNUMBER(I657))),"",ROUND(E657-I657,2))</x:f>
      </x:c>
      <x:c r="K657" s="2" t="str">
        <x:f>IF(COUNTA(A657:F657)=0,"",IF(OR(A657="",B657="",C657="",D657="",NOT(ISNUMBER(E657))),"Missing / invalid input",IF(G657&gt;1,"Duplicate key in this source",IF(H657=0,"Missing in other source",IF(H657&gt;1,"Duplicate in other source",IF(SUMIFS('External Data'!$M$2:$M$1001,'External Data'!$L$2:$L$1001,SUBSTITUTE(SUBSTITUTE(SUBSTITUTE(L657,"~","~~"),"*","~*"),"?","~?"))&lt;&gt;1,"Other amount is invalid",IF(J657&lt;&gt;0,"Amount differs","Matched")))))))</x:f>
      </x:c>
      <x:c r="L657" t="str">
        <x:f>IF(COUNTA(A657:F657)=0,"",LEN(A657)&amp;":"&amp;A657&amp;LEN(B657)&amp;":"&amp;B657&amp;LEN(C657)&amp;":"&amp;C657&amp;LEN(D657)&amp;":"&amp;D657)</x:f>
      </x:c>
      <x:c r="M657" t="str">
        <x:f>IF(COUNTA(A657:F657)=0,"",IF(ISNUMBER(E657),1,0))</x:f>
      </x:c>
    </x:row>
    <x:row r="658">
      <x:c r="A658" s="11"/>
      <x:c r="B658" s="11"/>
      <x:c r="C658" s="11"/>
      <x:c r="D658" s="11"/>
      <x:c r="E658" s="12"/>
      <x:c r="F658" s="10"/>
      <x:c r="G658" s="2" t="str">
        <x:f>IF(COUNTA(A658:F658)=0,"",COUNTIFS('App Data'!$L$2:$L$1001,SUBSTITUTE(SUBSTITUTE(SUBSTITUTE(L658,"~","~~"),"*","~*"),"?","~?")))</x:f>
      </x:c>
      <x:c r="H658" s="2" t="str">
        <x:f>IF(COUNTA(A658:F658)=0,"",COUNTIFS('External Data'!$L$2:$L$1001,SUBSTITUTE(SUBSTITUTE(SUBSTITUTE(L658,"~","~~"),"*","~*"),"?","~?")))</x:f>
      </x:c>
      <x:c r="I658" s="13" t="str">
        <x:f>IF(OR(H658&lt;&gt;1,G658&lt;&gt;1),"",SUMIFS('External Data'!$E$2:$E$1001,'External Data'!$L$2:$L$1001,SUBSTITUTE(SUBSTITUTE(SUBSTITUTE(L658,"~","~~"),"*","~*"),"?","~?")))</x:f>
      </x:c>
      <x:c r="J658" s="13" t="str">
        <x:f>IF(OR(NOT(ISNUMBER(E658)),NOT(ISNUMBER(I658))),"",ROUND(E658-I658,2))</x:f>
      </x:c>
      <x:c r="K658" s="2" t="str">
        <x:f>IF(COUNTA(A658:F658)=0,"",IF(OR(A658="",B658="",C658="",D658="",NOT(ISNUMBER(E658))),"Missing / invalid input",IF(G658&gt;1,"Duplicate key in this source",IF(H658=0,"Missing in other source",IF(H658&gt;1,"Duplicate in other source",IF(SUMIFS('External Data'!$M$2:$M$1001,'External Data'!$L$2:$L$1001,SUBSTITUTE(SUBSTITUTE(SUBSTITUTE(L658,"~","~~"),"*","~*"),"?","~?"))&lt;&gt;1,"Other amount is invalid",IF(J658&lt;&gt;0,"Amount differs","Matched")))))))</x:f>
      </x:c>
      <x:c r="L658" t="str">
        <x:f>IF(COUNTA(A658:F658)=0,"",LEN(A658)&amp;":"&amp;A658&amp;LEN(B658)&amp;":"&amp;B658&amp;LEN(C658)&amp;":"&amp;C658&amp;LEN(D658)&amp;":"&amp;D658)</x:f>
      </x:c>
      <x:c r="M658" t="str">
        <x:f>IF(COUNTA(A658:F658)=0,"",IF(ISNUMBER(E658),1,0))</x:f>
      </x:c>
    </x:row>
    <x:row r="659">
      <x:c r="A659" s="11"/>
      <x:c r="B659" s="11"/>
      <x:c r="C659" s="11"/>
      <x:c r="D659" s="11"/>
      <x:c r="E659" s="12"/>
      <x:c r="F659" s="10"/>
      <x:c r="G659" s="2" t="str">
        <x:f>IF(COUNTA(A659:F659)=0,"",COUNTIFS('App Data'!$L$2:$L$1001,SUBSTITUTE(SUBSTITUTE(SUBSTITUTE(L659,"~","~~"),"*","~*"),"?","~?")))</x:f>
      </x:c>
      <x:c r="H659" s="2" t="str">
        <x:f>IF(COUNTA(A659:F659)=0,"",COUNTIFS('External Data'!$L$2:$L$1001,SUBSTITUTE(SUBSTITUTE(SUBSTITUTE(L659,"~","~~"),"*","~*"),"?","~?")))</x:f>
      </x:c>
      <x:c r="I659" s="13" t="str">
        <x:f>IF(OR(H659&lt;&gt;1,G659&lt;&gt;1),"",SUMIFS('External Data'!$E$2:$E$1001,'External Data'!$L$2:$L$1001,SUBSTITUTE(SUBSTITUTE(SUBSTITUTE(L659,"~","~~"),"*","~*"),"?","~?")))</x:f>
      </x:c>
      <x:c r="J659" s="13" t="str">
        <x:f>IF(OR(NOT(ISNUMBER(E659)),NOT(ISNUMBER(I659))),"",ROUND(E659-I659,2))</x:f>
      </x:c>
      <x:c r="K659" s="2" t="str">
        <x:f>IF(COUNTA(A659:F659)=0,"",IF(OR(A659="",B659="",C659="",D659="",NOT(ISNUMBER(E659))),"Missing / invalid input",IF(G659&gt;1,"Duplicate key in this source",IF(H659=0,"Missing in other source",IF(H659&gt;1,"Duplicate in other source",IF(SUMIFS('External Data'!$M$2:$M$1001,'External Data'!$L$2:$L$1001,SUBSTITUTE(SUBSTITUTE(SUBSTITUTE(L659,"~","~~"),"*","~*"),"?","~?"))&lt;&gt;1,"Other amount is invalid",IF(J659&lt;&gt;0,"Amount differs","Matched")))))))</x:f>
      </x:c>
      <x:c r="L659" t="str">
        <x:f>IF(COUNTA(A659:F659)=0,"",LEN(A659)&amp;":"&amp;A659&amp;LEN(B659)&amp;":"&amp;B659&amp;LEN(C659)&amp;":"&amp;C659&amp;LEN(D659)&amp;":"&amp;D659)</x:f>
      </x:c>
      <x:c r="M659" t="str">
        <x:f>IF(COUNTA(A659:F659)=0,"",IF(ISNUMBER(E659),1,0))</x:f>
      </x:c>
    </x:row>
    <x:row r="660">
      <x:c r="A660" s="11"/>
      <x:c r="B660" s="11"/>
      <x:c r="C660" s="11"/>
      <x:c r="D660" s="11"/>
      <x:c r="E660" s="12"/>
      <x:c r="F660" s="10"/>
      <x:c r="G660" s="2" t="str">
        <x:f>IF(COUNTA(A660:F660)=0,"",COUNTIFS('App Data'!$L$2:$L$1001,SUBSTITUTE(SUBSTITUTE(SUBSTITUTE(L660,"~","~~"),"*","~*"),"?","~?")))</x:f>
      </x:c>
      <x:c r="H660" s="2" t="str">
        <x:f>IF(COUNTA(A660:F660)=0,"",COUNTIFS('External Data'!$L$2:$L$1001,SUBSTITUTE(SUBSTITUTE(SUBSTITUTE(L660,"~","~~"),"*","~*"),"?","~?")))</x:f>
      </x:c>
      <x:c r="I660" s="13" t="str">
        <x:f>IF(OR(H660&lt;&gt;1,G660&lt;&gt;1),"",SUMIFS('External Data'!$E$2:$E$1001,'External Data'!$L$2:$L$1001,SUBSTITUTE(SUBSTITUTE(SUBSTITUTE(L660,"~","~~"),"*","~*"),"?","~?")))</x:f>
      </x:c>
      <x:c r="J660" s="13" t="str">
        <x:f>IF(OR(NOT(ISNUMBER(E660)),NOT(ISNUMBER(I660))),"",ROUND(E660-I660,2))</x:f>
      </x:c>
      <x:c r="K660" s="2" t="str">
        <x:f>IF(COUNTA(A660:F660)=0,"",IF(OR(A660="",B660="",C660="",D660="",NOT(ISNUMBER(E660))),"Missing / invalid input",IF(G660&gt;1,"Duplicate key in this source",IF(H660=0,"Missing in other source",IF(H660&gt;1,"Duplicate in other source",IF(SUMIFS('External Data'!$M$2:$M$1001,'External Data'!$L$2:$L$1001,SUBSTITUTE(SUBSTITUTE(SUBSTITUTE(L660,"~","~~"),"*","~*"),"?","~?"))&lt;&gt;1,"Other amount is invalid",IF(J660&lt;&gt;0,"Amount differs","Matched")))))))</x:f>
      </x:c>
      <x:c r="L660" t="str">
        <x:f>IF(COUNTA(A660:F660)=0,"",LEN(A660)&amp;":"&amp;A660&amp;LEN(B660)&amp;":"&amp;B660&amp;LEN(C660)&amp;":"&amp;C660&amp;LEN(D660)&amp;":"&amp;D660)</x:f>
      </x:c>
      <x:c r="M660" t="str">
        <x:f>IF(COUNTA(A660:F660)=0,"",IF(ISNUMBER(E660),1,0))</x:f>
      </x:c>
    </x:row>
    <x:row r="661">
      <x:c r="A661" s="11"/>
      <x:c r="B661" s="11"/>
      <x:c r="C661" s="11"/>
      <x:c r="D661" s="11"/>
      <x:c r="E661" s="12"/>
      <x:c r="F661" s="10"/>
      <x:c r="G661" s="2" t="str">
        <x:f>IF(COUNTA(A661:F661)=0,"",COUNTIFS('App Data'!$L$2:$L$1001,SUBSTITUTE(SUBSTITUTE(SUBSTITUTE(L661,"~","~~"),"*","~*"),"?","~?")))</x:f>
      </x:c>
      <x:c r="H661" s="2" t="str">
        <x:f>IF(COUNTA(A661:F661)=0,"",COUNTIFS('External Data'!$L$2:$L$1001,SUBSTITUTE(SUBSTITUTE(SUBSTITUTE(L661,"~","~~"),"*","~*"),"?","~?")))</x:f>
      </x:c>
      <x:c r="I661" s="13" t="str">
        <x:f>IF(OR(H661&lt;&gt;1,G661&lt;&gt;1),"",SUMIFS('External Data'!$E$2:$E$1001,'External Data'!$L$2:$L$1001,SUBSTITUTE(SUBSTITUTE(SUBSTITUTE(L661,"~","~~"),"*","~*"),"?","~?")))</x:f>
      </x:c>
      <x:c r="J661" s="13" t="str">
        <x:f>IF(OR(NOT(ISNUMBER(E661)),NOT(ISNUMBER(I661))),"",ROUND(E661-I661,2))</x:f>
      </x:c>
      <x:c r="K661" s="2" t="str">
        <x:f>IF(COUNTA(A661:F661)=0,"",IF(OR(A661="",B661="",C661="",D661="",NOT(ISNUMBER(E661))),"Missing / invalid input",IF(G661&gt;1,"Duplicate key in this source",IF(H661=0,"Missing in other source",IF(H661&gt;1,"Duplicate in other source",IF(SUMIFS('External Data'!$M$2:$M$1001,'External Data'!$L$2:$L$1001,SUBSTITUTE(SUBSTITUTE(SUBSTITUTE(L661,"~","~~"),"*","~*"),"?","~?"))&lt;&gt;1,"Other amount is invalid",IF(J661&lt;&gt;0,"Amount differs","Matched")))))))</x:f>
      </x:c>
      <x:c r="L661" t="str">
        <x:f>IF(COUNTA(A661:F661)=0,"",LEN(A661)&amp;":"&amp;A661&amp;LEN(B661)&amp;":"&amp;B661&amp;LEN(C661)&amp;":"&amp;C661&amp;LEN(D661)&amp;":"&amp;D661)</x:f>
      </x:c>
      <x:c r="M661" t="str">
        <x:f>IF(COUNTA(A661:F661)=0,"",IF(ISNUMBER(E661),1,0))</x:f>
      </x:c>
    </x:row>
    <x:row r="662">
      <x:c r="A662" s="11"/>
      <x:c r="B662" s="11"/>
      <x:c r="C662" s="11"/>
      <x:c r="D662" s="11"/>
      <x:c r="E662" s="12"/>
      <x:c r="F662" s="10"/>
      <x:c r="G662" s="2" t="str">
        <x:f>IF(COUNTA(A662:F662)=0,"",COUNTIFS('App Data'!$L$2:$L$1001,SUBSTITUTE(SUBSTITUTE(SUBSTITUTE(L662,"~","~~"),"*","~*"),"?","~?")))</x:f>
      </x:c>
      <x:c r="H662" s="2" t="str">
        <x:f>IF(COUNTA(A662:F662)=0,"",COUNTIFS('External Data'!$L$2:$L$1001,SUBSTITUTE(SUBSTITUTE(SUBSTITUTE(L662,"~","~~"),"*","~*"),"?","~?")))</x:f>
      </x:c>
      <x:c r="I662" s="13" t="str">
        <x:f>IF(OR(H662&lt;&gt;1,G662&lt;&gt;1),"",SUMIFS('External Data'!$E$2:$E$1001,'External Data'!$L$2:$L$1001,SUBSTITUTE(SUBSTITUTE(SUBSTITUTE(L662,"~","~~"),"*","~*"),"?","~?")))</x:f>
      </x:c>
      <x:c r="J662" s="13" t="str">
        <x:f>IF(OR(NOT(ISNUMBER(E662)),NOT(ISNUMBER(I662))),"",ROUND(E662-I662,2))</x:f>
      </x:c>
      <x:c r="K662" s="2" t="str">
        <x:f>IF(COUNTA(A662:F662)=0,"",IF(OR(A662="",B662="",C662="",D662="",NOT(ISNUMBER(E662))),"Missing / invalid input",IF(G662&gt;1,"Duplicate key in this source",IF(H662=0,"Missing in other source",IF(H662&gt;1,"Duplicate in other source",IF(SUMIFS('External Data'!$M$2:$M$1001,'External Data'!$L$2:$L$1001,SUBSTITUTE(SUBSTITUTE(SUBSTITUTE(L662,"~","~~"),"*","~*"),"?","~?"))&lt;&gt;1,"Other amount is invalid",IF(J662&lt;&gt;0,"Amount differs","Matched")))))))</x:f>
      </x:c>
      <x:c r="L662" t="str">
        <x:f>IF(COUNTA(A662:F662)=0,"",LEN(A662)&amp;":"&amp;A662&amp;LEN(B662)&amp;":"&amp;B662&amp;LEN(C662)&amp;":"&amp;C662&amp;LEN(D662)&amp;":"&amp;D662)</x:f>
      </x:c>
      <x:c r="M662" t="str">
        <x:f>IF(COUNTA(A662:F662)=0,"",IF(ISNUMBER(E662),1,0))</x:f>
      </x:c>
    </x:row>
    <x:row r="663">
      <x:c r="A663" s="11"/>
      <x:c r="B663" s="11"/>
      <x:c r="C663" s="11"/>
      <x:c r="D663" s="11"/>
      <x:c r="E663" s="12"/>
      <x:c r="F663" s="10"/>
      <x:c r="G663" s="2" t="str">
        <x:f>IF(COUNTA(A663:F663)=0,"",COUNTIFS('App Data'!$L$2:$L$1001,SUBSTITUTE(SUBSTITUTE(SUBSTITUTE(L663,"~","~~"),"*","~*"),"?","~?")))</x:f>
      </x:c>
      <x:c r="H663" s="2" t="str">
        <x:f>IF(COUNTA(A663:F663)=0,"",COUNTIFS('External Data'!$L$2:$L$1001,SUBSTITUTE(SUBSTITUTE(SUBSTITUTE(L663,"~","~~"),"*","~*"),"?","~?")))</x:f>
      </x:c>
      <x:c r="I663" s="13" t="str">
        <x:f>IF(OR(H663&lt;&gt;1,G663&lt;&gt;1),"",SUMIFS('External Data'!$E$2:$E$1001,'External Data'!$L$2:$L$1001,SUBSTITUTE(SUBSTITUTE(SUBSTITUTE(L663,"~","~~"),"*","~*"),"?","~?")))</x:f>
      </x:c>
      <x:c r="J663" s="13" t="str">
        <x:f>IF(OR(NOT(ISNUMBER(E663)),NOT(ISNUMBER(I663))),"",ROUND(E663-I663,2))</x:f>
      </x:c>
      <x:c r="K663" s="2" t="str">
        <x:f>IF(COUNTA(A663:F663)=0,"",IF(OR(A663="",B663="",C663="",D663="",NOT(ISNUMBER(E663))),"Missing / invalid input",IF(G663&gt;1,"Duplicate key in this source",IF(H663=0,"Missing in other source",IF(H663&gt;1,"Duplicate in other source",IF(SUMIFS('External Data'!$M$2:$M$1001,'External Data'!$L$2:$L$1001,SUBSTITUTE(SUBSTITUTE(SUBSTITUTE(L663,"~","~~"),"*","~*"),"?","~?"))&lt;&gt;1,"Other amount is invalid",IF(J663&lt;&gt;0,"Amount differs","Matched")))))))</x:f>
      </x:c>
      <x:c r="L663" t="str">
        <x:f>IF(COUNTA(A663:F663)=0,"",LEN(A663)&amp;":"&amp;A663&amp;LEN(B663)&amp;":"&amp;B663&amp;LEN(C663)&amp;":"&amp;C663&amp;LEN(D663)&amp;":"&amp;D663)</x:f>
      </x:c>
      <x:c r="M663" t="str">
        <x:f>IF(COUNTA(A663:F663)=0,"",IF(ISNUMBER(E663),1,0))</x:f>
      </x:c>
    </x:row>
    <x:row r="664">
      <x:c r="A664" s="11"/>
      <x:c r="B664" s="11"/>
      <x:c r="C664" s="11"/>
      <x:c r="D664" s="11"/>
      <x:c r="E664" s="12"/>
      <x:c r="F664" s="10"/>
      <x:c r="G664" s="2" t="str">
        <x:f>IF(COUNTA(A664:F664)=0,"",COUNTIFS('App Data'!$L$2:$L$1001,SUBSTITUTE(SUBSTITUTE(SUBSTITUTE(L664,"~","~~"),"*","~*"),"?","~?")))</x:f>
      </x:c>
      <x:c r="H664" s="2" t="str">
        <x:f>IF(COUNTA(A664:F664)=0,"",COUNTIFS('External Data'!$L$2:$L$1001,SUBSTITUTE(SUBSTITUTE(SUBSTITUTE(L664,"~","~~"),"*","~*"),"?","~?")))</x:f>
      </x:c>
      <x:c r="I664" s="13" t="str">
        <x:f>IF(OR(H664&lt;&gt;1,G664&lt;&gt;1),"",SUMIFS('External Data'!$E$2:$E$1001,'External Data'!$L$2:$L$1001,SUBSTITUTE(SUBSTITUTE(SUBSTITUTE(L664,"~","~~"),"*","~*"),"?","~?")))</x:f>
      </x:c>
      <x:c r="J664" s="13" t="str">
        <x:f>IF(OR(NOT(ISNUMBER(E664)),NOT(ISNUMBER(I664))),"",ROUND(E664-I664,2))</x:f>
      </x:c>
      <x:c r="K664" s="2" t="str">
        <x:f>IF(COUNTA(A664:F664)=0,"",IF(OR(A664="",B664="",C664="",D664="",NOT(ISNUMBER(E664))),"Missing / invalid input",IF(G664&gt;1,"Duplicate key in this source",IF(H664=0,"Missing in other source",IF(H664&gt;1,"Duplicate in other source",IF(SUMIFS('External Data'!$M$2:$M$1001,'External Data'!$L$2:$L$1001,SUBSTITUTE(SUBSTITUTE(SUBSTITUTE(L664,"~","~~"),"*","~*"),"?","~?"))&lt;&gt;1,"Other amount is invalid",IF(J664&lt;&gt;0,"Amount differs","Matched")))))))</x:f>
      </x:c>
      <x:c r="L664" t="str">
        <x:f>IF(COUNTA(A664:F664)=0,"",LEN(A664)&amp;":"&amp;A664&amp;LEN(B664)&amp;":"&amp;B664&amp;LEN(C664)&amp;":"&amp;C664&amp;LEN(D664)&amp;":"&amp;D664)</x:f>
      </x:c>
      <x:c r="M664" t="str">
        <x:f>IF(COUNTA(A664:F664)=0,"",IF(ISNUMBER(E664),1,0))</x:f>
      </x:c>
    </x:row>
    <x:row r="665">
      <x:c r="A665" s="11"/>
      <x:c r="B665" s="11"/>
      <x:c r="C665" s="11"/>
      <x:c r="D665" s="11"/>
      <x:c r="E665" s="12"/>
      <x:c r="F665" s="10"/>
      <x:c r="G665" s="2" t="str">
        <x:f>IF(COUNTA(A665:F665)=0,"",COUNTIFS('App Data'!$L$2:$L$1001,SUBSTITUTE(SUBSTITUTE(SUBSTITUTE(L665,"~","~~"),"*","~*"),"?","~?")))</x:f>
      </x:c>
      <x:c r="H665" s="2" t="str">
        <x:f>IF(COUNTA(A665:F665)=0,"",COUNTIFS('External Data'!$L$2:$L$1001,SUBSTITUTE(SUBSTITUTE(SUBSTITUTE(L665,"~","~~"),"*","~*"),"?","~?")))</x:f>
      </x:c>
      <x:c r="I665" s="13" t="str">
        <x:f>IF(OR(H665&lt;&gt;1,G665&lt;&gt;1),"",SUMIFS('External Data'!$E$2:$E$1001,'External Data'!$L$2:$L$1001,SUBSTITUTE(SUBSTITUTE(SUBSTITUTE(L665,"~","~~"),"*","~*"),"?","~?")))</x:f>
      </x:c>
      <x:c r="J665" s="13" t="str">
        <x:f>IF(OR(NOT(ISNUMBER(E665)),NOT(ISNUMBER(I665))),"",ROUND(E665-I665,2))</x:f>
      </x:c>
      <x:c r="K665" s="2" t="str">
        <x:f>IF(COUNTA(A665:F665)=0,"",IF(OR(A665="",B665="",C665="",D665="",NOT(ISNUMBER(E665))),"Missing / invalid input",IF(G665&gt;1,"Duplicate key in this source",IF(H665=0,"Missing in other source",IF(H665&gt;1,"Duplicate in other source",IF(SUMIFS('External Data'!$M$2:$M$1001,'External Data'!$L$2:$L$1001,SUBSTITUTE(SUBSTITUTE(SUBSTITUTE(L665,"~","~~"),"*","~*"),"?","~?"))&lt;&gt;1,"Other amount is invalid",IF(J665&lt;&gt;0,"Amount differs","Matched")))))))</x:f>
      </x:c>
      <x:c r="L665" t="str">
        <x:f>IF(COUNTA(A665:F665)=0,"",LEN(A665)&amp;":"&amp;A665&amp;LEN(B665)&amp;":"&amp;B665&amp;LEN(C665)&amp;":"&amp;C665&amp;LEN(D665)&amp;":"&amp;D665)</x:f>
      </x:c>
      <x:c r="M665" t="str">
        <x:f>IF(COUNTA(A665:F665)=0,"",IF(ISNUMBER(E665),1,0))</x:f>
      </x:c>
    </x:row>
    <x:row r="666">
      <x:c r="A666" s="11"/>
      <x:c r="B666" s="11"/>
      <x:c r="C666" s="11"/>
      <x:c r="D666" s="11"/>
      <x:c r="E666" s="12"/>
      <x:c r="F666" s="10"/>
      <x:c r="G666" s="2" t="str">
        <x:f>IF(COUNTA(A666:F666)=0,"",COUNTIFS('App Data'!$L$2:$L$1001,SUBSTITUTE(SUBSTITUTE(SUBSTITUTE(L666,"~","~~"),"*","~*"),"?","~?")))</x:f>
      </x:c>
      <x:c r="H666" s="2" t="str">
        <x:f>IF(COUNTA(A666:F666)=0,"",COUNTIFS('External Data'!$L$2:$L$1001,SUBSTITUTE(SUBSTITUTE(SUBSTITUTE(L666,"~","~~"),"*","~*"),"?","~?")))</x:f>
      </x:c>
      <x:c r="I666" s="13" t="str">
        <x:f>IF(OR(H666&lt;&gt;1,G666&lt;&gt;1),"",SUMIFS('External Data'!$E$2:$E$1001,'External Data'!$L$2:$L$1001,SUBSTITUTE(SUBSTITUTE(SUBSTITUTE(L666,"~","~~"),"*","~*"),"?","~?")))</x:f>
      </x:c>
      <x:c r="J666" s="13" t="str">
        <x:f>IF(OR(NOT(ISNUMBER(E666)),NOT(ISNUMBER(I666))),"",ROUND(E666-I666,2))</x:f>
      </x:c>
      <x:c r="K666" s="2" t="str">
        <x:f>IF(COUNTA(A666:F666)=0,"",IF(OR(A666="",B666="",C666="",D666="",NOT(ISNUMBER(E666))),"Missing / invalid input",IF(G666&gt;1,"Duplicate key in this source",IF(H666=0,"Missing in other source",IF(H666&gt;1,"Duplicate in other source",IF(SUMIFS('External Data'!$M$2:$M$1001,'External Data'!$L$2:$L$1001,SUBSTITUTE(SUBSTITUTE(SUBSTITUTE(L666,"~","~~"),"*","~*"),"?","~?"))&lt;&gt;1,"Other amount is invalid",IF(J666&lt;&gt;0,"Amount differs","Matched")))))))</x:f>
      </x:c>
      <x:c r="L666" t="str">
        <x:f>IF(COUNTA(A666:F666)=0,"",LEN(A666)&amp;":"&amp;A666&amp;LEN(B666)&amp;":"&amp;B666&amp;LEN(C666)&amp;":"&amp;C666&amp;LEN(D666)&amp;":"&amp;D666)</x:f>
      </x:c>
      <x:c r="M666" t="str">
        <x:f>IF(COUNTA(A666:F666)=0,"",IF(ISNUMBER(E666),1,0))</x:f>
      </x:c>
    </x:row>
    <x:row r="667">
      <x:c r="A667" s="11"/>
      <x:c r="B667" s="11"/>
      <x:c r="C667" s="11"/>
      <x:c r="D667" s="11"/>
      <x:c r="E667" s="12"/>
      <x:c r="F667" s="10"/>
      <x:c r="G667" s="2" t="str">
        <x:f>IF(COUNTA(A667:F667)=0,"",COUNTIFS('App Data'!$L$2:$L$1001,SUBSTITUTE(SUBSTITUTE(SUBSTITUTE(L667,"~","~~"),"*","~*"),"?","~?")))</x:f>
      </x:c>
      <x:c r="H667" s="2" t="str">
        <x:f>IF(COUNTA(A667:F667)=0,"",COUNTIFS('External Data'!$L$2:$L$1001,SUBSTITUTE(SUBSTITUTE(SUBSTITUTE(L667,"~","~~"),"*","~*"),"?","~?")))</x:f>
      </x:c>
      <x:c r="I667" s="13" t="str">
        <x:f>IF(OR(H667&lt;&gt;1,G667&lt;&gt;1),"",SUMIFS('External Data'!$E$2:$E$1001,'External Data'!$L$2:$L$1001,SUBSTITUTE(SUBSTITUTE(SUBSTITUTE(L667,"~","~~"),"*","~*"),"?","~?")))</x:f>
      </x:c>
      <x:c r="J667" s="13" t="str">
        <x:f>IF(OR(NOT(ISNUMBER(E667)),NOT(ISNUMBER(I667))),"",ROUND(E667-I667,2))</x:f>
      </x:c>
      <x:c r="K667" s="2" t="str">
        <x:f>IF(COUNTA(A667:F667)=0,"",IF(OR(A667="",B667="",C667="",D667="",NOT(ISNUMBER(E667))),"Missing / invalid input",IF(G667&gt;1,"Duplicate key in this source",IF(H667=0,"Missing in other source",IF(H667&gt;1,"Duplicate in other source",IF(SUMIFS('External Data'!$M$2:$M$1001,'External Data'!$L$2:$L$1001,SUBSTITUTE(SUBSTITUTE(SUBSTITUTE(L667,"~","~~"),"*","~*"),"?","~?"))&lt;&gt;1,"Other amount is invalid",IF(J667&lt;&gt;0,"Amount differs","Matched")))))))</x:f>
      </x:c>
      <x:c r="L667" t="str">
        <x:f>IF(COUNTA(A667:F667)=0,"",LEN(A667)&amp;":"&amp;A667&amp;LEN(B667)&amp;":"&amp;B667&amp;LEN(C667)&amp;":"&amp;C667&amp;LEN(D667)&amp;":"&amp;D667)</x:f>
      </x:c>
      <x:c r="M667" t="str">
        <x:f>IF(COUNTA(A667:F667)=0,"",IF(ISNUMBER(E667),1,0))</x:f>
      </x:c>
    </x:row>
    <x:row r="668">
      <x:c r="A668" s="11"/>
      <x:c r="B668" s="11"/>
      <x:c r="C668" s="11"/>
      <x:c r="D668" s="11"/>
      <x:c r="E668" s="12"/>
      <x:c r="F668" s="10"/>
      <x:c r="G668" s="2" t="str">
        <x:f>IF(COUNTA(A668:F668)=0,"",COUNTIFS('App Data'!$L$2:$L$1001,SUBSTITUTE(SUBSTITUTE(SUBSTITUTE(L668,"~","~~"),"*","~*"),"?","~?")))</x:f>
      </x:c>
      <x:c r="H668" s="2" t="str">
        <x:f>IF(COUNTA(A668:F668)=0,"",COUNTIFS('External Data'!$L$2:$L$1001,SUBSTITUTE(SUBSTITUTE(SUBSTITUTE(L668,"~","~~"),"*","~*"),"?","~?")))</x:f>
      </x:c>
      <x:c r="I668" s="13" t="str">
        <x:f>IF(OR(H668&lt;&gt;1,G668&lt;&gt;1),"",SUMIFS('External Data'!$E$2:$E$1001,'External Data'!$L$2:$L$1001,SUBSTITUTE(SUBSTITUTE(SUBSTITUTE(L668,"~","~~"),"*","~*"),"?","~?")))</x:f>
      </x:c>
      <x:c r="J668" s="13" t="str">
        <x:f>IF(OR(NOT(ISNUMBER(E668)),NOT(ISNUMBER(I668))),"",ROUND(E668-I668,2))</x:f>
      </x:c>
      <x:c r="K668" s="2" t="str">
        <x:f>IF(COUNTA(A668:F668)=0,"",IF(OR(A668="",B668="",C668="",D668="",NOT(ISNUMBER(E668))),"Missing / invalid input",IF(G668&gt;1,"Duplicate key in this source",IF(H668=0,"Missing in other source",IF(H668&gt;1,"Duplicate in other source",IF(SUMIFS('External Data'!$M$2:$M$1001,'External Data'!$L$2:$L$1001,SUBSTITUTE(SUBSTITUTE(SUBSTITUTE(L668,"~","~~"),"*","~*"),"?","~?"))&lt;&gt;1,"Other amount is invalid",IF(J668&lt;&gt;0,"Amount differs","Matched")))))))</x:f>
      </x:c>
      <x:c r="L668" t="str">
        <x:f>IF(COUNTA(A668:F668)=0,"",LEN(A668)&amp;":"&amp;A668&amp;LEN(B668)&amp;":"&amp;B668&amp;LEN(C668)&amp;":"&amp;C668&amp;LEN(D668)&amp;":"&amp;D668)</x:f>
      </x:c>
      <x:c r="M668" t="str">
        <x:f>IF(COUNTA(A668:F668)=0,"",IF(ISNUMBER(E668),1,0))</x:f>
      </x:c>
    </x:row>
    <x:row r="669">
      <x:c r="A669" s="11"/>
      <x:c r="B669" s="11"/>
      <x:c r="C669" s="11"/>
      <x:c r="D669" s="11"/>
      <x:c r="E669" s="12"/>
      <x:c r="F669" s="10"/>
      <x:c r="G669" s="2" t="str">
        <x:f>IF(COUNTA(A669:F669)=0,"",COUNTIFS('App Data'!$L$2:$L$1001,SUBSTITUTE(SUBSTITUTE(SUBSTITUTE(L669,"~","~~"),"*","~*"),"?","~?")))</x:f>
      </x:c>
      <x:c r="H669" s="2" t="str">
        <x:f>IF(COUNTA(A669:F669)=0,"",COUNTIFS('External Data'!$L$2:$L$1001,SUBSTITUTE(SUBSTITUTE(SUBSTITUTE(L669,"~","~~"),"*","~*"),"?","~?")))</x:f>
      </x:c>
      <x:c r="I669" s="13" t="str">
        <x:f>IF(OR(H669&lt;&gt;1,G669&lt;&gt;1),"",SUMIFS('External Data'!$E$2:$E$1001,'External Data'!$L$2:$L$1001,SUBSTITUTE(SUBSTITUTE(SUBSTITUTE(L669,"~","~~"),"*","~*"),"?","~?")))</x:f>
      </x:c>
      <x:c r="J669" s="13" t="str">
        <x:f>IF(OR(NOT(ISNUMBER(E669)),NOT(ISNUMBER(I669))),"",ROUND(E669-I669,2))</x:f>
      </x:c>
      <x:c r="K669" s="2" t="str">
        <x:f>IF(COUNTA(A669:F669)=0,"",IF(OR(A669="",B669="",C669="",D669="",NOT(ISNUMBER(E669))),"Missing / invalid input",IF(G669&gt;1,"Duplicate key in this source",IF(H669=0,"Missing in other source",IF(H669&gt;1,"Duplicate in other source",IF(SUMIFS('External Data'!$M$2:$M$1001,'External Data'!$L$2:$L$1001,SUBSTITUTE(SUBSTITUTE(SUBSTITUTE(L669,"~","~~"),"*","~*"),"?","~?"))&lt;&gt;1,"Other amount is invalid",IF(J669&lt;&gt;0,"Amount differs","Matched")))))))</x:f>
      </x:c>
      <x:c r="L669" t="str">
        <x:f>IF(COUNTA(A669:F669)=0,"",LEN(A669)&amp;":"&amp;A669&amp;LEN(B669)&amp;":"&amp;B669&amp;LEN(C669)&amp;":"&amp;C669&amp;LEN(D669)&amp;":"&amp;D669)</x:f>
      </x:c>
      <x:c r="M669" t="str">
        <x:f>IF(COUNTA(A669:F669)=0,"",IF(ISNUMBER(E669),1,0))</x:f>
      </x:c>
    </x:row>
    <x:row r="670">
      <x:c r="A670" s="11"/>
      <x:c r="B670" s="11"/>
      <x:c r="C670" s="11"/>
      <x:c r="D670" s="11"/>
      <x:c r="E670" s="12"/>
      <x:c r="F670" s="10"/>
      <x:c r="G670" s="2" t="str">
        <x:f>IF(COUNTA(A670:F670)=0,"",COUNTIFS('App Data'!$L$2:$L$1001,SUBSTITUTE(SUBSTITUTE(SUBSTITUTE(L670,"~","~~"),"*","~*"),"?","~?")))</x:f>
      </x:c>
      <x:c r="H670" s="2" t="str">
        <x:f>IF(COUNTA(A670:F670)=0,"",COUNTIFS('External Data'!$L$2:$L$1001,SUBSTITUTE(SUBSTITUTE(SUBSTITUTE(L670,"~","~~"),"*","~*"),"?","~?")))</x:f>
      </x:c>
      <x:c r="I670" s="13" t="str">
        <x:f>IF(OR(H670&lt;&gt;1,G670&lt;&gt;1),"",SUMIFS('External Data'!$E$2:$E$1001,'External Data'!$L$2:$L$1001,SUBSTITUTE(SUBSTITUTE(SUBSTITUTE(L670,"~","~~"),"*","~*"),"?","~?")))</x:f>
      </x:c>
      <x:c r="J670" s="13" t="str">
        <x:f>IF(OR(NOT(ISNUMBER(E670)),NOT(ISNUMBER(I670))),"",ROUND(E670-I670,2))</x:f>
      </x:c>
      <x:c r="K670" s="2" t="str">
        <x:f>IF(COUNTA(A670:F670)=0,"",IF(OR(A670="",B670="",C670="",D670="",NOT(ISNUMBER(E670))),"Missing / invalid input",IF(G670&gt;1,"Duplicate key in this source",IF(H670=0,"Missing in other source",IF(H670&gt;1,"Duplicate in other source",IF(SUMIFS('External Data'!$M$2:$M$1001,'External Data'!$L$2:$L$1001,SUBSTITUTE(SUBSTITUTE(SUBSTITUTE(L670,"~","~~"),"*","~*"),"?","~?"))&lt;&gt;1,"Other amount is invalid",IF(J670&lt;&gt;0,"Amount differs","Matched")))))))</x:f>
      </x:c>
      <x:c r="L670" t="str">
        <x:f>IF(COUNTA(A670:F670)=0,"",LEN(A670)&amp;":"&amp;A670&amp;LEN(B670)&amp;":"&amp;B670&amp;LEN(C670)&amp;":"&amp;C670&amp;LEN(D670)&amp;":"&amp;D670)</x:f>
      </x:c>
      <x:c r="M670" t="str">
        <x:f>IF(COUNTA(A670:F670)=0,"",IF(ISNUMBER(E670),1,0))</x:f>
      </x:c>
    </x:row>
    <x:row r="671">
      <x:c r="A671" s="11"/>
      <x:c r="B671" s="11"/>
      <x:c r="C671" s="11"/>
      <x:c r="D671" s="11"/>
      <x:c r="E671" s="12"/>
      <x:c r="F671" s="10"/>
      <x:c r="G671" s="2" t="str">
        <x:f>IF(COUNTA(A671:F671)=0,"",COUNTIFS('App Data'!$L$2:$L$1001,SUBSTITUTE(SUBSTITUTE(SUBSTITUTE(L671,"~","~~"),"*","~*"),"?","~?")))</x:f>
      </x:c>
      <x:c r="H671" s="2" t="str">
        <x:f>IF(COUNTA(A671:F671)=0,"",COUNTIFS('External Data'!$L$2:$L$1001,SUBSTITUTE(SUBSTITUTE(SUBSTITUTE(L671,"~","~~"),"*","~*"),"?","~?")))</x:f>
      </x:c>
      <x:c r="I671" s="13" t="str">
        <x:f>IF(OR(H671&lt;&gt;1,G671&lt;&gt;1),"",SUMIFS('External Data'!$E$2:$E$1001,'External Data'!$L$2:$L$1001,SUBSTITUTE(SUBSTITUTE(SUBSTITUTE(L671,"~","~~"),"*","~*"),"?","~?")))</x:f>
      </x:c>
      <x:c r="J671" s="13" t="str">
        <x:f>IF(OR(NOT(ISNUMBER(E671)),NOT(ISNUMBER(I671))),"",ROUND(E671-I671,2))</x:f>
      </x:c>
      <x:c r="K671" s="2" t="str">
        <x:f>IF(COUNTA(A671:F671)=0,"",IF(OR(A671="",B671="",C671="",D671="",NOT(ISNUMBER(E671))),"Missing / invalid input",IF(G671&gt;1,"Duplicate key in this source",IF(H671=0,"Missing in other source",IF(H671&gt;1,"Duplicate in other source",IF(SUMIFS('External Data'!$M$2:$M$1001,'External Data'!$L$2:$L$1001,SUBSTITUTE(SUBSTITUTE(SUBSTITUTE(L671,"~","~~"),"*","~*"),"?","~?"))&lt;&gt;1,"Other amount is invalid",IF(J671&lt;&gt;0,"Amount differs","Matched")))))))</x:f>
      </x:c>
      <x:c r="L671" t="str">
        <x:f>IF(COUNTA(A671:F671)=0,"",LEN(A671)&amp;":"&amp;A671&amp;LEN(B671)&amp;":"&amp;B671&amp;LEN(C671)&amp;":"&amp;C671&amp;LEN(D671)&amp;":"&amp;D671)</x:f>
      </x:c>
      <x:c r="M671" t="str">
        <x:f>IF(COUNTA(A671:F671)=0,"",IF(ISNUMBER(E671),1,0))</x:f>
      </x:c>
    </x:row>
    <x:row r="672">
      <x:c r="A672" s="11"/>
      <x:c r="B672" s="11"/>
      <x:c r="C672" s="11"/>
      <x:c r="D672" s="11"/>
      <x:c r="E672" s="12"/>
      <x:c r="F672" s="10"/>
      <x:c r="G672" s="2" t="str">
        <x:f>IF(COUNTA(A672:F672)=0,"",COUNTIFS('App Data'!$L$2:$L$1001,SUBSTITUTE(SUBSTITUTE(SUBSTITUTE(L672,"~","~~"),"*","~*"),"?","~?")))</x:f>
      </x:c>
      <x:c r="H672" s="2" t="str">
        <x:f>IF(COUNTA(A672:F672)=0,"",COUNTIFS('External Data'!$L$2:$L$1001,SUBSTITUTE(SUBSTITUTE(SUBSTITUTE(L672,"~","~~"),"*","~*"),"?","~?")))</x:f>
      </x:c>
      <x:c r="I672" s="13" t="str">
        <x:f>IF(OR(H672&lt;&gt;1,G672&lt;&gt;1),"",SUMIFS('External Data'!$E$2:$E$1001,'External Data'!$L$2:$L$1001,SUBSTITUTE(SUBSTITUTE(SUBSTITUTE(L672,"~","~~"),"*","~*"),"?","~?")))</x:f>
      </x:c>
      <x:c r="J672" s="13" t="str">
        <x:f>IF(OR(NOT(ISNUMBER(E672)),NOT(ISNUMBER(I672))),"",ROUND(E672-I672,2))</x:f>
      </x:c>
      <x:c r="K672" s="2" t="str">
        <x:f>IF(COUNTA(A672:F672)=0,"",IF(OR(A672="",B672="",C672="",D672="",NOT(ISNUMBER(E672))),"Missing / invalid input",IF(G672&gt;1,"Duplicate key in this source",IF(H672=0,"Missing in other source",IF(H672&gt;1,"Duplicate in other source",IF(SUMIFS('External Data'!$M$2:$M$1001,'External Data'!$L$2:$L$1001,SUBSTITUTE(SUBSTITUTE(SUBSTITUTE(L672,"~","~~"),"*","~*"),"?","~?"))&lt;&gt;1,"Other amount is invalid",IF(J672&lt;&gt;0,"Amount differs","Matched")))))))</x:f>
      </x:c>
      <x:c r="L672" t="str">
        <x:f>IF(COUNTA(A672:F672)=0,"",LEN(A672)&amp;":"&amp;A672&amp;LEN(B672)&amp;":"&amp;B672&amp;LEN(C672)&amp;":"&amp;C672&amp;LEN(D672)&amp;":"&amp;D672)</x:f>
      </x:c>
      <x:c r="M672" t="str">
        <x:f>IF(COUNTA(A672:F672)=0,"",IF(ISNUMBER(E672),1,0))</x:f>
      </x:c>
    </x:row>
    <x:row r="673">
      <x:c r="A673" s="11"/>
      <x:c r="B673" s="11"/>
      <x:c r="C673" s="11"/>
      <x:c r="D673" s="11"/>
      <x:c r="E673" s="12"/>
      <x:c r="F673" s="10"/>
      <x:c r="G673" s="2" t="str">
        <x:f>IF(COUNTA(A673:F673)=0,"",COUNTIFS('App Data'!$L$2:$L$1001,SUBSTITUTE(SUBSTITUTE(SUBSTITUTE(L673,"~","~~"),"*","~*"),"?","~?")))</x:f>
      </x:c>
      <x:c r="H673" s="2" t="str">
        <x:f>IF(COUNTA(A673:F673)=0,"",COUNTIFS('External Data'!$L$2:$L$1001,SUBSTITUTE(SUBSTITUTE(SUBSTITUTE(L673,"~","~~"),"*","~*"),"?","~?")))</x:f>
      </x:c>
      <x:c r="I673" s="13" t="str">
        <x:f>IF(OR(H673&lt;&gt;1,G673&lt;&gt;1),"",SUMIFS('External Data'!$E$2:$E$1001,'External Data'!$L$2:$L$1001,SUBSTITUTE(SUBSTITUTE(SUBSTITUTE(L673,"~","~~"),"*","~*"),"?","~?")))</x:f>
      </x:c>
      <x:c r="J673" s="13" t="str">
        <x:f>IF(OR(NOT(ISNUMBER(E673)),NOT(ISNUMBER(I673))),"",ROUND(E673-I673,2))</x:f>
      </x:c>
      <x:c r="K673" s="2" t="str">
        <x:f>IF(COUNTA(A673:F673)=0,"",IF(OR(A673="",B673="",C673="",D673="",NOT(ISNUMBER(E673))),"Missing / invalid input",IF(G673&gt;1,"Duplicate key in this source",IF(H673=0,"Missing in other source",IF(H673&gt;1,"Duplicate in other source",IF(SUMIFS('External Data'!$M$2:$M$1001,'External Data'!$L$2:$L$1001,SUBSTITUTE(SUBSTITUTE(SUBSTITUTE(L673,"~","~~"),"*","~*"),"?","~?"))&lt;&gt;1,"Other amount is invalid",IF(J673&lt;&gt;0,"Amount differs","Matched")))))))</x:f>
      </x:c>
      <x:c r="L673" t="str">
        <x:f>IF(COUNTA(A673:F673)=0,"",LEN(A673)&amp;":"&amp;A673&amp;LEN(B673)&amp;":"&amp;B673&amp;LEN(C673)&amp;":"&amp;C673&amp;LEN(D673)&amp;":"&amp;D673)</x:f>
      </x:c>
      <x:c r="M673" t="str">
        <x:f>IF(COUNTA(A673:F673)=0,"",IF(ISNUMBER(E673),1,0))</x:f>
      </x:c>
    </x:row>
    <x:row r="674">
      <x:c r="A674" s="11"/>
      <x:c r="B674" s="11"/>
      <x:c r="C674" s="11"/>
      <x:c r="D674" s="11"/>
      <x:c r="E674" s="12"/>
      <x:c r="F674" s="10"/>
      <x:c r="G674" s="2" t="str">
        <x:f>IF(COUNTA(A674:F674)=0,"",COUNTIFS('App Data'!$L$2:$L$1001,SUBSTITUTE(SUBSTITUTE(SUBSTITUTE(L674,"~","~~"),"*","~*"),"?","~?")))</x:f>
      </x:c>
      <x:c r="H674" s="2" t="str">
        <x:f>IF(COUNTA(A674:F674)=0,"",COUNTIFS('External Data'!$L$2:$L$1001,SUBSTITUTE(SUBSTITUTE(SUBSTITUTE(L674,"~","~~"),"*","~*"),"?","~?")))</x:f>
      </x:c>
      <x:c r="I674" s="13" t="str">
        <x:f>IF(OR(H674&lt;&gt;1,G674&lt;&gt;1),"",SUMIFS('External Data'!$E$2:$E$1001,'External Data'!$L$2:$L$1001,SUBSTITUTE(SUBSTITUTE(SUBSTITUTE(L674,"~","~~"),"*","~*"),"?","~?")))</x:f>
      </x:c>
      <x:c r="J674" s="13" t="str">
        <x:f>IF(OR(NOT(ISNUMBER(E674)),NOT(ISNUMBER(I674))),"",ROUND(E674-I674,2))</x:f>
      </x:c>
      <x:c r="K674" s="2" t="str">
        <x:f>IF(COUNTA(A674:F674)=0,"",IF(OR(A674="",B674="",C674="",D674="",NOT(ISNUMBER(E674))),"Missing / invalid input",IF(G674&gt;1,"Duplicate key in this source",IF(H674=0,"Missing in other source",IF(H674&gt;1,"Duplicate in other source",IF(SUMIFS('External Data'!$M$2:$M$1001,'External Data'!$L$2:$L$1001,SUBSTITUTE(SUBSTITUTE(SUBSTITUTE(L674,"~","~~"),"*","~*"),"?","~?"))&lt;&gt;1,"Other amount is invalid",IF(J674&lt;&gt;0,"Amount differs","Matched")))))))</x:f>
      </x:c>
      <x:c r="L674" t="str">
        <x:f>IF(COUNTA(A674:F674)=0,"",LEN(A674)&amp;":"&amp;A674&amp;LEN(B674)&amp;":"&amp;B674&amp;LEN(C674)&amp;":"&amp;C674&amp;LEN(D674)&amp;":"&amp;D674)</x:f>
      </x:c>
      <x:c r="M674" t="str">
        <x:f>IF(COUNTA(A674:F674)=0,"",IF(ISNUMBER(E674),1,0))</x:f>
      </x:c>
    </x:row>
    <x:row r="675">
      <x:c r="A675" s="11"/>
      <x:c r="B675" s="11"/>
      <x:c r="C675" s="11"/>
      <x:c r="D675" s="11"/>
      <x:c r="E675" s="12"/>
      <x:c r="F675" s="10"/>
      <x:c r="G675" s="2" t="str">
        <x:f>IF(COUNTA(A675:F675)=0,"",COUNTIFS('App Data'!$L$2:$L$1001,SUBSTITUTE(SUBSTITUTE(SUBSTITUTE(L675,"~","~~"),"*","~*"),"?","~?")))</x:f>
      </x:c>
      <x:c r="H675" s="2" t="str">
        <x:f>IF(COUNTA(A675:F675)=0,"",COUNTIFS('External Data'!$L$2:$L$1001,SUBSTITUTE(SUBSTITUTE(SUBSTITUTE(L675,"~","~~"),"*","~*"),"?","~?")))</x:f>
      </x:c>
      <x:c r="I675" s="13" t="str">
        <x:f>IF(OR(H675&lt;&gt;1,G675&lt;&gt;1),"",SUMIFS('External Data'!$E$2:$E$1001,'External Data'!$L$2:$L$1001,SUBSTITUTE(SUBSTITUTE(SUBSTITUTE(L675,"~","~~"),"*","~*"),"?","~?")))</x:f>
      </x:c>
      <x:c r="J675" s="13" t="str">
        <x:f>IF(OR(NOT(ISNUMBER(E675)),NOT(ISNUMBER(I675))),"",ROUND(E675-I675,2))</x:f>
      </x:c>
      <x:c r="K675" s="2" t="str">
        <x:f>IF(COUNTA(A675:F675)=0,"",IF(OR(A675="",B675="",C675="",D675="",NOT(ISNUMBER(E675))),"Missing / invalid input",IF(G675&gt;1,"Duplicate key in this source",IF(H675=0,"Missing in other source",IF(H675&gt;1,"Duplicate in other source",IF(SUMIFS('External Data'!$M$2:$M$1001,'External Data'!$L$2:$L$1001,SUBSTITUTE(SUBSTITUTE(SUBSTITUTE(L675,"~","~~"),"*","~*"),"?","~?"))&lt;&gt;1,"Other amount is invalid",IF(J675&lt;&gt;0,"Amount differs","Matched")))))))</x:f>
      </x:c>
      <x:c r="L675" t="str">
        <x:f>IF(COUNTA(A675:F675)=0,"",LEN(A675)&amp;":"&amp;A675&amp;LEN(B675)&amp;":"&amp;B675&amp;LEN(C675)&amp;":"&amp;C675&amp;LEN(D675)&amp;":"&amp;D675)</x:f>
      </x:c>
      <x:c r="M675" t="str">
        <x:f>IF(COUNTA(A675:F675)=0,"",IF(ISNUMBER(E675),1,0))</x:f>
      </x:c>
    </x:row>
    <x:row r="676">
      <x:c r="A676" s="11"/>
      <x:c r="B676" s="11"/>
      <x:c r="C676" s="11"/>
      <x:c r="D676" s="11"/>
      <x:c r="E676" s="12"/>
      <x:c r="F676" s="10"/>
      <x:c r="G676" s="2" t="str">
        <x:f>IF(COUNTA(A676:F676)=0,"",COUNTIFS('App Data'!$L$2:$L$1001,SUBSTITUTE(SUBSTITUTE(SUBSTITUTE(L676,"~","~~"),"*","~*"),"?","~?")))</x:f>
      </x:c>
      <x:c r="H676" s="2" t="str">
        <x:f>IF(COUNTA(A676:F676)=0,"",COUNTIFS('External Data'!$L$2:$L$1001,SUBSTITUTE(SUBSTITUTE(SUBSTITUTE(L676,"~","~~"),"*","~*"),"?","~?")))</x:f>
      </x:c>
      <x:c r="I676" s="13" t="str">
        <x:f>IF(OR(H676&lt;&gt;1,G676&lt;&gt;1),"",SUMIFS('External Data'!$E$2:$E$1001,'External Data'!$L$2:$L$1001,SUBSTITUTE(SUBSTITUTE(SUBSTITUTE(L676,"~","~~"),"*","~*"),"?","~?")))</x:f>
      </x:c>
      <x:c r="J676" s="13" t="str">
        <x:f>IF(OR(NOT(ISNUMBER(E676)),NOT(ISNUMBER(I676))),"",ROUND(E676-I676,2))</x:f>
      </x:c>
      <x:c r="K676" s="2" t="str">
        <x:f>IF(COUNTA(A676:F676)=0,"",IF(OR(A676="",B676="",C676="",D676="",NOT(ISNUMBER(E676))),"Missing / invalid input",IF(G676&gt;1,"Duplicate key in this source",IF(H676=0,"Missing in other source",IF(H676&gt;1,"Duplicate in other source",IF(SUMIFS('External Data'!$M$2:$M$1001,'External Data'!$L$2:$L$1001,SUBSTITUTE(SUBSTITUTE(SUBSTITUTE(L676,"~","~~"),"*","~*"),"?","~?"))&lt;&gt;1,"Other amount is invalid",IF(J676&lt;&gt;0,"Amount differs","Matched")))))))</x:f>
      </x:c>
      <x:c r="L676" t="str">
        <x:f>IF(COUNTA(A676:F676)=0,"",LEN(A676)&amp;":"&amp;A676&amp;LEN(B676)&amp;":"&amp;B676&amp;LEN(C676)&amp;":"&amp;C676&amp;LEN(D676)&amp;":"&amp;D676)</x:f>
      </x:c>
      <x:c r="M676" t="str">
        <x:f>IF(COUNTA(A676:F676)=0,"",IF(ISNUMBER(E676),1,0))</x:f>
      </x:c>
    </x:row>
    <x:row r="677">
      <x:c r="A677" s="11"/>
      <x:c r="B677" s="11"/>
      <x:c r="C677" s="11"/>
      <x:c r="D677" s="11"/>
      <x:c r="E677" s="12"/>
      <x:c r="F677" s="10"/>
      <x:c r="G677" s="2" t="str">
        <x:f>IF(COUNTA(A677:F677)=0,"",COUNTIFS('App Data'!$L$2:$L$1001,SUBSTITUTE(SUBSTITUTE(SUBSTITUTE(L677,"~","~~"),"*","~*"),"?","~?")))</x:f>
      </x:c>
      <x:c r="H677" s="2" t="str">
        <x:f>IF(COUNTA(A677:F677)=0,"",COUNTIFS('External Data'!$L$2:$L$1001,SUBSTITUTE(SUBSTITUTE(SUBSTITUTE(L677,"~","~~"),"*","~*"),"?","~?")))</x:f>
      </x:c>
      <x:c r="I677" s="13" t="str">
        <x:f>IF(OR(H677&lt;&gt;1,G677&lt;&gt;1),"",SUMIFS('External Data'!$E$2:$E$1001,'External Data'!$L$2:$L$1001,SUBSTITUTE(SUBSTITUTE(SUBSTITUTE(L677,"~","~~"),"*","~*"),"?","~?")))</x:f>
      </x:c>
      <x:c r="J677" s="13" t="str">
        <x:f>IF(OR(NOT(ISNUMBER(E677)),NOT(ISNUMBER(I677))),"",ROUND(E677-I677,2))</x:f>
      </x:c>
      <x:c r="K677" s="2" t="str">
        <x:f>IF(COUNTA(A677:F677)=0,"",IF(OR(A677="",B677="",C677="",D677="",NOT(ISNUMBER(E677))),"Missing / invalid input",IF(G677&gt;1,"Duplicate key in this source",IF(H677=0,"Missing in other source",IF(H677&gt;1,"Duplicate in other source",IF(SUMIFS('External Data'!$M$2:$M$1001,'External Data'!$L$2:$L$1001,SUBSTITUTE(SUBSTITUTE(SUBSTITUTE(L677,"~","~~"),"*","~*"),"?","~?"))&lt;&gt;1,"Other amount is invalid",IF(J677&lt;&gt;0,"Amount differs","Matched")))))))</x:f>
      </x:c>
      <x:c r="L677" t="str">
        <x:f>IF(COUNTA(A677:F677)=0,"",LEN(A677)&amp;":"&amp;A677&amp;LEN(B677)&amp;":"&amp;B677&amp;LEN(C677)&amp;":"&amp;C677&amp;LEN(D677)&amp;":"&amp;D677)</x:f>
      </x:c>
      <x:c r="M677" t="str">
        <x:f>IF(COUNTA(A677:F677)=0,"",IF(ISNUMBER(E677),1,0))</x:f>
      </x:c>
    </x:row>
    <x:row r="678">
      <x:c r="A678" s="11"/>
      <x:c r="B678" s="11"/>
      <x:c r="C678" s="11"/>
      <x:c r="D678" s="11"/>
      <x:c r="E678" s="12"/>
      <x:c r="F678" s="10"/>
      <x:c r="G678" s="2" t="str">
        <x:f>IF(COUNTA(A678:F678)=0,"",COUNTIFS('App Data'!$L$2:$L$1001,SUBSTITUTE(SUBSTITUTE(SUBSTITUTE(L678,"~","~~"),"*","~*"),"?","~?")))</x:f>
      </x:c>
      <x:c r="H678" s="2" t="str">
        <x:f>IF(COUNTA(A678:F678)=0,"",COUNTIFS('External Data'!$L$2:$L$1001,SUBSTITUTE(SUBSTITUTE(SUBSTITUTE(L678,"~","~~"),"*","~*"),"?","~?")))</x:f>
      </x:c>
      <x:c r="I678" s="13" t="str">
        <x:f>IF(OR(H678&lt;&gt;1,G678&lt;&gt;1),"",SUMIFS('External Data'!$E$2:$E$1001,'External Data'!$L$2:$L$1001,SUBSTITUTE(SUBSTITUTE(SUBSTITUTE(L678,"~","~~"),"*","~*"),"?","~?")))</x:f>
      </x:c>
      <x:c r="J678" s="13" t="str">
        <x:f>IF(OR(NOT(ISNUMBER(E678)),NOT(ISNUMBER(I678))),"",ROUND(E678-I678,2))</x:f>
      </x:c>
      <x:c r="K678" s="2" t="str">
        <x:f>IF(COUNTA(A678:F678)=0,"",IF(OR(A678="",B678="",C678="",D678="",NOT(ISNUMBER(E678))),"Missing / invalid input",IF(G678&gt;1,"Duplicate key in this source",IF(H678=0,"Missing in other source",IF(H678&gt;1,"Duplicate in other source",IF(SUMIFS('External Data'!$M$2:$M$1001,'External Data'!$L$2:$L$1001,SUBSTITUTE(SUBSTITUTE(SUBSTITUTE(L678,"~","~~"),"*","~*"),"?","~?"))&lt;&gt;1,"Other amount is invalid",IF(J678&lt;&gt;0,"Amount differs","Matched")))))))</x:f>
      </x:c>
      <x:c r="L678" t="str">
        <x:f>IF(COUNTA(A678:F678)=0,"",LEN(A678)&amp;":"&amp;A678&amp;LEN(B678)&amp;":"&amp;B678&amp;LEN(C678)&amp;":"&amp;C678&amp;LEN(D678)&amp;":"&amp;D678)</x:f>
      </x:c>
      <x:c r="M678" t="str">
        <x:f>IF(COUNTA(A678:F678)=0,"",IF(ISNUMBER(E678),1,0))</x:f>
      </x:c>
    </x:row>
    <x:row r="679">
      <x:c r="A679" s="11"/>
      <x:c r="B679" s="11"/>
      <x:c r="C679" s="11"/>
      <x:c r="D679" s="11"/>
      <x:c r="E679" s="12"/>
      <x:c r="F679" s="10"/>
      <x:c r="G679" s="2" t="str">
        <x:f>IF(COUNTA(A679:F679)=0,"",COUNTIFS('App Data'!$L$2:$L$1001,SUBSTITUTE(SUBSTITUTE(SUBSTITUTE(L679,"~","~~"),"*","~*"),"?","~?")))</x:f>
      </x:c>
      <x:c r="H679" s="2" t="str">
        <x:f>IF(COUNTA(A679:F679)=0,"",COUNTIFS('External Data'!$L$2:$L$1001,SUBSTITUTE(SUBSTITUTE(SUBSTITUTE(L679,"~","~~"),"*","~*"),"?","~?")))</x:f>
      </x:c>
      <x:c r="I679" s="13" t="str">
        <x:f>IF(OR(H679&lt;&gt;1,G679&lt;&gt;1),"",SUMIFS('External Data'!$E$2:$E$1001,'External Data'!$L$2:$L$1001,SUBSTITUTE(SUBSTITUTE(SUBSTITUTE(L679,"~","~~"),"*","~*"),"?","~?")))</x:f>
      </x:c>
      <x:c r="J679" s="13" t="str">
        <x:f>IF(OR(NOT(ISNUMBER(E679)),NOT(ISNUMBER(I679))),"",ROUND(E679-I679,2))</x:f>
      </x:c>
      <x:c r="K679" s="2" t="str">
        <x:f>IF(COUNTA(A679:F679)=0,"",IF(OR(A679="",B679="",C679="",D679="",NOT(ISNUMBER(E679))),"Missing / invalid input",IF(G679&gt;1,"Duplicate key in this source",IF(H679=0,"Missing in other source",IF(H679&gt;1,"Duplicate in other source",IF(SUMIFS('External Data'!$M$2:$M$1001,'External Data'!$L$2:$L$1001,SUBSTITUTE(SUBSTITUTE(SUBSTITUTE(L679,"~","~~"),"*","~*"),"?","~?"))&lt;&gt;1,"Other amount is invalid",IF(J679&lt;&gt;0,"Amount differs","Matched")))))))</x:f>
      </x:c>
      <x:c r="L679" t="str">
        <x:f>IF(COUNTA(A679:F679)=0,"",LEN(A679)&amp;":"&amp;A679&amp;LEN(B679)&amp;":"&amp;B679&amp;LEN(C679)&amp;":"&amp;C679&amp;LEN(D679)&amp;":"&amp;D679)</x:f>
      </x:c>
      <x:c r="M679" t="str">
        <x:f>IF(COUNTA(A679:F679)=0,"",IF(ISNUMBER(E679),1,0))</x:f>
      </x:c>
    </x:row>
    <x:row r="680">
      <x:c r="A680" s="11"/>
      <x:c r="B680" s="11"/>
      <x:c r="C680" s="11"/>
      <x:c r="D680" s="11"/>
      <x:c r="E680" s="12"/>
      <x:c r="F680" s="10"/>
      <x:c r="G680" s="2" t="str">
        <x:f>IF(COUNTA(A680:F680)=0,"",COUNTIFS('App Data'!$L$2:$L$1001,SUBSTITUTE(SUBSTITUTE(SUBSTITUTE(L680,"~","~~"),"*","~*"),"?","~?")))</x:f>
      </x:c>
      <x:c r="H680" s="2" t="str">
        <x:f>IF(COUNTA(A680:F680)=0,"",COUNTIFS('External Data'!$L$2:$L$1001,SUBSTITUTE(SUBSTITUTE(SUBSTITUTE(L680,"~","~~"),"*","~*"),"?","~?")))</x:f>
      </x:c>
      <x:c r="I680" s="13" t="str">
        <x:f>IF(OR(H680&lt;&gt;1,G680&lt;&gt;1),"",SUMIFS('External Data'!$E$2:$E$1001,'External Data'!$L$2:$L$1001,SUBSTITUTE(SUBSTITUTE(SUBSTITUTE(L680,"~","~~"),"*","~*"),"?","~?")))</x:f>
      </x:c>
      <x:c r="J680" s="13" t="str">
        <x:f>IF(OR(NOT(ISNUMBER(E680)),NOT(ISNUMBER(I680))),"",ROUND(E680-I680,2))</x:f>
      </x:c>
      <x:c r="K680" s="2" t="str">
        <x:f>IF(COUNTA(A680:F680)=0,"",IF(OR(A680="",B680="",C680="",D680="",NOT(ISNUMBER(E680))),"Missing / invalid input",IF(G680&gt;1,"Duplicate key in this source",IF(H680=0,"Missing in other source",IF(H680&gt;1,"Duplicate in other source",IF(SUMIFS('External Data'!$M$2:$M$1001,'External Data'!$L$2:$L$1001,SUBSTITUTE(SUBSTITUTE(SUBSTITUTE(L680,"~","~~"),"*","~*"),"?","~?"))&lt;&gt;1,"Other amount is invalid",IF(J680&lt;&gt;0,"Amount differs","Matched")))))))</x:f>
      </x:c>
      <x:c r="L680" t="str">
        <x:f>IF(COUNTA(A680:F680)=0,"",LEN(A680)&amp;":"&amp;A680&amp;LEN(B680)&amp;":"&amp;B680&amp;LEN(C680)&amp;":"&amp;C680&amp;LEN(D680)&amp;":"&amp;D680)</x:f>
      </x:c>
      <x:c r="M680" t="str">
        <x:f>IF(COUNTA(A680:F680)=0,"",IF(ISNUMBER(E680),1,0))</x:f>
      </x:c>
    </x:row>
    <x:row r="681">
      <x:c r="A681" s="11"/>
      <x:c r="B681" s="11"/>
      <x:c r="C681" s="11"/>
      <x:c r="D681" s="11"/>
      <x:c r="E681" s="12"/>
      <x:c r="F681" s="10"/>
      <x:c r="G681" s="2" t="str">
        <x:f>IF(COUNTA(A681:F681)=0,"",COUNTIFS('App Data'!$L$2:$L$1001,SUBSTITUTE(SUBSTITUTE(SUBSTITUTE(L681,"~","~~"),"*","~*"),"?","~?")))</x:f>
      </x:c>
      <x:c r="H681" s="2" t="str">
        <x:f>IF(COUNTA(A681:F681)=0,"",COUNTIFS('External Data'!$L$2:$L$1001,SUBSTITUTE(SUBSTITUTE(SUBSTITUTE(L681,"~","~~"),"*","~*"),"?","~?")))</x:f>
      </x:c>
      <x:c r="I681" s="13" t="str">
        <x:f>IF(OR(H681&lt;&gt;1,G681&lt;&gt;1),"",SUMIFS('External Data'!$E$2:$E$1001,'External Data'!$L$2:$L$1001,SUBSTITUTE(SUBSTITUTE(SUBSTITUTE(L681,"~","~~"),"*","~*"),"?","~?")))</x:f>
      </x:c>
      <x:c r="J681" s="13" t="str">
        <x:f>IF(OR(NOT(ISNUMBER(E681)),NOT(ISNUMBER(I681))),"",ROUND(E681-I681,2))</x:f>
      </x:c>
      <x:c r="K681" s="2" t="str">
        <x:f>IF(COUNTA(A681:F681)=0,"",IF(OR(A681="",B681="",C681="",D681="",NOT(ISNUMBER(E681))),"Missing / invalid input",IF(G681&gt;1,"Duplicate key in this source",IF(H681=0,"Missing in other source",IF(H681&gt;1,"Duplicate in other source",IF(SUMIFS('External Data'!$M$2:$M$1001,'External Data'!$L$2:$L$1001,SUBSTITUTE(SUBSTITUTE(SUBSTITUTE(L681,"~","~~"),"*","~*"),"?","~?"))&lt;&gt;1,"Other amount is invalid",IF(J681&lt;&gt;0,"Amount differs","Matched")))))))</x:f>
      </x:c>
      <x:c r="L681" t="str">
        <x:f>IF(COUNTA(A681:F681)=0,"",LEN(A681)&amp;":"&amp;A681&amp;LEN(B681)&amp;":"&amp;B681&amp;LEN(C681)&amp;":"&amp;C681&amp;LEN(D681)&amp;":"&amp;D681)</x:f>
      </x:c>
      <x:c r="M681" t="str">
        <x:f>IF(COUNTA(A681:F681)=0,"",IF(ISNUMBER(E681),1,0))</x:f>
      </x:c>
    </x:row>
    <x:row r="682">
      <x:c r="A682" s="11"/>
      <x:c r="B682" s="11"/>
      <x:c r="C682" s="11"/>
      <x:c r="D682" s="11"/>
      <x:c r="E682" s="12"/>
      <x:c r="F682" s="10"/>
      <x:c r="G682" s="2" t="str">
        <x:f>IF(COUNTA(A682:F682)=0,"",COUNTIFS('App Data'!$L$2:$L$1001,SUBSTITUTE(SUBSTITUTE(SUBSTITUTE(L682,"~","~~"),"*","~*"),"?","~?")))</x:f>
      </x:c>
      <x:c r="H682" s="2" t="str">
        <x:f>IF(COUNTA(A682:F682)=0,"",COUNTIFS('External Data'!$L$2:$L$1001,SUBSTITUTE(SUBSTITUTE(SUBSTITUTE(L682,"~","~~"),"*","~*"),"?","~?")))</x:f>
      </x:c>
      <x:c r="I682" s="13" t="str">
        <x:f>IF(OR(H682&lt;&gt;1,G682&lt;&gt;1),"",SUMIFS('External Data'!$E$2:$E$1001,'External Data'!$L$2:$L$1001,SUBSTITUTE(SUBSTITUTE(SUBSTITUTE(L682,"~","~~"),"*","~*"),"?","~?")))</x:f>
      </x:c>
      <x:c r="J682" s="13" t="str">
        <x:f>IF(OR(NOT(ISNUMBER(E682)),NOT(ISNUMBER(I682))),"",ROUND(E682-I682,2))</x:f>
      </x:c>
      <x:c r="K682" s="2" t="str">
        <x:f>IF(COUNTA(A682:F682)=0,"",IF(OR(A682="",B682="",C682="",D682="",NOT(ISNUMBER(E682))),"Missing / invalid input",IF(G682&gt;1,"Duplicate key in this source",IF(H682=0,"Missing in other source",IF(H682&gt;1,"Duplicate in other source",IF(SUMIFS('External Data'!$M$2:$M$1001,'External Data'!$L$2:$L$1001,SUBSTITUTE(SUBSTITUTE(SUBSTITUTE(L682,"~","~~"),"*","~*"),"?","~?"))&lt;&gt;1,"Other amount is invalid",IF(J682&lt;&gt;0,"Amount differs","Matched")))))))</x:f>
      </x:c>
      <x:c r="L682" t="str">
        <x:f>IF(COUNTA(A682:F682)=0,"",LEN(A682)&amp;":"&amp;A682&amp;LEN(B682)&amp;":"&amp;B682&amp;LEN(C682)&amp;":"&amp;C682&amp;LEN(D682)&amp;":"&amp;D682)</x:f>
      </x:c>
      <x:c r="M682" t="str">
        <x:f>IF(COUNTA(A682:F682)=0,"",IF(ISNUMBER(E682),1,0))</x:f>
      </x:c>
    </x:row>
    <x:row r="683">
      <x:c r="A683" s="11"/>
      <x:c r="B683" s="11"/>
      <x:c r="C683" s="11"/>
      <x:c r="D683" s="11"/>
      <x:c r="E683" s="12"/>
      <x:c r="F683" s="10"/>
      <x:c r="G683" s="2" t="str">
        <x:f>IF(COUNTA(A683:F683)=0,"",COUNTIFS('App Data'!$L$2:$L$1001,SUBSTITUTE(SUBSTITUTE(SUBSTITUTE(L683,"~","~~"),"*","~*"),"?","~?")))</x:f>
      </x:c>
      <x:c r="H683" s="2" t="str">
        <x:f>IF(COUNTA(A683:F683)=0,"",COUNTIFS('External Data'!$L$2:$L$1001,SUBSTITUTE(SUBSTITUTE(SUBSTITUTE(L683,"~","~~"),"*","~*"),"?","~?")))</x:f>
      </x:c>
      <x:c r="I683" s="13" t="str">
        <x:f>IF(OR(H683&lt;&gt;1,G683&lt;&gt;1),"",SUMIFS('External Data'!$E$2:$E$1001,'External Data'!$L$2:$L$1001,SUBSTITUTE(SUBSTITUTE(SUBSTITUTE(L683,"~","~~"),"*","~*"),"?","~?")))</x:f>
      </x:c>
      <x:c r="J683" s="13" t="str">
        <x:f>IF(OR(NOT(ISNUMBER(E683)),NOT(ISNUMBER(I683))),"",ROUND(E683-I683,2))</x:f>
      </x:c>
      <x:c r="K683" s="2" t="str">
        <x:f>IF(COUNTA(A683:F683)=0,"",IF(OR(A683="",B683="",C683="",D683="",NOT(ISNUMBER(E683))),"Missing / invalid input",IF(G683&gt;1,"Duplicate key in this source",IF(H683=0,"Missing in other source",IF(H683&gt;1,"Duplicate in other source",IF(SUMIFS('External Data'!$M$2:$M$1001,'External Data'!$L$2:$L$1001,SUBSTITUTE(SUBSTITUTE(SUBSTITUTE(L683,"~","~~"),"*","~*"),"?","~?"))&lt;&gt;1,"Other amount is invalid",IF(J683&lt;&gt;0,"Amount differs","Matched")))))))</x:f>
      </x:c>
      <x:c r="L683" t="str">
        <x:f>IF(COUNTA(A683:F683)=0,"",LEN(A683)&amp;":"&amp;A683&amp;LEN(B683)&amp;":"&amp;B683&amp;LEN(C683)&amp;":"&amp;C683&amp;LEN(D683)&amp;":"&amp;D683)</x:f>
      </x:c>
      <x:c r="M683" t="str">
        <x:f>IF(COUNTA(A683:F683)=0,"",IF(ISNUMBER(E683),1,0))</x:f>
      </x:c>
    </x:row>
    <x:row r="684">
      <x:c r="A684" s="11"/>
      <x:c r="B684" s="11"/>
      <x:c r="C684" s="11"/>
      <x:c r="D684" s="11"/>
      <x:c r="E684" s="12"/>
      <x:c r="F684" s="10"/>
      <x:c r="G684" s="2" t="str">
        <x:f>IF(COUNTA(A684:F684)=0,"",COUNTIFS('App Data'!$L$2:$L$1001,SUBSTITUTE(SUBSTITUTE(SUBSTITUTE(L684,"~","~~"),"*","~*"),"?","~?")))</x:f>
      </x:c>
      <x:c r="H684" s="2" t="str">
        <x:f>IF(COUNTA(A684:F684)=0,"",COUNTIFS('External Data'!$L$2:$L$1001,SUBSTITUTE(SUBSTITUTE(SUBSTITUTE(L684,"~","~~"),"*","~*"),"?","~?")))</x:f>
      </x:c>
      <x:c r="I684" s="13" t="str">
        <x:f>IF(OR(H684&lt;&gt;1,G684&lt;&gt;1),"",SUMIFS('External Data'!$E$2:$E$1001,'External Data'!$L$2:$L$1001,SUBSTITUTE(SUBSTITUTE(SUBSTITUTE(L684,"~","~~"),"*","~*"),"?","~?")))</x:f>
      </x:c>
      <x:c r="J684" s="13" t="str">
        <x:f>IF(OR(NOT(ISNUMBER(E684)),NOT(ISNUMBER(I684))),"",ROUND(E684-I684,2))</x:f>
      </x:c>
      <x:c r="K684" s="2" t="str">
        <x:f>IF(COUNTA(A684:F684)=0,"",IF(OR(A684="",B684="",C684="",D684="",NOT(ISNUMBER(E684))),"Missing / invalid input",IF(G684&gt;1,"Duplicate key in this source",IF(H684=0,"Missing in other source",IF(H684&gt;1,"Duplicate in other source",IF(SUMIFS('External Data'!$M$2:$M$1001,'External Data'!$L$2:$L$1001,SUBSTITUTE(SUBSTITUTE(SUBSTITUTE(L684,"~","~~"),"*","~*"),"?","~?"))&lt;&gt;1,"Other amount is invalid",IF(J684&lt;&gt;0,"Amount differs","Matched")))))))</x:f>
      </x:c>
      <x:c r="L684" t="str">
        <x:f>IF(COUNTA(A684:F684)=0,"",LEN(A684)&amp;":"&amp;A684&amp;LEN(B684)&amp;":"&amp;B684&amp;LEN(C684)&amp;":"&amp;C684&amp;LEN(D684)&amp;":"&amp;D684)</x:f>
      </x:c>
      <x:c r="M684" t="str">
        <x:f>IF(COUNTA(A684:F684)=0,"",IF(ISNUMBER(E684),1,0))</x:f>
      </x:c>
    </x:row>
    <x:row r="685">
      <x:c r="A685" s="11"/>
      <x:c r="B685" s="11"/>
      <x:c r="C685" s="11"/>
      <x:c r="D685" s="11"/>
      <x:c r="E685" s="12"/>
      <x:c r="F685" s="10"/>
      <x:c r="G685" s="2" t="str">
        <x:f>IF(COUNTA(A685:F685)=0,"",COUNTIFS('App Data'!$L$2:$L$1001,SUBSTITUTE(SUBSTITUTE(SUBSTITUTE(L685,"~","~~"),"*","~*"),"?","~?")))</x:f>
      </x:c>
      <x:c r="H685" s="2" t="str">
        <x:f>IF(COUNTA(A685:F685)=0,"",COUNTIFS('External Data'!$L$2:$L$1001,SUBSTITUTE(SUBSTITUTE(SUBSTITUTE(L685,"~","~~"),"*","~*"),"?","~?")))</x:f>
      </x:c>
      <x:c r="I685" s="13" t="str">
        <x:f>IF(OR(H685&lt;&gt;1,G685&lt;&gt;1),"",SUMIFS('External Data'!$E$2:$E$1001,'External Data'!$L$2:$L$1001,SUBSTITUTE(SUBSTITUTE(SUBSTITUTE(L685,"~","~~"),"*","~*"),"?","~?")))</x:f>
      </x:c>
      <x:c r="J685" s="13" t="str">
        <x:f>IF(OR(NOT(ISNUMBER(E685)),NOT(ISNUMBER(I685))),"",ROUND(E685-I685,2))</x:f>
      </x:c>
      <x:c r="K685" s="2" t="str">
        <x:f>IF(COUNTA(A685:F685)=0,"",IF(OR(A685="",B685="",C685="",D685="",NOT(ISNUMBER(E685))),"Missing / invalid input",IF(G685&gt;1,"Duplicate key in this source",IF(H685=0,"Missing in other source",IF(H685&gt;1,"Duplicate in other source",IF(SUMIFS('External Data'!$M$2:$M$1001,'External Data'!$L$2:$L$1001,SUBSTITUTE(SUBSTITUTE(SUBSTITUTE(L685,"~","~~"),"*","~*"),"?","~?"))&lt;&gt;1,"Other amount is invalid",IF(J685&lt;&gt;0,"Amount differs","Matched")))))))</x:f>
      </x:c>
      <x:c r="L685" t="str">
        <x:f>IF(COUNTA(A685:F685)=0,"",LEN(A685)&amp;":"&amp;A685&amp;LEN(B685)&amp;":"&amp;B685&amp;LEN(C685)&amp;":"&amp;C685&amp;LEN(D685)&amp;":"&amp;D685)</x:f>
      </x:c>
      <x:c r="M685" t="str">
        <x:f>IF(COUNTA(A685:F685)=0,"",IF(ISNUMBER(E685),1,0))</x:f>
      </x:c>
    </x:row>
    <x:row r="686">
      <x:c r="A686" s="11"/>
      <x:c r="B686" s="11"/>
      <x:c r="C686" s="11"/>
      <x:c r="D686" s="11"/>
      <x:c r="E686" s="12"/>
      <x:c r="F686" s="10"/>
      <x:c r="G686" s="2" t="str">
        <x:f>IF(COUNTA(A686:F686)=0,"",COUNTIFS('App Data'!$L$2:$L$1001,SUBSTITUTE(SUBSTITUTE(SUBSTITUTE(L686,"~","~~"),"*","~*"),"?","~?")))</x:f>
      </x:c>
      <x:c r="H686" s="2" t="str">
        <x:f>IF(COUNTA(A686:F686)=0,"",COUNTIFS('External Data'!$L$2:$L$1001,SUBSTITUTE(SUBSTITUTE(SUBSTITUTE(L686,"~","~~"),"*","~*"),"?","~?")))</x:f>
      </x:c>
      <x:c r="I686" s="13" t="str">
        <x:f>IF(OR(H686&lt;&gt;1,G686&lt;&gt;1),"",SUMIFS('External Data'!$E$2:$E$1001,'External Data'!$L$2:$L$1001,SUBSTITUTE(SUBSTITUTE(SUBSTITUTE(L686,"~","~~"),"*","~*"),"?","~?")))</x:f>
      </x:c>
      <x:c r="J686" s="13" t="str">
        <x:f>IF(OR(NOT(ISNUMBER(E686)),NOT(ISNUMBER(I686))),"",ROUND(E686-I686,2))</x:f>
      </x:c>
      <x:c r="K686" s="2" t="str">
        <x:f>IF(COUNTA(A686:F686)=0,"",IF(OR(A686="",B686="",C686="",D686="",NOT(ISNUMBER(E686))),"Missing / invalid input",IF(G686&gt;1,"Duplicate key in this source",IF(H686=0,"Missing in other source",IF(H686&gt;1,"Duplicate in other source",IF(SUMIFS('External Data'!$M$2:$M$1001,'External Data'!$L$2:$L$1001,SUBSTITUTE(SUBSTITUTE(SUBSTITUTE(L686,"~","~~"),"*","~*"),"?","~?"))&lt;&gt;1,"Other amount is invalid",IF(J686&lt;&gt;0,"Amount differs","Matched")))))))</x:f>
      </x:c>
      <x:c r="L686" t="str">
        <x:f>IF(COUNTA(A686:F686)=0,"",LEN(A686)&amp;":"&amp;A686&amp;LEN(B686)&amp;":"&amp;B686&amp;LEN(C686)&amp;":"&amp;C686&amp;LEN(D686)&amp;":"&amp;D686)</x:f>
      </x:c>
      <x:c r="M686" t="str">
        <x:f>IF(COUNTA(A686:F686)=0,"",IF(ISNUMBER(E686),1,0))</x:f>
      </x:c>
    </x:row>
    <x:row r="687">
      <x:c r="A687" s="11"/>
      <x:c r="B687" s="11"/>
      <x:c r="C687" s="11"/>
      <x:c r="D687" s="11"/>
      <x:c r="E687" s="12"/>
      <x:c r="F687" s="10"/>
      <x:c r="G687" s="2" t="str">
        <x:f>IF(COUNTA(A687:F687)=0,"",COUNTIFS('App Data'!$L$2:$L$1001,SUBSTITUTE(SUBSTITUTE(SUBSTITUTE(L687,"~","~~"),"*","~*"),"?","~?")))</x:f>
      </x:c>
      <x:c r="H687" s="2" t="str">
        <x:f>IF(COUNTA(A687:F687)=0,"",COUNTIFS('External Data'!$L$2:$L$1001,SUBSTITUTE(SUBSTITUTE(SUBSTITUTE(L687,"~","~~"),"*","~*"),"?","~?")))</x:f>
      </x:c>
      <x:c r="I687" s="13" t="str">
        <x:f>IF(OR(H687&lt;&gt;1,G687&lt;&gt;1),"",SUMIFS('External Data'!$E$2:$E$1001,'External Data'!$L$2:$L$1001,SUBSTITUTE(SUBSTITUTE(SUBSTITUTE(L687,"~","~~"),"*","~*"),"?","~?")))</x:f>
      </x:c>
      <x:c r="J687" s="13" t="str">
        <x:f>IF(OR(NOT(ISNUMBER(E687)),NOT(ISNUMBER(I687))),"",ROUND(E687-I687,2))</x:f>
      </x:c>
      <x:c r="K687" s="2" t="str">
        <x:f>IF(COUNTA(A687:F687)=0,"",IF(OR(A687="",B687="",C687="",D687="",NOT(ISNUMBER(E687))),"Missing / invalid input",IF(G687&gt;1,"Duplicate key in this source",IF(H687=0,"Missing in other source",IF(H687&gt;1,"Duplicate in other source",IF(SUMIFS('External Data'!$M$2:$M$1001,'External Data'!$L$2:$L$1001,SUBSTITUTE(SUBSTITUTE(SUBSTITUTE(L687,"~","~~"),"*","~*"),"?","~?"))&lt;&gt;1,"Other amount is invalid",IF(J687&lt;&gt;0,"Amount differs","Matched")))))))</x:f>
      </x:c>
      <x:c r="L687" t="str">
        <x:f>IF(COUNTA(A687:F687)=0,"",LEN(A687)&amp;":"&amp;A687&amp;LEN(B687)&amp;":"&amp;B687&amp;LEN(C687)&amp;":"&amp;C687&amp;LEN(D687)&amp;":"&amp;D687)</x:f>
      </x:c>
      <x:c r="M687" t="str">
        <x:f>IF(COUNTA(A687:F687)=0,"",IF(ISNUMBER(E687),1,0))</x:f>
      </x:c>
    </x:row>
    <x:row r="688">
      <x:c r="A688" s="11"/>
      <x:c r="B688" s="11"/>
      <x:c r="C688" s="11"/>
      <x:c r="D688" s="11"/>
      <x:c r="E688" s="12"/>
      <x:c r="F688" s="10"/>
      <x:c r="G688" s="2" t="str">
        <x:f>IF(COUNTA(A688:F688)=0,"",COUNTIFS('App Data'!$L$2:$L$1001,SUBSTITUTE(SUBSTITUTE(SUBSTITUTE(L688,"~","~~"),"*","~*"),"?","~?")))</x:f>
      </x:c>
      <x:c r="H688" s="2" t="str">
        <x:f>IF(COUNTA(A688:F688)=0,"",COUNTIFS('External Data'!$L$2:$L$1001,SUBSTITUTE(SUBSTITUTE(SUBSTITUTE(L688,"~","~~"),"*","~*"),"?","~?")))</x:f>
      </x:c>
      <x:c r="I688" s="13" t="str">
        <x:f>IF(OR(H688&lt;&gt;1,G688&lt;&gt;1),"",SUMIFS('External Data'!$E$2:$E$1001,'External Data'!$L$2:$L$1001,SUBSTITUTE(SUBSTITUTE(SUBSTITUTE(L688,"~","~~"),"*","~*"),"?","~?")))</x:f>
      </x:c>
      <x:c r="J688" s="13" t="str">
        <x:f>IF(OR(NOT(ISNUMBER(E688)),NOT(ISNUMBER(I688))),"",ROUND(E688-I688,2))</x:f>
      </x:c>
      <x:c r="K688" s="2" t="str">
        <x:f>IF(COUNTA(A688:F688)=0,"",IF(OR(A688="",B688="",C688="",D688="",NOT(ISNUMBER(E688))),"Missing / invalid input",IF(G688&gt;1,"Duplicate key in this source",IF(H688=0,"Missing in other source",IF(H688&gt;1,"Duplicate in other source",IF(SUMIFS('External Data'!$M$2:$M$1001,'External Data'!$L$2:$L$1001,SUBSTITUTE(SUBSTITUTE(SUBSTITUTE(L688,"~","~~"),"*","~*"),"?","~?"))&lt;&gt;1,"Other amount is invalid",IF(J688&lt;&gt;0,"Amount differs","Matched")))))))</x:f>
      </x:c>
      <x:c r="L688" t="str">
        <x:f>IF(COUNTA(A688:F688)=0,"",LEN(A688)&amp;":"&amp;A688&amp;LEN(B688)&amp;":"&amp;B688&amp;LEN(C688)&amp;":"&amp;C688&amp;LEN(D688)&amp;":"&amp;D688)</x:f>
      </x:c>
      <x:c r="M688" t="str">
        <x:f>IF(COUNTA(A688:F688)=0,"",IF(ISNUMBER(E688),1,0))</x:f>
      </x:c>
    </x:row>
    <x:row r="689">
      <x:c r="A689" s="11"/>
      <x:c r="B689" s="11"/>
      <x:c r="C689" s="11"/>
      <x:c r="D689" s="11"/>
      <x:c r="E689" s="12"/>
      <x:c r="F689" s="10"/>
      <x:c r="G689" s="2" t="str">
        <x:f>IF(COUNTA(A689:F689)=0,"",COUNTIFS('App Data'!$L$2:$L$1001,SUBSTITUTE(SUBSTITUTE(SUBSTITUTE(L689,"~","~~"),"*","~*"),"?","~?")))</x:f>
      </x:c>
      <x:c r="H689" s="2" t="str">
        <x:f>IF(COUNTA(A689:F689)=0,"",COUNTIFS('External Data'!$L$2:$L$1001,SUBSTITUTE(SUBSTITUTE(SUBSTITUTE(L689,"~","~~"),"*","~*"),"?","~?")))</x:f>
      </x:c>
      <x:c r="I689" s="13" t="str">
        <x:f>IF(OR(H689&lt;&gt;1,G689&lt;&gt;1),"",SUMIFS('External Data'!$E$2:$E$1001,'External Data'!$L$2:$L$1001,SUBSTITUTE(SUBSTITUTE(SUBSTITUTE(L689,"~","~~"),"*","~*"),"?","~?")))</x:f>
      </x:c>
      <x:c r="J689" s="13" t="str">
        <x:f>IF(OR(NOT(ISNUMBER(E689)),NOT(ISNUMBER(I689))),"",ROUND(E689-I689,2))</x:f>
      </x:c>
      <x:c r="K689" s="2" t="str">
        <x:f>IF(COUNTA(A689:F689)=0,"",IF(OR(A689="",B689="",C689="",D689="",NOT(ISNUMBER(E689))),"Missing / invalid input",IF(G689&gt;1,"Duplicate key in this source",IF(H689=0,"Missing in other source",IF(H689&gt;1,"Duplicate in other source",IF(SUMIFS('External Data'!$M$2:$M$1001,'External Data'!$L$2:$L$1001,SUBSTITUTE(SUBSTITUTE(SUBSTITUTE(L689,"~","~~"),"*","~*"),"?","~?"))&lt;&gt;1,"Other amount is invalid",IF(J689&lt;&gt;0,"Amount differs","Matched")))))))</x:f>
      </x:c>
      <x:c r="L689" t="str">
        <x:f>IF(COUNTA(A689:F689)=0,"",LEN(A689)&amp;":"&amp;A689&amp;LEN(B689)&amp;":"&amp;B689&amp;LEN(C689)&amp;":"&amp;C689&amp;LEN(D689)&amp;":"&amp;D689)</x:f>
      </x:c>
      <x:c r="M689" t="str">
        <x:f>IF(COUNTA(A689:F689)=0,"",IF(ISNUMBER(E689),1,0))</x:f>
      </x:c>
    </x:row>
    <x:row r="690">
      <x:c r="A690" s="11"/>
      <x:c r="B690" s="11"/>
      <x:c r="C690" s="11"/>
      <x:c r="D690" s="11"/>
      <x:c r="E690" s="12"/>
      <x:c r="F690" s="10"/>
      <x:c r="G690" s="2" t="str">
        <x:f>IF(COUNTA(A690:F690)=0,"",COUNTIFS('App Data'!$L$2:$L$1001,SUBSTITUTE(SUBSTITUTE(SUBSTITUTE(L690,"~","~~"),"*","~*"),"?","~?")))</x:f>
      </x:c>
      <x:c r="H690" s="2" t="str">
        <x:f>IF(COUNTA(A690:F690)=0,"",COUNTIFS('External Data'!$L$2:$L$1001,SUBSTITUTE(SUBSTITUTE(SUBSTITUTE(L690,"~","~~"),"*","~*"),"?","~?")))</x:f>
      </x:c>
      <x:c r="I690" s="13" t="str">
        <x:f>IF(OR(H690&lt;&gt;1,G690&lt;&gt;1),"",SUMIFS('External Data'!$E$2:$E$1001,'External Data'!$L$2:$L$1001,SUBSTITUTE(SUBSTITUTE(SUBSTITUTE(L690,"~","~~"),"*","~*"),"?","~?")))</x:f>
      </x:c>
      <x:c r="J690" s="13" t="str">
        <x:f>IF(OR(NOT(ISNUMBER(E690)),NOT(ISNUMBER(I690))),"",ROUND(E690-I690,2))</x:f>
      </x:c>
      <x:c r="K690" s="2" t="str">
        <x:f>IF(COUNTA(A690:F690)=0,"",IF(OR(A690="",B690="",C690="",D690="",NOT(ISNUMBER(E690))),"Missing / invalid input",IF(G690&gt;1,"Duplicate key in this source",IF(H690=0,"Missing in other source",IF(H690&gt;1,"Duplicate in other source",IF(SUMIFS('External Data'!$M$2:$M$1001,'External Data'!$L$2:$L$1001,SUBSTITUTE(SUBSTITUTE(SUBSTITUTE(L690,"~","~~"),"*","~*"),"?","~?"))&lt;&gt;1,"Other amount is invalid",IF(J690&lt;&gt;0,"Amount differs","Matched")))))))</x:f>
      </x:c>
      <x:c r="L690" t="str">
        <x:f>IF(COUNTA(A690:F690)=0,"",LEN(A690)&amp;":"&amp;A690&amp;LEN(B690)&amp;":"&amp;B690&amp;LEN(C690)&amp;":"&amp;C690&amp;LEN(D690)&amp;":"&amp;D690)</x:f>
      </x:c>
      <x:c r="M690" t="str">
        <x:f>IF(COUNTA(A690:F690)=0,"",IF(ISNUMBER(E690),1,0))</x:f>
      </x:c>
    </x:row>
    <x:row r="691">
      <x:c r="A691" s="11"/>
      <x:c r="B691" s="11"/>
      <x:c r="C691" s="11"/>
      <x:c r="D691" s="11"/>
      <x:c r="E691" s="12"/>
      <x:c r="F691" s="10"/>
      <x:c r="G691" s="2" t="str">
        <x:f>IF(COUNTA(A691:F691)=0,"",COUNTIFS('App Data'!$L$2:$L$1001,SUBSTITUTE(SUBSTITUTE(SUBSTITUTE(L691,"~","~~"),"*","~*"),"?","~?")))</x:f>
      </x:c>
      <x:c r="H691" s="2" t="str">
        <x:f>IF(COUNTA(A691:F691)=0,"",COUNTIFS('External Data'!$L$2:$L$1001,SUBSTITUTE(SUBSTITUTE(SUBSTITUTE(L691,"~","~~"),"*","~*"),"?","~?")))</x:f>
      </x:c>
      <x:c r="I691" s="13" t="str">
        <x:f>IF(OR(H691&lt;&gt;1,G691&lt;&gt;1),"",SUMIFS('External Data'!$E$2:$E$1001,'External Data'!$L$2:$L$1001,SUBSTITUTE(SUBSTITUTE(SUBSTITUTE(L691,"~","~~"),"*","~*"),"?","~?")))</x:f>
      </x:c>
      <x:c r="J691" s="13" t="str">
        <x:f>IF(OR(NOT(ISNUMBER(E691)),NOT(ISNUMBER(I691))),"",ROUND(E691-I691,2))</x:f>
      </x:c>
      <x:c r="K691" s="2" t="str">
        <x:f>IF(COUNTA(A691:F691)=0,"",IF(OR(A691="",B691="",C691="",D691="",NOT(ISNUMBER(E691))),"Missing / invalid input",IF(G691&gt;1,"Duplicate key in this source",IF(H691=0,"Missing in other source",IF(H691&gt;1,"Duplicate in other source",IF(SUMIFS('External Data'!$M$2:$M$1001,'External Data'!$L$2:$L$1001,SUBSTITUTE(SUBSTITUTE(SUBSTITUTE(L691,"~","~~"),"*","~*"),"?","~?"))&lt;&gt;1,"Other amount is invalid",IF(J691&lt;&gt;0,"Amount differs","Matched")))))))</x:f>
      </x:c>
      <x:c r="L691" t="str">
        <x:f>IF(COUNTA(A691:F691)=0,"",LEN(A691)&amp;":"&amp;A691&amp;LEN(B691)&amp;":"&amp;B691&amp;LEN(C691)&amp;":"&amp;C691&amp;LEN(D691)&amp;":"&amp;D691)</x:f>
      </x:c>
      <x:c r="M691" t="str">
        <x:f>IF(COUNTA(A691:F691)=0,"",IF(ISNUMBER(E691),1,0))</x:f>
      </x:c>
    </x:row>
    <x:row r="692">
      <x:c r="A692" s="11"/>
      <x:c r="B692" s="11"/>
      <x:c r="C692" s="11"/>
      <x:c r="D692" s="11"/>
      <x:c r="E692" s="12"/>
      <x:c r="F692" s="10"/>
      <x:c r="G692" s="2" t="str">
        <x:f>IF(COUNTA(A692:F692)=0,"",COUNTIFS('App Data'!$L$2:$L$1001,SUBSTITUTE(SUBSTITUTE(SUBSTITUTE(L692,"~","~~"),"*","~*"),"?","~?")))</x:f>
      </x:c>
      <x:c r="H692" s="2" t="str">
        <x:f>IF(COUNTA(A692:F692)=0,"",COUNTIFS('External Data'!$L$2:$L$1001,SUBSTITUTE(SUBSTITUTE(SUBSTITUTE(L692,"~","~~"),"*","~*"),"?","~?")))</x:f>
      </x:c>
      <x:c r="I692" s="13" t="str">
        <x:f>IF(OR(H692&lt;&gt;1,G692&lt;&gt;1),"",SUMIFS('External Data'!$E$2:$E$1001,'External Data'!$L$2:$L$1001,SUBSTITUTE(SUBSTITUTE(SUBSTITUTE(L692,"~","~~"),"*","~*"),"?","~?")))</x:f>
      </x:c>
      <x:c r="J692" s="13" t="str">
        <x:f>IF(OR(NOT(ISNUMBER(E692)),NOT(ISNUMBER(I692))),"",ROUND(E692-I692,2))</x:f>
      </x:c>
      <x:c r="K692" s="2" t="str">
        <x:f>IF(COUNTA(A692:F692)=0,"",IF(OR(A692="",B692="",C692="",D692="",NOT(ISNUMBER(E692))),"Missing / invalid input",IF(G692&gt;1,"Duplicate key in this source",IF(H692=0,"Missing in other source",IF(H692&gt;1,"Duplicate in other source",IF(SUMIFS('External Data'!$M$2:$M$1001,'External Data'!$L$2:$L$1001,SUBSTITUTE(SUBSTITUTE(SUBSTITUTE(L692,"~","~~"),"*","~*"),"?","~?"))&lt;&gt;1,"Other amount is invalid",IF(J692&lt;&gt;0,"Amount differs","Matched")))))))</x:f>
      </x:c>
      <x:c r="L692" t="str">
        <x:f>IF(COUNTA(A692:F692)=0,"",LEN(A692)&amp;":"&amp;A692&amp;LEN(B692)&amp;":"&amp;B692&amp;LEN(C692)&amp;":"&amp;C692&amp;LEN(D692)&amp;":"&amp;D692)</x:f>
      </x:c>
      <x:c r="M692" t="str">
        <x:f>IF(COUNTA(A692:F692)=0,"",IF(ISNUMBER(E692),1,0))</x:f>
      </x:c>
    </x:row>
    <x:row r="693">
      <x:c r="A693" s="11"/>
      <x:c r="B693" s="11"/>
      <x:c r="C693" s="11"/>
      <x:c r="D693" s="11"/>
      <x:c r="E693" s="12"/>
      <x:c r="F693" s="10"/>
      <x:c r="G693" s="2" t="str">
        <x:f>IF(COUNTA(A693:F693)=0,"",COUNTIFS('App Data'!$L$2:$L$1001,SUBSTITUTE(SUBSTITUTE(SUBSTITUTE(L693,"~","~~"),"*","~*"),"?","~?")))</x:f>
      </x:c>
      <x:c r="H693" s="2" t="str">
        <x:f>IF(COUNTA(A693:F693)=0,"",COUNTIFS('External Data'!$L$2:$L$1001,SUBSTITUTE(SUBSTITUTE(SUBSTITUTE(L693,"~","~~"),"*","~*"),"?","~?")))</x:f>
      </x:c>
      <x:c r="I693" s="13" t="str">
        <x:f>IF(OR(H693&lt;&gt;1,G693&lt;&gt;1),"",SUMIFS('External Data'!$E$2:$E$1001,'External Data'!$L$2:$L$1001,SUBSTITUTE(SUBSTITUTE(SUBSTITUTE(L693,"~","~~"),"*","~*"),"?","~?")))</x:f>
      </x:c>
      <x:c r="J693" s="13" t="str">
        <x:f>IF(OR(NOT(ISNUMBER(E693)),NOT(ISNUMBER(I693))),"",ROUND(E693-I693,2))</x:f>
      </x:c>
      <x:c r="K693" s="2" t="str">
        <x:f>IF(COUNTA(A693:F693)=0,"",IF(OR(A693="",B693="",C693="",D693="",NOT(ISNUMBER(E693))),"Missing / invalid input",IF(G693&gt;1,"Duplicate key in this source",IF(H693=0,"Missing in other source",IF(H693&gt;1,"Duplicate in other source",IF(SUMIFS('External Data'!$M$2:$M$1001,'External Data'!$L$2:$L$1001,SUBSTITUTE(SUBSTITUTE(SUBSTITUTE(L693,"~","~~"),"*","~*"),"?","~?"))&lt;&gt;1,"Other amount is invalid",IF(J693&lt;&gt;0,"Amount differs","Matched")))))))</x:f>
      </x:c>
      <x:c r="L693" t="str">
        <x:f>IF(COUNTA(A693:F693)=0,"",LEN(A693)&amp;":"&amp;A693&amp;LEN(B693)&amp;":"&amp;B693&amp;LEN(C693)&amp;":"&amp;C693&amp;LEN(D693)&amp;":"&amp;D693)</x:f>
      </x:c>
      <x:c r="M693" t="str">
        <x:f>IF(COUNTA(A693:F693)=0,"",IF(ISNUMBER(E693),1,0))</x:f>
      </x:c>
    </x:row>
    <x:row r="694">
      <x:c r="A694" s="11"/>
      <x:c r="B694" s="11"/>
      <x:c r="C694" s="11"/>
      <x:c r="D694" s="11"/>
      <x:c r="E694" s="12"/>
      <x:c r="F694" s="10"/>
      <x:c r="G694" s="2" t="str">
        <x:f>IF(COUNTA(A694:F694)=0,"",COUNTIFS('App Data'!$L$2:$L$1001,SUBSTITUTE(SUBSTITUTE(SUBSTITUTE(L694,"~","~~"),"*","~*"),"?","~?")))</x:f>
      </x:c>
      <x:c r="H694" s="2" t="str">
        <x:f>IF(COUNTA(A694:F694)=0,"",COUNTIFS('External Data'!$L$2:$L$1001,SUBSTITUTE(SUBSTITUTE(SUBSTITUTE(L694,"~","~~"),"*","~*"),"?","~?")))</x:f>
      </x:c>
      <x:c r="I694" s="13" t="str">
        <x:f>IF(OR(H694&lt;&gt;1,G694&lt;&gt;1),"",SUMIFS('External Data'!$E$2:$E$1001,'External Data'!$L$2:$L$1001,SUBSTITUTE(SUBSTITUTE(SUBSTITUTE(L694,"~","~~"),"*","~*"),"?","~?")))</x:f>
      </x:c>
      <x:c r="J694" s="13" t="str">
        <x:f>IF(OR(NOT(ISNUMBER(E694)),NOT(ISNUMBER(I694))),"",ROUND(E694-I694,2))</x:f>
      </x:c>
      <x:c r="K694" s="2" t="str">
        <x:f>IF(COUNTA(A694:F694)=0,"",IF(OR(A694="",B694="",C694="",D694="",NOT(ISNUMBER(E694))),"Missing / invalid input",IF(G694&gt;1,"Duplicate key in this source",IF(H694=0,"Missing in other source",IF(H694&gt;1,"Duplicate in other source",IF(SUMIFS('External Data'!$M$2:$M$1001,'External Data'!$L$2:$L$1001,SUBSTITUTE(SUBSTITUTE(SUBSTITUTE(L694,"~","~~"),"*","~*"),"?","~?"))&lt;&gt;1,"Other amount is invalid",IF(J694&lt;&gt;0,"Amount differs","Matched")))))))</x:f>
      </x:c>
      <x:c r="L694" t="str">
        <x:f>IF(COUNTA(A694:F694)=0,"",LEN(A694)&amp;":"&amp;A694&amp;LEN(B694)&amp;":"&amp;B694&amp;LEN(C694)&amp;":"&amp;C694&amp;LEN(D694)&amp;":"&amp;D694)</x:f>
      </x:c>
      <x:c r="M694" t="str">
        <x:f>IF(COUNTA(A694:F694)=0,"",IF(ISNUMBER(E694),1,0))</x:f>
      </x:c>
    </x:row>
    <x:row r="695">
      <x:c r="A695" s="11"/>
      <x:c r="B695" s="11"/>
      <x:c r="C695" s="11"/>
      <x:c r="D695" s="11"/>
      <x:c r="E695" s="12"/>
      <x:c r="F695" s="10"/>
      <x:c r="G695" s="2" t="str">
        <x:f>IF(COUNTA(A695:F695)=0,"",COUNTIFS('App Data'!$L$2:$L$1001,SUBSTITUTE(SUBSTITUTE(SUBSTITUTE(L695,"~","~~"),"*","~*"),"?","~?")))</x:f>
      </x:c>
      <x:c r="H695" s="2" t="str">
        <x:f>IF(COUNTA(A695:F695)=0,"",COUNTIFS('External Data'!$L$2:$L$1001,SUBSTITUTE(SUBSTITUTE(SUBSTITUTE(L695,"~","~~"),"*","~*"),"?","~?")))</x:f>
      </x:c>
      <x:c r="I695" s="13" t="str">
        <x:f>IF(OR(H695&lt;&gt;1,G695&lt;&gt;1),"",SUMIFS('External Data'!$E$2:$E$1001,'External Data'!$L$2:$L$1001,SUBSTITUTE(SUBSTITUTE(SUBSTITUTE(L695,"~","~~"),"*","~*"),"?","~?")))</x:f>
      </x:c>
      <x:c r="J695" s="13" t="str">
        <x:f>IF(OR(NOT(ISNUMBER(E695)),NOT(ISNUMBER(I695))),"",ROUND(E695-I695,2))</x:f>
      </x:c>
      <x:c r="K695" s="2" t="str">
        <x:f>IF(COUNTA(A695:F695)=0,"",IF(OR(A695="",B695="",C695="",D695="",NOT(ISNUMBER(E695))),"Missing / invalid input",IF(G695&gt;1,"Duplicate key in this source",IF(H695=0,"Missing in other source",IF(H695&gt;1,"Duplicate in other source",IF(SUMIFS('External Data'!$M$2:$M$1001,'External Data'!$L$2:$L$1001,SUBSTITUTE(SUBSTITUTE(SUBSTITUTE(L695,"~","~~"),"*","~*"),"?","~?"))&lt;&gt;1,"Other amount is invalid",IF(J695&lt;&gt;0,"Amount differs","Matched")))))))</x:f>
      </x:c>
      <x:c r="L695" t="str">
        <x:f>IF(COUNTA(A695:F695)=0,"",LEN(A695)&amp;":"&amp;A695&amp;LEN(B695)&amp;":"&amp;B695&amp;LEN(C695)&amp;":"&amp;C695&amp;LEN(D695)&amp;":"&amp;D695)</x:f>
      </x:c>
      <x:c r="M695" t="str">
        <x:f>IF(COUNTA(A695:F695)=0,"",IF(ISNUMBER(E695),1,0))</x:f>
      </x:c>
    </x:row>
    <x:row r="696">
      <x:c r="A696" s="11"/>
      <x:c r="B696" s="11"/>
      <x:c r="C696" s="11"/>
      <x:c r="D696" s="11"/>
      <x:c r="E696" s="12"/>
      <x:c r="F696" s="10"/>
      <x:c r="G696" s="2" t="str">
        <x:f>IF(COUNTA(A696:F696)=0,"",COUNTIFS('App Data'!$L$2:$L$1001,SUBSTITUTE(SUBSTITUTE(SUBSTITUTE(L696,"~","~~"),"*","~*"),"?","~?")))</x:f>
      </x:c>
      <x:c r="H696" s="2" t="str">
        <x:f>IF(COUNTA(A696:F696)=0,"",COUNTIFS('External Data'!$L$2:$L$1001,SUBSTITUTE(SUBSTITUTE(SUBSTITUTE(L696,"~","~~"),"*","~*"),"?","~?")))</x:f>
      </x:c>
      <x:c r="I696" s="13" t="str">
        <x:f>IF(OR(H696&lt;&gt;1,G696&lt;&gt;1),"",SUMIFS('External Data'!$E$2:$E$1001,'External Data'!$L$2:$L$1001,SUBSTITUTE(SUBSTITUTE(SUBSTITUTE(L696,"~","~~"),"*","~*"),"?","~?")))</x:f>
      </x:c>
      <x:c r="J696" s="13" t="str">
        <x:f>IF(OR(NOT(ISNUMBER(E696)),NOT(ISNUMBER(I696))),"",ROUND(E696-I696,2))</x:f>
      </x:c>
      <x:c r="K696" s="2" t="str">
        <x:f>IF(COUNTA(A696:F696)=0,"",IF(OR(A696="",B696="",C696="",D696="",NOT(ISNUMBER(E696))),"Missing / invalid input",IF(G696&gt;1,"Duplicate key in this source",IF(H696=0,"Missing in other source",IF(H696&gt;1,"Duplicate in other source",IF(SUMIFS('External Data'!$M$2:$M$1001,'External Data'!$L$2:$L$1001,SUBSTITUTE(SUBSTITUTE(SUBSTITUTE(L696,"~","~~"),"*","~*"),"?","~?"))&lt;&gt;1,"Other amount is invalid",IF(J696&lt;&gt;0,"Amount differs","Matched")))))))</x:f>
      </x:c>
      <x:c r="L696" t="str">
        <x:f>IF(COUNTA(A696:F696)=0,"",LEN(A696)&amp;":"&amp;A696&amp;LEN(B696)&amp;":"&amp;B696&amp;LEN(C696)&amp;":"&amp;C696&amp;LEN(D696)&amp;":"&amp;D696)</x:f>
      </x:c>
      <x:c r="M696" t="str">
        <x:f>IF(COUNTA(A696:F696)=0,"",IF(ISNUMBER(E696),1,0))</x:f>
      </x:c>
    </x:row>
    <x:row r="697">
      <x:c r="A697" s="11"/>
      <x:c r="B697" s="11"/>
      <x:c r="C697" s="11"/>
      <x:c r="D697" s="11"/>
      <x:c r="E697" s="12"/>
      <x:c r="F697" s="10"/>
      <x:c r="G697" s="2" t="str">
        <x:f>IF(COUNTA(A697:F697)=0,"",COUNTIFS('App Data'!$L$2:$L$1001,SUBSTITUTE(SUBSTITUTE(SUBSTITUTE(L697,"~","~~"),"*","~*"),"?","~?")))</x:f>
      </x:c>
      <x:c r="H697" s="2" t="str">
        <x:f>IF(COUNTA(A697:F697)=0,"",COUNTIFS('External Data'!$L$2:$L$1001,SUBSTITUTE(SUBSTITUTE(SUBSTITUTE(L697,"~","~~"),"*","~*"),"?","~?")))</x:f>
      </x:c>
      <x:c r="I697" s="13" t="str">
        <x:f>IF(OR(H697&lt;&gt;1,G697&lt;&gt;1),"",SUMIFS('External Data'!$E$2:$E$1001,'External Data'!$L$2:$L$1001,SUBSTITUTE(SUBSTITUTE(SUBSTITUTE(L697,"~","~~"),"*","~*"),"?","~?")))</x:f>
      </x:c>
      <x:c r="J697" s="13" t="str">
        <x:f>IF(OR(NOT(ISNUMBER(E697)),NOT(ISNUMBER(I697))),"",ROUND(E697-I697,2))</x:f>
      </x:c>
      <x:c r="K697" s="2" t="str">
        <x:f>IF(COUNTA(A697:F697)=0,"",IF(OR(A697="",B697="",C697="",D697="",NOT(ISNUMBER(E697))),"Missing / invalid input",IF(G697&gt;1,"Duplicate key in this source",IF(H697=0,"Missing in other source",IF(H697&gt;1,"Duplicate in other source",IF(SUMIFS('External Data'!$M$2:$M$1001,'External Data'!$L$2:$L$1001,SUBSTITUTE(SUBSTITUTE(SUBSTITUTE(L697,"~","~~"),"*","~*"),"?","~?"))&lt;&gt;1,"Other amount is invalid",IF(J697&lt;&gt;0,"Amount differs","Matched")))))))</x:f>
      </x:c>
      <x:c r="L697" t="str">
        <x:f>IF(COUNTA(A697:F697)=0,"",LEN(A697)&amp;":"&amp;A697&amp;LEN(B697)&amp;":"&amp;B697&amp;LEN(C697)&amp;":"&amp;C697&amp;LEN(D697)&amp;":"&amp;D697)</x:f>
      </x:c>
      <x:c r="M697" t="str">
        <x:f>IF(COUNTA(A697:F697)=0,"",IF(ISNUMBER(E697),1,0))</x:f>
      </x:c>
    </x:row>
    <x:row r="698">
      <x:c r="A698" s="11"/>
      <x:c r="B698" s="11"/>
      <x:c r="C698" s="11"/>
      <x:c r="D698" s="11"/>
      <x:c r="E698" s="12"/>
      <x:c r="F698" s="10"/>
      <x:c r="G698" s="2" t="str">
        <x:f>IF(COUNTA(A698:F698)=0,"",COUNTIFS('App Data'!$L$2:$L$1001,SUBSTITUTE(SUBSTITUTE(SUBSTITUTE(L698,"~","~~"),"*","~*"),"?","~?")))</x:f>
      </x:c>
      <x:c r="H698" s="2" t="str">
        <x:f>IF(COUNTA(A698:F698)=0,"",COUNTIFS('External Data'!$L$2:$L$1001,SUBSTITUTE(SUBSTITUTE(SUBSTITUTE(L698,"~","~~"),"*","~*"),"?","~?")))</x:f>
      </x:c>
      <x:c r="I698" s="13" t="str">
        <x:f>IF(OR(H698&lt;&gt;1,G698&lt;&gt;1),"",SUMIFS('External Data'!$E$2:$E$1001,'External Data'!$L$2:$L$1001,SUBSTITUTE(SUBSTITUTE(SUBSTITUTE(L698,"~","~~"),"*","~*"),"?","~?")))</x:f>
      </x:c>
      <x:c r="J698" s="13" t="str">
        <x:f>IF(OR(NOT(ISNUMBER(E698)),NOT(ISNUMBER(I698))),"",ROUND(E698-I698,2))</x:f>
      </x:c>
      <x:c r="K698" s="2" t="str">
        <x:f>IF(COUNTA(A698:F698)=0,"",IF(OR(A698="",B698="",C698="",D698="",NOT(ISNUMBER(E698))),"Missing / invalid input",IF(G698&gt;1,"Duplicate key in this source",IF(H698=0,"Missing in other source",IF(H698&gt;1,"Duplicate in other source",IF(SUMIFS('External Data'!$M$2:$M$1001,'External Data'!$L$2:$L$1001,SUBSTITUTE(SUBSTITUTE(SUBSTITUTE(L698,"~","~~"),"*","~*"),"?","~?"))&lt;&gt;1,"Other amount is invalid",IF(J698&lt;&gt;0,"Amount differs","Matched")))))))</x:f>
      </x:c>
      <x:c r="L698" t="str">
        <x:f>IF(COUNTA(A698:F698)=0,"",LEN(A698)&amp;":"&amp;A698&amp;LEN(B698)&amp;":"&amp;B698&amp;LEN(C698)&amp;":"&amp;C698&amp;LEN(D698)&amp;":"&amp;D698)</x:f>
      </x:c>
      <x:c r="M698" t="str">
        <x:f>IF(COUNTA(A698:F698)=0,"",IF(ISNUMBER(E698),1,0))</x:f>
      </x:c>
    </x:row>
    <x:row r="699">
      <x:c r="A699" s="11"/>
      <x:c r="B699" s="11"/>
      <x:c r="C699" s="11"/>
      <x:c r="D699" s="11"/>
      <x:c r="E699" s="12"/>
      <x:c r="F699" s="10"/>
      <x:c r="G699" s="2" t="str">
        <x:f>IF(COUNTA(A699:F699)=0,"",COUNTIFS('App Data'!$L$2:$L$1001,SUBSTITUTE(SUBSTITUTE(SUBSTITUTE(L699,"~","~~"),"*","~*"),"?","~?")))</x:f>
      </x:c>
      <x:c r="H699" s="2" t="str">
        <x:f>IF(COUNTA(A699:F699)=0,"",COUNTIFS('External Data'!$L$2:$L$1001,SUBSTITUTE(SUBSTITUTE(SUBSTITUTE(L699,"~","~~"),"*","~*"),"?","~?")))</x:f>
      </x:c>
      <x:c r="I699" s="13" t="str">
        <x:f>IF(OR(H699&lt;&gt;1,G699&lt;&gt;1),"",SUMIFS('External Data'!$E$2:$E$1001,'External Data'!$L$2:$L$1001,SUBSTITUTE(SUBSTITUTE(SUBSTITUTE(L699,"~","~~"),"*","~*"),"?","~?")))</x:f>
      </x:c>
      <x:c r="J699" s="13" t="str">
        <x:f>IF(OR(NOT(ISNUMBER(E699)),NOT(ISNUMBER(I699))),"",ROUND(E699-I699,2))</x:f>
      </x:c>
      <x:c r="K699" s="2" t="str">
        <x:f>IF(COUNTA(A699:F699)=0,"",IF(OR(A699="",B699="",C699="",D699="",NOT(ISNUMBER(E699))),"Missing / invalid input",IF(G699&gt;1,"Duplicate key in this source",IF(H699=0,"Missing in other source",IF(H699&gt;1,"Duplicate in other source",IF(SUMIFS('External Data'!$M$2:$M$1001,'External Data'!$L$2:$L$1001,SUBSTITUTE(SUBSTITUTE(SUBSTITUTE(L699,"~","~~"),"*","~*"),"?","~?"))&lt;&gt;1,"Other amount is invalid",IF(J699&lt;&gt;0,"Amount differs","Matched")))))))</x:f>
      </x:c>
      <x:c r="L699" t="str">
        <x:f>IF(COUNTA(A699:F699)=0,"",LEN(A699)&amp;":"&amp;A699&amp;LEN(B699)&amp;":"&amp;B699&amp;LEN(C699)&amp;":"&amp;C699&amp;LEN(D699)&amp;":"&amp;D699)</x:f>
      </x:c>
      <x:c r="M699" t="str">
        <x:f>IF(COUNTA(A699:F699)=0,"",IF(ISNUMBER(E699),1,0))</x:f>
      </x:c>
    </x:row>
    <x:row r="700">
      <x:c r="A700" s="11"/>
      <x:c r="B700" s="11"/>
      <x:c r="C700" s="11"/>
      <x:c r="D700" s="11"/>
      <x:c r="E700" s="12"/>
      <x:c r="F700" s="10"/>
      <x:c r="G700" s="2" t="str">
        <x:f>IF(COUNTA(A700:F700)=0,"",COUNTIFS('App Data'!$L$2:$L$1001,SUBSTITUTE(SUBSTITUTE(SUBSTITUTE(L700,"~","~~"),"*","~*"),"?","~?")))</x:f>
      </x:c>
      <x:c r="H700" s="2" t="str">
        <x:f>IF(COUNTA(A700:F700)=0,"",COUNTIFS('External Data'!$L$2:$L$1001,SUBSTITUTE(SUBSTITUTE(SUBSTITUTE(L700,"~","~~"),"*","~*"),"?","~?")))</x:f>
      </x:c>
      <x:c r="I700" s="13" t="str">
        <x:f>IF(OR(H700&lt;&gt;1,G700&lt;&gt;1),"",SUMIFS('External Data'!$E$2:$E$1001,'External Data'!$L$2:$L$1001,SUBSTITUTE(SUBSTITUTE(SUBSTITUTE(L700,"~","~~"),"*","~*"),"?","~?")))</x:f>
      </x:c>
      <x:c r="J700" s="13" t="str">
        <x:f>IF(OR(NOT(ISNUMBER(E700)),NOT(ISNUMBER(I700))),"",ROUND(E700-I700,2))</x:f>
      </x:c>
      <x:c r="K700" s="2" t="str">
        <x:f>IF(COUNTA(A700:F700)=0,"",IF(OR(A700="",B700="",C700="",D700="",NOT(ISNUMBER(E700))),"Missing / invalid input",IF(G700&gt;1,"Duplicate key in this source",IF(H700=0,"Missing in other source",IF(H700&gt;1,"Duplicate in other source",IF(SUMIFS('External Data'!$M$2:$M$1001,'External Data'!$L$2:$L$1001,SUBSTITUTE(SUBSTITUTE(SUBSTITUTE(L700,"~","~~"),"*","~*"),"?","~?"))&lt;&gt;1,"Other amount is invalid",IF(J700&lt;&gt;0,"Amount differs","Matched")))))))</x:f>
      </x:c>
      <x:c r="L700" t="str">
        <x:f>IF(COUNTA(A700:F700)=0,"",LEN(A700)&amp;":"&amp;A700&amp;LEN(B700)&amp;":"&amp;B700&amp;LEN(C700)&amp;":"&amp;C700&amp;LEN(D700)&amp;":"&amp;D700)</x:f>
      </x:c>
      <x:c r="M700" t="str">
        <x:f>IF(COUNTA(A700:F700)=0,"",IF(ISNUMBER(E700),1,0))</x:f>
      </x:c>
    </x:row>
    <x:row r="701">
      <x:c r="A701" s="11"/>
      <x:c r="B701" s="11"/>
      <x:c r="C701" s="11"/>
      <x:c r="D701" s="11"/>
      <x:c r="E701" s="12"/>
      <x:c r="F701" s="10"/>
      <x:c r="G701" s="2" t="str">
        <x:f>IF(COUNTA(A701:F701)=0,"",COUNTIFS('App Data'!$L$2:$L$1001,SUBSTITUTE(SUBSTITUTE(SUBSTITUTE(L701,"~","~~"),"*","~*"),"?","~?")))</x:f>
      </x:c>
      <x:c r="H701" s="2" t="str">
        <x:f>IF(COUNTA(A701:F701)=0,"",COUNTIFS('External Data'!$L$2:$L$1001,SUBSTITUTE(SUBSTITUTE(SUBSTITUTE(L701,"~","~~"),"*","~*"),"?","~?")))</x:f>
      </x:c>
      <x:c r="I701" s="13" t="str">
        <x:f>IF(OR(H701&lt;&gt;1,G701&lt;&gt;1),"",SUMIFS('External Data'!$E$2:$E$1001,'External Data'!$L$2:$L$1001,SUBSTITUTE(SUBSTITUTE(SUBSTITUTE(L701,"~","~~"),"*","~*"),"?","~?")))</x:f>
      </x:c>
      <x:c r="J701" s="13" t="str">
        <x:f>IF(OR(NOT(ISNUMBER(E701)),NOT(ISNUMBER(I701))),"",ROUND(E701-I701,2))</x:f>
      </x:c>
      <x:c r="K701" s="2" t="str">
        <x:f>IF(COUNTA(A701:F701)=0,"",IF(OR(A701="",B701="",C701="",D701="",NOT(ISNUMBER(E701))),"Missing / invalid input",IF(G701&gt;1,"Duplicate key in this source",IF(H701=0,"Missing in other source",IF(H701&gt;1,"Duplicate in other source",IF(SUMIFS('External Data'!$M$2:$M$1001,'External Data'!$L$2:$L$1001,SUBSTITUTE(SUBSTITUTE(SUBSTITUTE(L701,"~","~~"),"*","~*"),"?","~?"))&lt;&gt;1,"Other amount is invalid",IF(J701&lt;&gt;0,"Amount differs","Matched")))))))</x:f>
      </x:c>
      <x:c r="L701" t="str">
        <x:f>IF(COUNTA(A701:F701)=0,"",LEN(A701)&amp;":"&amp;A701&amp;LEN(B701)&amp;":"&amp;B701&amp;LEN(C701)&amp;":"&amp;C701&amp;LEN(D701)&amp;":"&amp;D701)</x:f>
      </x:c>
      <x:c r="M701" t="str">
        <x:f>IF(COUNTA(A701:F701)=0,"",IF(ISNUMBER(E701),1,0))</x:f>
      </x:c>
    </x:row>
    <x:row r="702">
      <x:c r="A702" s="11"/>
      <x:c r="B702" s="11"/>
      <x:c r="C702" s="11"/>
      <x:c r="D702" s="11"/>
      <x:c r="E702" s="12"/>
      <x:c r="F702" s="10"/>
      <x:c r="G702" s="2" t="str">
        <x:f>IF(COUNTA(A702:F702)=0,"",COUNTIFS('App Data'!$L$2:$L$1001,SUBSTITUTE(SUBSTITUTE(SUBSTITUTE(L702,"~","~~"),"*","~*"),"?","~?")))</x:f>
      </x:c>
      <x:c r="H702" s="2" t="str">
        <x:f>IF(COUNTA(A702:F702)=0,"",COUNTIFS('External Data'!$L$2:$L$1001,SUBSTITUTE(SUBSTITUTE(SUBSTITUTE(L702,"~","~~"),"*","~*"),"?","~?")))</x:f>
      </x:c>
      <x:c r="I702" s="13" t="str">
        <x:f>IF(OR(H702&lt;&gt;1,G702&lt;&gt;1),"",SUMIFS('External Data'!$E$2:$E$1001,'External Data'!$L$2:$L$1001,SUBSTITUTE(SUBSTITUTE(SUBSTITUTE(L702,"~","~~"),"*","~*"),"?","~?")))</x:f>
      </x:c>
      <x:c r="J702" s="13" t="str">
        <x:f>IF(OR(NOT(ISNUMBER(E702)),NOT(ISNUMBER(I702))),"",ROUND(E702-I702,2))</x:f>
      </x:c>
      <x:c r="K702" s="2" t="str">
        <x:f>IF(COUNTA(A702:F702)=0,"",IF(OR(A702="",B702="",C702="",D702="",NOT(ISNUMBER(E702))),"Missing / invalid input",IF(G702&gt;1,"Duplicate key in this source",IF(H702=0,"Missing in other source",IF(H702&gt;1,"Duplicate in other source",IF(SUMIFS('External Data'!$M$2:$M$1001,'External Data'!$L$2:$L$1001,SUBSTITUTE(SUBSTITUTE(SUBSTITUTE(L702,"~","~~"),"*","~*"),"?","~?"))&lt;&gt;1,"Other amount is invalid",IF(J702&lt;&gt;0,"Amount differs","Matched")))))))</x:f>
      </x:c>
      <x:c r="L702" t="str">
        <x:f>IF(COUNTA(A702:F702)=0,"",LEN(A702)&amp;":"&amp;A702&amp;LEN(B702)&amp;":"&amp;B702&amp;LEN(C702)&amp;":"&amp;C702&amp;LEN(D702)&amp;":"&amp;D702)</x:f>
      </x:c>
      <x:c r="M702" t="str">
        <x:f>IF(COUNTA(A702:F702)=0,"",IF(ISNUMBER(E702),1,0))</x:f>
      </x:c>
    </x:row>
    <x:row r="703">
      <x:c r="A703" s="11"/>
      <x:c r="B703" s="11"/>
      <x:c r="C703" s="11"/>
      <x:c r="D703" s="11"/>
      <x:c r="E703" s="12"/>
      <x:c r="F703" s="10"/>
      <x:c r="G703" s="2" t="str">
        <x:f>IF(COUNTA(A703:F703)=0,"",COUNTIFS('App Data'!$L$2:$L$1001,SUBSTITUTE(SUBSTITUTE(SUBSTITUTE(L703,"~","~~"),"*","~*"),"?","~?")))</x:f>
      </x:c>
      <x:c r="H703" s="2" t="str">
        <x:f>IF(COUNTA(A703:F703)=0,"",COUNTIFS('External Data'!$L$2:$L$1001,SUBSTITUTE(SUBSTITUTE(SUBSTITUTE(L703,"~","~~"),"*","~*"),"?","~?")))</x:f>
      </x:c>
      <x:c r="I703" s="13" t="str">
        <x:f>IF(OR(H703&lt;&gt;1,G703&lt;&gt;1),"",SUMIFS('External Data'!$E$2:$E$1001,'External Data'!$L$2:$L$1001,SUBSTITUTE(SUBSTITUTE(SUBSTITUTE(L703,"~","~~"),"*","~*"),"?","~?")))</x:f>
      </x:c>
      <x:c r="J703" s="13" t="str">
        <x:f>IF(OR(NOT(ISNUMBER(E703)),NOT(ISNUMBER(I703))),"",ROUND(E703-I703,2))</x:f>
      </x:c>
      <x:c r="K703" s="2" t="str">
        <x:f>IF(COUNTA(A703:F703)=0,"",IF(OR(A703="",B703="",C703="",D703="",NOT(ISNUMBER(E703))),"Missing / invalid input",IF(G703&gt;1,"Duplicate key in this source",IF(H703=0,"Missing in other source",IF(H703&gt;1,"Duplicate in other source",IF(SUMIFS('External Data'!$M$2:$M$1001,'External Data'!$L$2:$L$1001,SUBSTITUTE(SUBSTITUTE(SUBSTITUTE(L703,"~","~~"),"*","~*"),"?","~?"))&lt;&gt;1,"Other amount is invalid",IF(J703&lt;&gt;0,"Amount differs","Matched")))))))</x:f>
      </x:c>
      <x:c r="L703" t="str">
        <x:f>IF(COUNTA(A703:F703)=0,"",LEN(A703)&amp;":"&amp;A703&amp;LEN(B703)&amp;":"&amp;B703&amp;LEN(C703)&amp;":"&amp;C703&amp;LEN(D703)&amp;":"&amp;D703)</x:f>
      </x:c>
      <x:c r="M703" t="str">
        <x:f>IF(COUNTA(A703:F703)=0,"",IF(ISNUMBER(E703),1,0))</x:f>
      </x:c>
    </x:row>
    <x:row r="704">
      <x:c r="A704" s="11"/>
      <x:c r="B704" s="11"/>
      <x:c r="C704" s="11"/>
      <x:c r="D704" s="11"/>
      <x:c r="E704" s="12"/>
      <x:c r="F704" s="10"/>
      <x:c r="G704" s="2" t="str">
        <x:f>IF(COUNTA(A704:F704)=0,"",COUNTIFS('App Data'!$L$2:$L$1001,SUBSTITUTE(SUBSTITUTE(SUBSTITUTE(L704,"~","~~"),"*","~*"),"?","~?")))</x:f>
      </x:c>
      <x:c r="H704" s="2" t="str">
        <x:f>IF(COUNTA(A704:F704)=0,"",COUNTIFS('External Data'!$L$2:$L$1001,SUBSTITUTE(SUBSTITUTE(SUBSTITUTE(L704,"~","~~"),"*","~*"),"?","~?")))</x:f>
      </x:c>
      <x:c r="I704" s="13" t="str">
        <x:f>IF(OR(H704&lt;&gt;1,G704&lt;&gt;1),"",SUMIFS('External Data'!$E$2:$E$1001,'External Data'!$L$2:$L$1001,SUBSTITUTE(SUBSTITUTE(SUBSTITUTE(L704,"~","~~"),"*","~*"),"?","~?")))</x:f>
      </x:c>
      <x:c r="J704" s="13" t="str">
        <x:f>IF(OR(NOT(ISNUMBER(E704)),NOT(ISNUMBER(I704))),"",ROUND(E704-I704,2))</x:f>
      </x:c>
      <x:c r="K704" s="2" t="str">
        <x:f>IF(COUNTA(A704:F704)=0,"",IF(OR(A704="",B704="",C704="",D704="",NOT(ISNUMBER(E704))),"Missing / invalid input",IF(G704&gt;1,"Duplicate key in this source",IF(H704=0,"Missing in other source",IF(H704&gt;1,"Duplicate in other source",IF(SUMIFS('External Data'!$M$2:$M$1001,'External Data'!$L$2:$L$1001,SUBSTITUTE(SUBSTITUTE(SUBSTITUTE(L704,"~","~~"),"*","~*"),"?","~?"))&lt;&gt;1,"Other amount is invalid",IF(J704&lt;&gt;0,"Amount differs","Matched")))))))</x:f>
      </x:c>
      <x:c r="L704" t="str">
        <x:f>IF(COUNTA(A704:F704)=0,"",LEN(A704)&amp;":"&amp;A704&amp;LEN(B704)&amp;":"&amp;B704&amp;LEN(C704)&amp;":"&amp;C704&amp;LEN(D704)&amp;":"&amp;D704)</x:f>
      </x:c>
      <x:c r="M704" t="str">
        <x:f>IF(COUNTA(A704:F704)=0,"",IF(ISNUMBER(E704),1,0))</x:f>
      </x:c>
    </x:row>
    <x:row r="705">
      <x:c r="A705" s="11"/>
      <x:c r="B705" s="11"/>
      <x:c r="C705" s="11"/>
      <x:c r="D705" s="11"/>
      <x:c r="E705" s="12"/>
      <x:c r="F705" s="10"/>
      <x:c r="G705" s="2" t="str">
        <x:f>IF(COUNTA(A705:F705)=0,"",COUNTIFS('App Data'!$L$2:$L$1001,SUBSTITUTE(SUBSTITUTE(SUBSTITUTE(L705,"~","~~"),"*","~*"),"?","~?")))</x:f>
      </x:c>
      <x:c r="H705" s="2" t="str">
        <x:f>IF(COUNTA(A705:F705)=0,"",COUNTIFS('External Data'!$L$2:$L$1001,SUBSTITUTE(SUBSTITUTE(SUBSTITUTE(L705,"~","~~"),"*","~*"),"?","~?")))</x:f>
      </x:c>
      <x:c r="I705" s="13" t="str">
        <x:f>IF(OR(H705&lt;&gt;1,G705&lt;&gt;1),"",SUMIFS('External Data'!$E$2:$E$1001,'External Data'!$L$2:$L$1001,SUBSTITUTE(SUBSTITUTE(SUBSTITUTE(L705,"~","~~"),"*","~*"),"?","~?")))</x:f>
      </x:c>
      <x:c r="J705" s="13" t="str">
        <x:f>IF(OR(NOT(ISNUMBER(E705)),NOT(ISNUMBER(I705))),"",ROUND(E705-I705,2))</x:f>
      </x:c>
      <x:c r="K705" s="2" t="str">
        <x:f>IF(COUNTA(A705:F705)=0,"",IF(OR(A705="",B705="",C705="",D705="",NOT(ISNUMBER(E705))),"Missing / invalid input",IF(G705&gt;1,"Duplicate key in this source",IF(H705=0,"Missing in other source",IF(H705&gt;1,"Duplicate in other source",IF(SUMIFS('External Data'!$M$2:$M$1001,'External Data'!$L$2:$L$1001,SUBSTITUTE(SUBSTITUTE(SUBSTITUTE(L705,"~","~~"),"*","~*"),"?","~?"))&lt;&gt;1,"Other amount is invalid",IF(J705&lt;&gt;0,"Amount differs","Matched")))))))</x:f>
      </x:c>
      <x:c r="L705" t="str">
        <x:f>IF(COUNTA(A705:F705)=0,"",LEN(A705)&amp;":"&amp;A705&amp;LEN(B705)&amp;":"&amp;B705&amp;LEN(C705)&amp;":"&amp;C705&amp;LEN(D705)&amp;":"&amp;D705)</x:f>
      </x:c>
      <x:c r="M705" t="str">
        <x:f>IF(COUNTA(A705:F705)=0,"",IF(ISNUMBER(E705),1,0))</x:f>
      </x:c>
    </x:row>
    <x:row r="706">
      <x:c r="A706" s="11"/>
      <x:c r="B706" s="11"/>
      <x:c r="C706" s="11"/>
      <x:c r="D706" s="11"/>
      <x:c r="E706" s="12"/>
      <x:c r="F706" s="10"/>
      <x:c r="G706" s="2" t="str">
        <x:f>IF(COUNTA(A706:F706)=0,"",COUNTIFS('App Data'!$L$2:$L$1001,SUBSTITUTE(SUBSTITUTE(SUBSTITUTE(L706,"~","~~"),"*","~*"),"?","~?")))</x:f>
      </x:c>
      <x:c r="H706" s="2" t="str">
        <x:f>IF(COUNTA(A706:F706)=0,"",COUNTIFS('External Data'!$L$2:$L$1001,SUBSTITUTE(SUBSTITUTE(SUBSTITUTE(L706,"~","~~"),"*","~*"),"?","~?")))</x:f>
      </x:c>
      <x:c r="I706" s="13" t="str">
        <x:f>IF(OR(H706&lt;&gt;1,G706&lt;&gt;1),"",SUMIFS('External Data'!$E$2:$E$1001,'External Data'!$L$2:$L$1001,SUBSTITUTE(SUBSTITUTE(SUBSTITUTE(L706,"~","~~"),"*","~*"),"?","~?")))</x:f>
      </x:c>
      <x:c r="J706" s="13" t="str">
        <x:f>IF(OR(NOT(ISNUMBER(E706)),NOT(ISNUMBER(I706))),"",ROUND(E706-I706,2))</x:f>
      </x:c>
      <x:c r="K706" s="2" t="str">
        <x:f>IF(COUNTA(A706:F706)=0,"",IF(OR(A706="",B706="",C706="",D706="",NOT(ISNUMBER(E706))),"Missing / invalid input",IF(G706&gt;1,"Duplicate key in this source",IF(H706=0,"Missing in other source",IF(H706&gt;1,"Duplicate in other source",IF(SUMIFS('External Data'!$M$2:$M$1001,'External Data'!$L$2:$L$1001,SUBSTITUTE(SUBSTITUTE(SUBSTITUTE(L706,"~","~~"),"*","~*"),"?","~?"))&lt;&gt;1,"Other amount is invalid",IF(J706&lt;&gt;0,"Amount differs","Matched")))))))</x:f>
      </x:c>
      <x:c r="L706" t="str">
        <x:f>IF(COUNTA(A706:F706)=0,"",LEN(A706)&amp;":"&amp;A706&amp;LEN(B706)&amp;":"&amp;B706&amp;LEN(C706)&amp;":"&amp;C706&amp;LEN(D706)&amp;":"&amp;D706)</x:f>
      </x:c>
      <x:c r="M706" t="str">
        <x:f>IF(COUNTA(A706:F706)=0,"",IF(ISNUMBER(E706),1,0))</x:f>
      </x:c>
    </x:row>
    <x:row r="707">
      <x:c r="A707" s="11"/>
      <x:c r="B707" s="11"/>
      <x:c r="C707" s="11"/>
      <x:c r="D707" s="11"/>
      <x:c r="E707" s="12"/>
      <x:c r="F707" s="10"/>
      <x:c r="G707" s="2" t="str">
        <x:f>IF(COUNTA(A707:F707)=0,"",COUNTIFS('App Data'!$L$2:$L$1001,SUBSTITUTE(SUBSTITUTE(SUBSTITUTE(L707,"~","~~"),"*","~*"),"?","~?")))</x:f>
      </x:c>
      <x:c r="H707" s="2" t="str">
        <x:f>IF(COUNTA(A707:F707)=0,"",COUNTIFS('External Data'!$L$2:$L$1001,SUBSTITUTE(SUBSTITUTE(SUBSTITUTE(L707,"~","~~"),"*","~*"),"?","~?")))</x:f>
      </x:c>
      <x:c r="I707" s="13" t="str">
        <x:f>IF(OR(H707&lt;&gt;1,G707&lt;&gt;1),"",SUMIFS('External Data'!$E$2:$E$1001,'External Data'!$L$2:$L$1001,SUBSTITUTE(SUBSTITUTE(SUBSTITUTE(L707,"~","~~"),"*","~*"),"?","~?")))</x:f>
      </x:c>
      <x:c r="J707" s="13" t="str">
        <x:f>IF(OR(NOT(ISNUMBER(E707)),NOT(ISNUMBER(I707))),"",ROUND(E707-I707,2))</x:f>
      </x:c>
      <x:c r="K707" s="2" t="str">
        <x:f>IF(COUNTA(A707:F707)=0,"",IF(OR(A707="",B707="",C707="",D707="",NOT(ISNUMBER(E707))),"Missing / invalid input",IF(G707&gt;1,"Duplicate key in this source",IF(H707=0,"Missing in other source",IF(H707&gt;1,"Duplicate in other source",IF(SUMIFS('External Data'!$M$2:$M$1001,'External Data'!$L$2:$L$1001,SUBSTITUTE(SUBSTITUTE(SUBSTITUTE(L707,"~","~~"),"*","~*"),"?","~?"))&lt;&gt;1,"Other amount is invalid",IF(J707&lt;&gt;0,"Amount differs","Matched")))))))</x:f>
      </x:c>
      <x:c r="L707" t="str">
        <x:f>IF(COUNTA(A707:F707)=0,"",LEN(A707)&amp;":"&amp;A707&amp;LEN(B707)&amp;":"&amp;B707&amp;LEN(C707)&amp;":"&amp;C707&amp;LEN(D707)&amp;":"&amp;D707)</x:f>
      </x:c>
      <x:c r="M707" t="str">
        <x:f>IF(COUNTA(A707:F707)=0,"",IF(ISNUMBER(E707),1,0))</x:f>
      </x:c>
    </x:row>
    <x:row r="708">
      <x:c r="A708" s="11"/>
      <x:c r="B708" s="11"/>
      <x:c r="C708" s="11"/>
      <x:c r="D708" s="11"/>
      <x:c r="E708" s="12"/>
      <x:c r="F708" s="10"/>
      <x:c r="G708" s="2" t="str">
        <x:f>IF(COUNTA(A708:F708)=0,"",COUNTIFS('App Data'!$L$2:$L$1001,SUBSTITUTE(SUBSTITUTE(SUBSTITUTE(L708,"~","~~"),"*","~*"),"?","~?")))</x:f>
      </x:c>
      <x:c r="H708" s="2" t="str">
        <x:f>IF(COUNTA(A708:F708)=0,"",COUNTIFS('External Data'!$L$2:$L$1001,SUBSTITUTE(SUBSTITUTE(SUBSTITUTE(L708,"~","~~"),"*","~*"),"?","~?")))</x:f>
      </x:c>
      <x:c r="I708" s="13" t="str">
        <x:f>IF(OR(H708&lt;&gt;1,G708&lt;&gt;1),"",SUMIFS('External Data'!$E$2:$E$1001,'External Data'!$L$2:$L$1001,SUBSTITUTE(SUBSTITUTE(SUBSTITUTE(L708,"~","~~"),"*","~*"),"?","~?")))</x:f>
      </x:c>
      <x:c r="J708" s="13" t="str">
        <x:f>IF(OR(NOT(ISNUMBER(E708)),NOT(ISNUMBER(I708))),"",ROUND(E708-I708,2))</x:f>
      </x:c>
      <x:c r="K708" s="2" t="str">
        <x:f>IF(COUNTA(A708:F708)=0,"",IF(OR(A708="",B708="",C708="",D708="",NOT(ISNUMBER(E708))),"Missing / invalid input",IF(G708&gt;1,"Duplicate key in this source",IF(H708=0,"Missing in other source",IF(H708&gt;1,"Duplicate in other source",IF(SUMIFS('External Data'!$M$2:$M$1001,'External Data'!$L$2:$L$1001,SUBSTITUTE(SUBSTITUTE(SUBSTITUTE(L708,"~","~~"),"*","~*"),"?","~?"))&lt;&gt;1,"Other amount is invalid",IF(J708&lt;&gt;0,"Amount differs","Matched")))))))</x:f>
      </x:c>
      <x:c r="L708" t="str">
        <x:f>IF(COUNTA(A708:F708)=0,"",LEN(A708)&amp;":"&amp;A708&amp;LEN(B708)&amp;":"&amp;B708&amp;LEN(C708)&amp;":"&amp;C708&amp;LEN(D708)&amp;":"&amp;D708)</x:f>
      </x:c>
      <x:c r="M708" t="str">
        <x:f>IF(COUNTA(A708:F708)=0,"",IF(ISNUMBER(E708),1,0))</x:f>
      </x:c>
    </x:row>
    <x:row r="709">
      <x:c r="A709" s="11"/>
      <x:c r="B709" s="11"/>
      <x:c r="C709" s="11"/>
      <x:c r="D709" s="11"/>
      <x:c r="E709" s="12"/>
      <x:c r="F709" s="10"/>
      <x:c r="G709" s="2" t="str">
        <x:f>IF(COUNTA(A709:F709)=0,"",COUNTIFS('App Data'!$L$2:$L$1001,SUBSTITUTE(SUBSTITUTE(SUBSTITUTE(L709,"~","~~"),"*","~*"),"?","~?")))</x:f>
      </x:c>
      <x:c r="H709" s="2" t="str">
        <x:f>IF(COUNTA(A709:F709)=0,"",COUNTIFS('External Data'!$L$2:$L$1001,SUBSTITUTE(SUBSTITUTE(SUBSTITUTE(L709,"~","~~"),"*","~*"),"?","~?")))</x:f>
      </x:c>
      <x:c r="I709" s="13" t="str">
        <x:f>IF(OR(H709&lt;&gt;1,G709&lt;&gt;1),"",SUMIFS('External Data'!$E$2:$E$1001,'External Data'!$L$2:$L$1001,SUBSTITUTE(SUBSTITUTE(SUBSTITUTE(L709,"~","~~"),"*","~*"),"?","~?")))</x:f>
      </x:c>
      <x:c r="J709" s="13" t="str">
        <x:f>IF(OR(NOT(ISNUMBER(E709)),NOT(ISNUMBER(I709))),"",ROUND(E709-I709,2))</x:f>
      </x:c>
      <x:c r="K709" s="2" t="str">
        <x:f>IF(COUNTA(A709:F709)=0,"",IF(OR(A709="",B709="",C709="",D709="",NOT(ISNUMBER(E709))),"Missing / invalid input",IF(G709&gt;1,"Duplicate key in this source",IF(H709=0,"Missing in other source",IF(H709&gt;1,"Duplicate in other source",IF(SUMIFS('External Data'!$M$2:$M$1001,'External Data'!$L$2:$L$1001,SUBSTITUTE(SUBSTITUTE(SUBSTITUTE(L709,"~","~~"),"*","~*"),"?","~?"))&lt;&gt;1,"Other amount is invalid",IF(J709&lt;&gt;0,"Amount differs","Matched")))))))</x:f>
      </x:c>
      <x:c r="L709" t="str">
        <x:f>IF(COUNTA(A709:F709)=0,"",LEN(A709)&amp;":"&amp;A709&amp;LEN(B709)&amp;":"&amp;B709&amp;LEN(C709)&amp;":"&amp;C709&amp;LEN(D709)&amp;":"&amp;D709)</x:f>
      </x:c>
      <x:c r="M709" t="str">
        <x:f>IF(COUNTA(A709:F709)=0,"",IF(ISNUMBER(E709),1,0))</x:f>
      </x:c>
    </x:row>
    <x:row r="710">
      <x:c r="A710" s="11"/>
      <x:c r="B710" s="11"/>
      <x:c r="C710" s="11"/>
      <x:c r="D710" s="11"/>
      <x:c r="E710" s="12"/>
      <x:c r="F710" s="10"/>
      <x:c r="G710" s="2" t="str">
        <x:f>IF(COUNTA(A710:F710)=0,"",COUNTIFS('App Data'!$L$2:$L$1001,SUBSTITUTE(SUBSTITUTE(SUBSTITUTE(L710,"~","~~"),"*","~*"),"?","~?")))</x:f>
      </x:c>
      <x:c r="H710" s="2" t="str">
        <x:f>IF(COUNTA(A710:F710)=0,"",COUNTIFS('External Data'!$L$2:$L$1001,SUBSTITUTE(SUBSTITUTE(SUBSTITUTE(L710,"~","~~"),"*","~*"),"?","~?")))</x:f>
      </x:c>
      <x:c r="I710" s="13" t="str">
        <x:f>IF(OR(H710&lt;&gt;1,G710&lt;&gt;1),"",SUMIFS('External Data'!$E$2:$E$1001,'External Data'!$L$2:$L$1001,SUBSTITUTE(SUBSTITUTE(SUBSTITUTE(L710,"~","~~"),"*","~*"),"?","~?")))</x:f>
      </x:c>
      <x:c r="J710" s="13" t="str">
        <x:f>IF(OR(NOT(ISNUMBER(E710)),NOT(ISNUMBER(I710))),"",ROUND(E710-I710,2))</x:f>
      </x:c>
      <x:c r="K710" s="2" t="str">
        <x:f>IF(COUNTA(A710:F710)=0,"",IF(OR(A710="",B710="",C710="",D710="",NOT(ISNUMBER(E710))),"Missing / invalid input",IF(G710&gt;1,"Duplicate key in this source",IF(H710=0,"Missing in other source",IF(H710&gt;1,"Duplicate in other source",IF(SUMIFS('External Data'!$M$2:$M$1001,'External Data'!$L$2:$L$1001,SUBSTITUTE(SUBSTITUTE(SUBSTITUTE(L710,"~","~~"),"*","~*"),"?","~?"))&lt;&gt;1,"Other amount is invalid",IF(J710&lt;&gt;0,"Amount differs","Matched")))))))</x:f>
      </x:c>
      <x:c r="L710" t="str">
        <x:f>IF(COUNTA(A710:F710)=0,"",LEN(A710)&amp;":"&amp;A710&amp;LEN(B710)&amp;":"&amp;B710&amp;LEN(C710)&amp;":"&amp;C710&amp;LEN(D710)&amp;":"&amp;D710)</x:f>
      </x:c>
      <x:c r="M710" t="str">
        <x:f>IF(COUNTA(A710:F710)=0,"",IF(ISNUMBER(E710),1,0))</x:f>
      </x:c>
    </x:row>
    <x:row r="711">
      <x:c r="A711" s="11"/>
      <x:c r="B711" s="11"/>
      <x:c r="C711" s="11"/>
      <x:c r="D711" s="11"/>
      <x:c r="E711" s="12"/>
      <x:c r="F711" s="10"/>
      <x:c r="G711" s="2" t="str">
        <x:f>IF(COUNTA(A711:F711)=0,"",COUNTIFS('App Data'!$L$2:$L$1001,SUBSTITUTE(SUBSTITUTE(SUBSTITUTE(L711,"~","~~"),"*","~*"),"?","~?")))</x:f>
      </x:c>
      <x:c r="H711" s="2" t="str">
        <x:f>IF(COUNTA(A711:F711)=0,"",COUNTIFS('External Data'!$L$2:$L$1001,SUBSTITUTE(SUBSTITUTE(SUBSTITUTE(L711,"~","~~"),"*","~*"),"?","~?")))</x:f>
      </x:c>
      <x:c r="I711" s="13" t="str">
        <x:f>IF(OR(H711&lt;&gt;1,G711&lt;&gt;1),"",SUMIFS('External Data'!$E$2:$E$1001,'External Data'!$L$2:$L$1001,SUBSTITUTE(SUBSTITUTE(SUBSTITUTE(L711,"~","~~"),"*","~*"),"?","~?")))</x:f>
      </x:c>
      <x:c r="J711" s="13" t="str">
        <x:f>IF(OR(NOT(ISNUMBER(E711)),NOT(ISNUMBER(I711))),"",ROUND(E711-I711,2))</x:f>
      </x:c>
      <x:c r="K711" s="2" t="str">
        <x:f>IF(COUNTA(A711:F711)=0,"",IF(OR(A711="",B711="",C711="",D711="",NOT(ISNUMBER(E711))),"Missing / invalid input",IF(G711&gt;1,"Duplicate key in this source",IF(H711=0,"Missing in other source",IF(H711&gt;1,"Duplicate in other source",IF(SUMIFS('External Data'!$M$2:$M$1001,'External Data'!$L$2:$L$1001,SUBSTITUTE(SUBSTITUTE(SUBSTITUTE(L711,"~","~~"),"*","~*"),"?","~?"))&lt;&gt;1,"Other amount is invalid",IF(J711&lt;&gt;0,"Amount differs","Matched")))))))</x:f>
      </x:c>
      <x:c r="L711" t="str">
        <x:f>IF(COUNTA(A711:F711)=0,"",LEN(A711)&amp;":"&amp;A711&amp;LEN(B711)&amp;":"&amp;B711&amp;LEN(C711)&amp;":"&amp;C711&amp;LEN(D711)&amp;":"&amp;D711)</x:f>
      </x:c>
      <x:c r="M711" t="str">
        <x:f>IF(COUNTA(A711:F711)=0,"",IF(ISNUMBER(E711),1,0))</x:f>
      </x:c>
    </x:row>
    <x:row r="712">
      <x:c r="A712" s="11"/>
      <x:c r="B712" s="11"/>
      <x:c r="C712" s="11"/>
      <x:c r="D712" s="11"/>
      <x:c r="E712" s="12"/>
      <x:c r="F712" s="10"/>
      <x:c r="G712" s="2" t="str">
        <x:f>IF(COUNTA(A712:F712)=0,"",COUNTIFS('App Data'!$L$2:$L$1001,SUBSTITUTE(SUBSTITUTE(SUBSTITUTE(L712,"~","~~"),"*","~*"),"?","~?")))</x:f>
      </x:c>
      <x:c r="H712" s="2" t="str">
        <x:f>IF(COUNTA(A712:F712)=0,"",COUNTIFS('External Data'!$L$2:$L$1001,SUBSTITUTE(SUBSTITUTE(SUBSTITUTE(L712,"~","~~"),"*","~*"),"?","~?")))</x:f>
      </x:c>
      <x:c r="I712" s="13" t="str">
        <x:f>IF(OR(H712&lt;&gt;1,G712&lt;&gt;1),"",SUMIFS('External Data'!$E$2:$E$1001,'External Data'!$L$2:$L$1001,SUBSTITUTE(SUBSTITUTE(SUBSTITUTE(L712,"~","~~"),"*","~*"),"?","~?")))</x:f>
      </x:c>
      <x:c r="J712" s="13" t="str">
        <x:f>IF(OR(NOT(ISNUMBER(E712)),NOT(ISNUMBER(I712))),"",ROUND(E712-I712,2))</x:f>
      </x:c>
      <x:c r="K712" s="2" t="str">
        <x:f>IF(COUNTA(A712:F712)=0,"",IF(OR(A712="",B712="",C712="",D712="",NOT(ISNUMBER(E712))),"Missing / invalid input",IF(G712&gt;1,"Duplicate key in this source",IF(H712=0,"Missing in other source",IF(H712&gt;1,"Duplicate in other source",IF(SUMIFS('External Data'!$M$2:$M$1001,'External Data'!$L$2:$L$1001,SUBSTITUTE(SUBSTITUTE(SUBSTITUTE(L712,"~","~~"),"*","~*"),"?","~?"))&lt;&gt;1,"Other amount is invalid",IF(J712&lt;&gt;0,"Amount differs","Matched")))))))</x:f>
      </x:c>
      <x:c r="L712" t="str">
        <x:f>IF(COUNTA(A712:F712)=0,"",LEN(A712)&amp;":"&amp;A712&amp;LEN(B712)&amp;":"&amp;B712&amp;LEN(C712)&amp;":"&amp;C712&amp;LEN(D712)&amp;":"&amp;D712)</x:f>
      </x:c>
      <x:c r="M712" t="str">
        <x:f>IF(COUNTA(A712:F712)=0,"",IF(ISNUMBER(E712),1,0))</x:f>
      </x:c>
    </x:row>
    <x:row r="713">
      <x:c r="A713" s="11"/>
      <x:c r="B713" s="11"/>
      <x:c r="C713" s="11"/>
      <x:c r="D713" s="11"/>
      <x:c r="E713" s="12"/>
      <x:c r="F713" s="10"/>
      <x:c r="G713" s="2" t="str">
        <x:f>IF(COUNTA(A713:F713)=0,"",COUNTIFS('App Data'!$L$2:$L$1001,SUBSTITUTE(SUBSTITUTE(SUBSTITUTE(L713,"~","~~"),"*","~*"),"?","~?")))</x:f>
      </x:c>
      <x:c r="H713" s="2" t="str">
        <x:f>IF(COUNTA(A713:F713)=0,"",COUNTIFS('External Data'!$L$2:$L$1001,SUBSTITUTE(SUBSTITUTE(SUBSTITUTE(L713,"~","~~"),"*","~*"),"?","~?")))</x:f>
      </x:c>
      <x:c r="I713" s="13" t="str">
        <x:f>IF(OR(H713&lt;&gt;1,G713&lt;&gt;1),"",SUMIFS('External Data'!$E$2:$E$1001,'External Data'!$L$2:$L$1001,SUBSTITUTE(SUBSTITUTE(SUBSTITUTE(L713,"~","~~"),"*","~*"),"?","~?")))</x:f>
      </x:c>
      <x:c r="J713" s="13" t="str">
        <x:f>IF(OR(NOT(ISNUMBER(E713)),NOT(ISNUMBER(I713))),"",ROUND(E713-I713,2))</x:f>
      </x:c>
      <x:c r="K713" s="2" t="str">
        <x:f>IF(COUNTA(A713:F713)=0,"",IF(OR(A713="",B713="",C713="",D713="",NOT(ISNUMBER(E713))),"Missing / invalid input",IF(G713&gt;1,"Duplicate key in this source",IF(H713=0,"Missing in other source",IF(H713&gt;1,"Duplicate in other source",IF(SUMIFS('External Data'!$M$2:$M$1001,'External Data'!$L$2:$L$1001,SUBSTITUTE(SUBSTITUTE(SUBSTITUTE(L713,"~","~~"),"*","~*"),"?","~?"))&lt;&gt;1,"Other amount is invalid",IF(J713&lt;&gt;0,"Amount differs","Matched")))))))</x:f>
      </x:c>
      <x:c r="L713" t="str">
        <x:f>IF(COUNTA(A713:F713)=0,"",LEN(A713)&amp;":"&amp;A713&amp;LEN(B713)&amp;":"&amp;B713&amp;LEN(C713)&amp;":"&amp;C713&amp;LEN(D713)&amp;":"&amp;D713)</x:f>
      </x:c>
      <x:c r="M713" t="str">
        <x:f>IF(COUNTA(A713:F713)=0,"",IF(ISNUMBER(E713),1,0))</x:f>
      </x:c>
    </x:row>
    <x:row r="714">
      <x:c r="A714" s="11"/>
      <x:c r="B714" s="11"/>
      <x:c r="C714" s="11"/>
      <x:c r="D714" s="11"/>
      <x:c r="E714" s="12"/>
      <x:c r="F714" s="10"/>
      <x:c r="G714" s="2" t="str">
        <x:f>IF(COUNTA(A714:F714)=0,"",COUNTIFS('App Data'!$L$2:$L$1001,SUBSTITUTE(SUBSTITUTE(SUBSTITUTE(L714,"~","~~"),"*","~*"),"?","~?")))</x:f>
      </x:c>
      <x:c r="H714" s="2" t="str">
        <x:f>IF(COUNTA(A714:F714)=0,"",COUNTIFS('External Data'!$L$2:$L$1001,SUBSTITUTE(SUBSTITUTE(SUBSTITUTE(L714,"~","~~"),"*","~*"),"?","~?")))</x:f>
      </x:c>
      <x:c r="I714" s="13" t="str">
        <x:f>IF(OR(H714&lt;&gt;1,G714&lt;&gt;1),"",SUMIFS('External Data'!$E$2:$E$1001,'External Data'!$L$2:$L$1001,SUBSTITUTE(SUBSTITUTE(SUBSTITUTE(L714,"~","~~"),"*","~*"),"?","~?")))</x:f>
      </x:c>
      <x:c r="J714" s="13" t="str">
        <x:f>IF(OR(NOT(ISNUMBER(E714)),NOT(ISNUMBER(I714))),"",ROUND(E714-I714,2))</x:f>
      </x:c>
      <x:c r="K714" s="2" t="str">
        <x:f>IF(COUNTA(A714:F714)=0,"",IF(OR(A714="",B714="",C714="",D714="",NOT(ISNUMBER(E714))),"Missing / invalid input",IF(G714&gt;1,"Duplicate key in this source",IF(H714=0,"Missing in other source",IF(H714&gt;1,"Duplicate in other source",IF(SUMIFS('External Data'!$M$2:$M$1001,'External Data'!$L$2:$L$1001,SUBSTITUTE(SUBSTITUTE(SUBSTITUTE(L714,"~","~~"),"*","~*"),"?","~?"))&lt;&gt;1,"Other amount is invalid",IF(J714&lt;&gt;0,"Amount differs","Matched")))))))</x:f>
      </x:c>
      <x:c r="L714" t="str">
        <x:f>IF(COUNTA(A714:F714)=0,"",LEN(A714)&amp;":"&amp;A714&amp;LEN(B714)&amp;":"&amp;B714&amp;LEN(C714)&amp;":"&amp;C714&amp;LEN(D714)&amp;":"&amp;D714)</x:f>
      </x:c>
      <x:c r="M714" t="str">
        <x:f>IF(COUNTA(A714:F714)=0,"",IF(ISNUMBER(E714),1,0))</x:f>
      </x:c>
    </x:row>
    <x:row r="715">
      <x:c r="A715" s="11"/>
      <x:c r="B715" s="11"/>
      <x:c r="C715" s="11"/>
      <x:c r="D715" s="11"/>
      <x:c r="E715" s="12"/>
      <x:c r="F715" s="10"/>
      <x:c r="G715" s="2" t="str">
        <x:f>IF(COUNTA(A715:F715)=0,"",COUNTIFS('App Data'!$L$2:$L$1001,SUBSTITUTE(SUBSTITUTE(SUBSTITUTE(L715,"~","~~"),"*","~*"),"?","~?")))</x:f>
      </x:c>
      <x:c r="H715" s="2" t="str">
        <x:f>IF(COUNTA(A715:F715)=0,"",COUNTIFS('External Data'!$L$2:$L$1001,SUBSTITUTE(SUBSTITUTE(SUBSTITUTE(L715,"~","~~"),"*","~*"),"?","~?")))</x:f>
      </x:c>
      <x:c r="I715" s="13" t="str">
        <x:f>IF(OR(H715&lt;&gt;1,G715&lt;&gt;1),"",SUMIFS('External Data'!$E$2:$E$1001,'External Data'!$L$2:$L$1001,SUBSTITUTE(SUBSTITUTE(SUBSTITUTE(L715,"~","~~"),"*","~*"),"?","~?")))</x:f>
      </x:c>
      <x:c r="J715" s="13" t="str">
        <x:f>IF(OR(NOT(ISNUMBER(E715)),NOT(ISNUMBER(I715))),"",ROUND(E715-I715,2))</x:f>
      </x:c>
      <x:c r="K715" s="2" t="str">
        <x:f>IF(COUNTA(A715:F715)=0,"",IF(OR(A715="",B715="",C715="",D715="",NOT(ISNUMBER(E715))),"Missing / invalid input",IF(G715&gt;1,"Duplicate key in this source",IF(H715=0,"Missing in other source",IF(H715&gt;1,"Duplicate in other source",IF(SUMIFS('External Data'!$M$2:$M$1001,'External Data'!$L$2:$L$1001,SUBSTITUTE(SUBSTITUTE(SUBSTITUTE(L715,"~","~~"),"*","~*"),"?","~?"))&lt;&gt;1,"Other amount is invalid",IF(J715&lt;&gt;0,"Amount differs","Matched")))))))</x:f>
      </x:c>
      <x:c r="L715" t="str">
        <x:f>IF(COUNTA(A715:F715)=0,"",LEN(A715)&amp;":"&amp;A715&amp;LEN(B715)&amp;":"&amp;B715&amp;LEN(C715)&amp;":"&amp;C715&amp;LEN(D715)&amp;":"&amp;D715)</x:f>
      </x:c>
      <x:c r="M715" t="str">
        <x:f>IF(COUNTA(A715:F715)=0,"",IF(ISNUMBER(E715),1,0))</x:f>
      </x:c>
    </x:row>
    <x:row r="716">
      <x:c r="A716" s="11"/>
      <x:c r="B716" s="11"/>
      <x:c r="C716" s="11"/>
      <x:c r="D716" s="11"/>
      <x:c r="E716" s="12"/>
      <x:c r="F716" s="10"/>
      <x:c r="G716" s="2" t="str">
        <x:f>IF(COUNTA(A716:F716)=0,"",COUNTIFS('App Data'!$L$2:$L$1001,SUBSTITUTE(SUBSTITUTE(SUBSTITUTE(L716,"~","~~"),"*","~*"),"?","~?")))</x:f>
      </x:c>
      <x:c r="H716" s="2" t="str">
        <x:f>IF(COUNTA(A716:F716)=0,"",COUNTIFS('External Data'!$L$2:$L$1001,SUBSTITUTE(SUBSTITUTE(SUBSTITUTE(L716,"~","~~"),"*","~*"),"?","~?")))</x:f>
      </x:c>
      <x:c r="I716" s="13" t="str">
        <x:f>IF(OR(H716&lt;&gt;1,G716&lt;&gt;1),"",SUMIFS('External Data'!$E$2:$E$1001,'External Data'!$L$2:$L$1001,SUBSTITUTE(SUBSTITUTE(SUBSTITUTE(L716,"~","~~"),"*","~*"),"?","~?")))</x:f>
      </x:c>
      <x:c r="J716" s="13" t="str">
        <x:f>IF(OR(NOT(ISNUMBER(E716)),NOT(ISNUMBER(I716))),"",ROUND(E716-I716,2))</x:f>
      </x:c>
      <x:c r="K716" s="2" t="str">
        <x:f>IF(COUNTA(A716:F716)=0,"",IF(OR(A716="",B716="",C716="",D716="",NOT(ISNUMBER(E716))),"Missing / invalid input",IF(G716&gt;1,"Duplicate key in this source",IF(H716=0,"Missing in other source",IF(H716&gt;1,"Duplicate in other source",IF(SUMIFS('External Data'!$M$2:$M$1001,'External Data'!$L$2:$L$1001,SUBSTITUTE(SUBSTITUTE(SUBSTITUTE(L716,"~","~~"),"*","~*"),"?","~?"))&lt;&gt;1,"Other amount is invalid",IF(J716&lt;&gt;0,"Amount differs","Matched")))))))</x:f>
      </x:c>
      <x:c r="L716" t="str">
        <x:f>IF(COUNTA(A716:F716)=0,"",LEN(A716)&amp;":"&amp;A716&amp;LEN(B716)&amp;":"&amp;B716&amp;LEN(C716)&amp;":"&amp;C716&amp;LEN(D716)&amp;":"&amp;D716)</x:f>
      </x:c>
      <x:c r="M716" t="str">
        <x:f>IF(COUNTA(A716:F716)=0,"",IF(ISNUMBER(E716),1,0))</x:f>
      </x:c>
    </x:row>
    <x:row r="717">
      <x:c r="A717" s="11"/>
      <x:c r="B717" s="11"/>
      <x:c r="C717" s="11"/>
      <x:c r="D717" s="11"/>
      <x:c r="E717" s="12"/>
      <x:c r="F717" s="10"/>
      <x:c r="G717" s="2" t="str">
        <x:f>IF(COUNTA(A717:F717)=0,"",COUNTIFS('App Data'!$L$2:$L$1001,SUBSTITUTE(SUBSTITUTE(SUBSTITUTE(L717,"~","~~"),"*","~*"),"?","~?")))</x:f>
      </x:c>
      <x:c r="H717" s="2" t="str">
        <x:f>IF(COUNTA(A717:F717)=0,"",COUNTIFS('External Data'!$L$2:$L$1001,SUBSTITUTE(SUBSTITUTE(SUBSTITUTE(L717,"~","~~"),"*","~*"),"?","~?")))</x:f>
      </x:c>
      <x:c r="I717" s="13" t="str">
        <x:f>IF(OR(H717&lt;&gt;1,G717&lt;&gt;1),"",SUMIFS('External Data'!$E$2:$E$1001,'External Data'!$L$2:$L$1001,SUBSTITUTE(SUBSTITUTE(SUBSTITUTE(L717,"~","~~"),"*","~*"),"?","~?")))</x:f>
      </x:c>
      <x:c r="J717" s="13" t="str">
        <x:f>IF(OR(NOT(ISNUMBER(E717)),NOT(ISNUMBER(I717))),"",ROUND(E717-I717,2))</x:f>
      </x:c>
      <x:c r="K717" s="2" t="str">
        <x:f>IF(COUNTA(A717:F717)=0,"",IF(OR(A717="",B717="",C717="",D717="",NOT(ISNUMBER(E717))),"Missing / invalid input",IF(G717&gt;1,"Duplicate key in this source",IF(H717=0,"Missing in other source",IF(H717&gt;1,"Duplicate in other source",IF(SUMIFS('External Data'!$M$2:$M$1001,'External Data'!$L$2:$L$1001,SUBSTITUTE(SUBSTITUTE(SUBSTITUTE(L717,"~","~~"),"*","~*"),"?","~?"))&lt;&gt;1,"Other amount is invalid",IF(J717&lt;&gt;0,"Amount differs","Matched")))))))</x:f>
      </x:c>
      <x:c r="L717" t="str">
        <x:f>IF(COUNTA(A717:F717)=0,"",LEN(A717)&amp;":"&amp;A717&amp;LEN(B717)&amp;":"&amp;B717&amp;LEN(C717)&amp;":"&amp;C717&amp;LEN(D717)&amp;":"&amp;D717)</x:f>
      </x:c>
      <x:c r="M717" t="str">
        <x:f>IF(COUNTA(A717:F717)=0,"",IF(ISNUMBER(E717),1,0))</x:f>
      </x:c>
    </x:row>
    <x:row r="718">
      <x:c r="A718" s="11"/>
      <x:c r="B718" s="11"/>
      <x:c r="C718" s="11"/>
      <x:c r="D718" s="11"/>
      <x:c r="E718" s="12"/>
      <x:c r="F718" s="10"/>
      <x:c r="G718" s="2" t="str">
        <x:f>IF(COUNTA(A718:F718)=0,"",COUNTIFS('App Data'!$L$2:$L$1001,SUBSTITUTE(SUBSTITUTE(SUBSTITUTE(L718,"~","~~"),"*","~*"),"?","~?")))</x:f>
      </x:c>
      <x:c r="H718" s="2" t="str">
        <x:f>IF(COUNTA(A718:F718)=0,"",COUNTIFS('External Data'!$L$2:$L$1001,SUBSTITUTE(SUBSTITUTE(SUBSTITUTE(L718,"~","~~"),"*","~*"),"?","~?")))</x:f>
      </x:c>
      <x:c r="I718" s="13" t="str">
        <x:f>IF(OR(H718&lt;&gt;1,G718&lt;&gt;1),"",SUMIFS('External Data'!$E$2:$E$1001,'External Data'!$L$2:$L$1001,SUBSTITUTE(SUBSTITUTE(SUBSTITUTE(L718,"~","~~"),"*","~*"),"?","~?")))</x:f>
      </x:c>
      <x:c r="J718" s="13" t="str">
        <x:f>IF(OR(NOT(ISNUMBER(E718)),NOT(ISNUMBER(I718))),"",ROUND(E718-I718,2))</x:f>
      </x:c>
      <x:c r="K718" s="2" t="str">
        <x:f>IF(COUNTA(A718:F718)=0,"",IF(OR(A718="",B718="",C718="",D718="",NOT(ISNUMBER(E718))),"Missing / invalid input",IF(G718&gt;1,"Duplicate key in this source",IF(H718=0,"Missing in other source",IF(H718&gt;1,"Duplicate in other source",IF(SUMIFS('External Data'!$M$2:$M$1001,'External Data'!$L$2:$L$1001,SUBSTITUTE(SUBSTITUTE(SUBSTITUTE(L718,"~","~~"),"*","~*"),"?","~?"))&lt;&gt;1,"Other amount is invalid",IF(J718&lt;&gt;0,"Amount differs","Matched")))))))</x:f>
      </x:c>
      <x:c r="L718" t="str">
        <x:f>IF(COUNTA(A718:F718)=0,"",LEN(A718)&amp;":"&amp;A718&amp;LEN(B718)&amp;":"&amp;B718&amp;LEN(C718)&amp;":"&amp;C718&amp;LEN(D718)&amp;":"&amp;D718)</x:f>
      </x:c>
      <x:c r="M718" t="str">
        <x:f>IF(COUNTA(A718:F718)=0,"",IF(ISNUMBER(E718),1,0))</x:f>
      </x:c>
    </x:row>
    <x:row r="719">
      <x:c r="A719" s="11"/>
      <x:c r="B719" s="11"/>
      <x:c r="C719" s="11"/>
      <x:c r="D719" s="11"/>
      <x:c r="E719" s="12"/>
      <x:c r="F719" s="10"/>
      <x:c r="G719" s="2" t="str">
        <x:f>IF(COUNTA(A719:F719)=0,"",COUNTIFS('App Data'!$L$2:$L$1001,SUBSTITUTE(SUBSTITUTE(SUBSTITUTE(L719,"~","~~"),"*","~*"),"?","~?")))</x:f>
      </x:c>
      <x:c r="H719" s="2" t="str">
        <x:f>IF(COUNTA(A719:F719)=0,"",COUNTIFS('External Data'!$L$2:$L$1001,SUBSTITUTE(SUBSTITUTE(SUBSTITUTE(L719,"~","~~"),"*","~*"),"?","~?")))</x:f>
      </x:c>
      <x:c r="I719" s="13" t="str">
        <x:f>IF(OR(H719&lt;&gt;1,G719&lt;&gt;1),"",SUMIFS('External Data'!$E$2:$E$1001,'External Data'!$L$2:$L$1001,SUBSTITUTE(SUBSTITUTE(SUBSTITUTE(L719,"~","~~"),"*","~*"),"?","~?")))</x:f>
      </x:c>
      <x:c r="J719" s="13" t="str">
        <x:f>IF(OR(NOT(ISNUMBER(E719)),NOT(ISNUMBER(I719))),"",ROUND(E719-I719,2))</x:f>
      </x:c>
      <x:c r="K719" s="2" t="str">
        <x:f>IF(COUNTA(A719:F719)=0,"",IF(OR(A719="",B719="",C719="",D719="",NOT(ISNUMBER(E719))),"Missing / invalid input",IF(G719&gt;1,"Duplicate key in this source",IF(H719=0,"Missing in other source",IF(H719&gt;1,"Duplicate in other source",IF(SUMIFS('External Data'!$M$2:$M$1001,'External Data'!$L$2:$L$1001,SUBSTITUTE(SUBSTITUTE(SUBSTITUTE(L719,"~","~~"),"*","~*"),"?","~?"))&lt;&gt;1,"Other amount is invalid",IF(J719&lt;&gt;0,"Amount differs","Matched")))))))</x:f>
      </x:c>
      <x:c r="L719" t="str">
        <x:f>IF(COUNTA(A719:F719)=0,"",LEN(A719)&amp;":"&amp;A719&amp;LEN(B719)&amp;":"&amp;B719&amp;LEN(C719)&amp;":"&amp;C719&amp;LEN(D719)&amp;":"&amp;D719)</x:f>
      </x:c>
      <x:c r="M719" t="str">
        <x:f>IF(COUNTA(A719:F719)=0,"",IF(ISNUMBER(E719),1,0))</x:f>
      </x:c>
    </x:row>
    <x:row r="720">
      <x:c r="A720" s="11"/>
      <x:c r="B720" s="11"/>
      <x:c r="C720" s="11"/>
      <x:c r="D720" s="11"/>
      <x:c r="E720" s="12"/>
      <x:c r="F720" s="10"/>
      <x:c r="G720" s="2" t="str">
        <x:f>IF(COUNTA(A720:F720)=0,"",COUNTIFS('App Data'!$L$2:$L$1001,SUBSTITUTE(SUBSTITUTE(SUBSTITUTE(L720,"~","~~"),"*","~*"),"?","~?")))</x:f>
      </x:c>
      <x:c r="H720" s="2" t="str">
        <x:f>IF(COUNTA(A720:F720)=0,"",COUNTIFS('External Data'!$L$2:$L$1001,SUBSTITUTE(SUBSTITUTE(SUBSTITUTE(L720,"~","~~"),"*","~*"),"?","~?")))</x:f>
      </x:c>
      <x:c r="I720" s="13" t="str">
        <x:f>IF(OR(H720&lt;&gt;1,G720&lt;&gt;1),"",SUMIFS('External Data'!$E$2:$E$1001,'External Data'!$L$2:$L$1001,SUBSTITUTE(SUBSTITUTE(SUBSTITUTE(L720,"~","~~"),"*","~*"),"?","~?")))</x:f>
      </x:c>
      <x:c r="J720" s="13" t="str">
        <x:f>IF(OR(NOT(ISNUMBER(E720)),NOT(ISNUMBER(I720))),"",ROUND(E720-I720,2))</x:f>
      </x:c>
      <x:c r="K720" s="2" t="str">
        <x:f>IF(COUNTA(A720:F720)=0,"",IF(OR(A720="",B720="",C720="",D720="",NOT(ISNUMBER(E720))),"Missing / invalid input",IF(G720&gt;1,"Duplicate key in this source",IF(H720=0,"Missing in other source",IF(H720&gt;1,"Duplicate in other source",IF(SUMIFS('External Data'!$M$2:$M$1001,'External Data'!$L$2:$L$1001,SUBSTITUTE(SUBSTITUTE(SUBSTITUTE(L720,"~","~~"),"*","~*"),"?","~?"))&lt;&gt;1,"Other amount is invalid",IF(J720&lt;&gt;0,"Amount differs","Matched")))))))</x:f>
      </x:c>
      <x:c r="L720" t="str">
        <x:f>IF(COUNTA(A720:F720)=0,"",LEN(A720)&amp;":"&amp;A720&amp;LEN(B720)&amp;":"&amp;B720&amp;LEN(C720)&amp;":"&amp;C720&amp;LEN(D720)&amp;":"&amp;D720)</x:f>
      </x:c>
      <x:c r="M720" t="str">
        <x:f>IF(COUNTA(A720:F720)=0,"",IF(ISNUMBER(E720),1,0))</x:f>
      </x:c>
    </x:row>
    <x:row r="721">
      <x:c r="A721" s="11"/>
      <x:c r="B721" s="11"/>
      <x:c r="C721" s="11"/>
      <x:c r="D721" s="11"/>
      <x:c r="E721" s="12"/>
      <x:c r="F721" s="10"/>
      <x:c r="G721" s="2" t="str">
        <x:f>IF(COUNTA(A721:F721)=0,"",COUNTIFS('App Data'!$L$2:$L$1001,SUBSTITUTE(SUBSTITUTE(SUBSTITUTE(L721,"~","~~"),"*","~*"),"?","~?")))</x:f>
      </x:c>
      <x:c r="H721" s="2" t="str">
        <x:f>IF(COUNTA(A721:F721)=0,"",COUNTIFS('External Data'!$L$2:$L$1001,SUBSTITUTE(SUBSTITUTE(SUBSTITUTE(L721,"~","~~"),"*","~*"),"?","~?")))</x:f>
      </x:c>
      <x:c r="I721" s="13" t="str">
        <x:f>IF(OR(H721&lt;&gt;1,G721&lt;&gt;1),"",SUMIFS('External Data'!$E$2:$E$1001,'External Data'!$L$2:$L$1001,SUBSTITUTE(SUBSTITUTE(SUBSTITUTE(L721,"~","~~"),"*","~*"),"?","~?")))</x:f>
      </x:c>
      <x:c r="J721" s="13" t="str">
        <x:f>IF(OR(NOT(ISNUMBER(E721)),NOT(ISNUMBER(I721))),"",ROUND(E721-I721,2))</x:f>
      </x:c>
      <x:c r="K721" s="2" t="str">
        <x:f>IF(COUNTA(A721:F721)=0,"",IF(OR(A721="",B721="",C721="",D721="",NOT(ISNUMBER(E721))),"Missing / invalid input",IF(G721&gt;1,"Duplicate key in this source",IF(H721=0,"Missing in other source",IF(H721&gt;1,"Duplicate in other source",IF(SUMIFS('External Data'!$M$2:$M$1001,'External Data'!$L$2:$L$1001,SUBSTITUTE(SUBSTITUTE(SUBSTITUTE(L721,"~","~~"),"*","~*"),"?","~?"))&lt;&gt;1,"Other amount is invalid",IF(J721&lt;&gt;0,"Amount differs","Matched")))))))</x:f>
      </x:c>
      <x:c r="L721" t="str">
        <x:f>IF(COUNTA(A721:F721)=0,"",LEN(A721)&amp;":"&amp;A721&amp;LEN(B721)&amp;":"&amp;B721&amp;LEN(C721)&amp;":"&amp;C721&amp;LEN(D721)&amp;":"&amp;D721)</x:f>
      </x:c>
      <x:c r="M721" t="str">
        <x:f>IF(COUNTA(A721:F721)=0,"",IF(ISNUMBER(E721),1,0))</x:f>
      </x:c>
    </x:row>
    <x:row r="722">
      <x:c r="A722" s="11"/>
      <x:c r="B722" s="11"/>
      <x:c r="C722" s="11"/>
      <x:c r="D722" s="11"/>
      <x:c r="E722" s="12"/>
      <x:c r="F722" s="10"/>
      <x:c r="G722" s="2" t="str">
        <x:f>IF(COUNTA(A722:F722)=0,"",COUNTIFS('App Data'!$L$2:$L$1001,SUBSTITUTE(SUBSTITUTE(SUBSTITUTE(L722,"~","~~"),"*","~*"),"?","~?")))</x:f>
      </x:c>
      <x:c r="H722" s="2" t="str">
        <x:f>IF(COUNTA(A722:F722)=0,"",COUNTIFS('External Data'!$L$2:$L$1001,SUBSTITUTE(SUBSTITUTE(SUBSTITUTE(L722,"~","~~"),"*","~*"),"?","~?")))</x:f>
      </x:c>
      <x:c r="I722" s="13" t="str">
        <x:f>IF(OR(H722&lt;&gt;1,G722&lt;&gt;1),"",SUMIFS('External Data'!$E$2:$E$1001,'External Data'!$L$2:$L$1001,SUBSTITUTE(SUBSTITUTE(SUBSTITUTE(L722,"~","~~"),"*","~*"),"?","~?")))</x:f>
      </x:c>
      <x:c r="J722" s="13" t="str">
        <x:f>IF(OR(NOT(ISNUMBER(E722)),NOT(ISNUMBER(I722))),"",ROUND(E722-I722,2))</x:f>
      </x:c>
      <x:c r="K722" s="2" t="str">
        <x:f>IF(COUNTA(A722:F722)=0,"",IF(OR(A722="",B722="",C722="",D722="",NOT(ISNUMBER(E722))),"Missing / invalid input",IF(G722&gt;1,"Duplicate key in this source",IF(H722=0,"Missing in other source",IF(H722&gt;1,"Duplicate in other source",IF(SUMIFS('External Data'!$M$2:$M$1001,'External Data'!$L$2:$L$1001,SUBSTITUTE(SUBSTITUTE(SUBSTITUTE(L722,"~","~~"),"*","~*"),"?","~?"))&lt;&gt;1,"Other amount is invalid",IF(J722&lt;&gt;0,"Amount differs","Matched")))))))</x:f>
      </x:c>
      <x:c r="L722" t="str">
        <x:f>IF(COUNTA(A722:F722)=0,"",LEN(A722)&amp;":"&amp;A722&amp;LEN(B722)&amp;":"&amp;B722&amp;LEN(C722)&amp;":"&amp;C722&amp;LEN(D722)&amp;":"&amp;D722)</x:f>
      </x:c>
      <x:c r="M722" t="str">
        <x:f>IF(COUNTA(A722:F722)=0,"",IF(ISNUMBER(E722),1,0))</x:f>
      </x:c>
    </x:row>
    <x:row r="723">
      <x:c r="A723" s="11"/>
      <x:c r="B723" s="11"/>
      <x:c r="C723" s="11"/>
      <x:c r="D723" s="11"/>
      <x:c r="E723" s="12"/>
      <x:c r="F723" s="10"/>
      <x:c r="G723" s="2" t="str">
        <x:f>IF(COUNTA(A723:F723)=0,"",COUNTIFS('App Data'!$L$2:$L$1001,SUBSTITUTE(SUBSTITUTE(SUBSTITUTE(L723,"~","~~"),"*","~*"),"?","~?")))</x:f>
      </x:c>
      <x:c r="H723" s="2" t="str">
        <x:f>IF(COUNTA(A723:F723)=0,"",COUNTIFS('External Data'!$L$2:$L$1001,SUBSTITUTE(SUBSTITUTE(SUBSTITUTE(L723,"~","~~"),"*","~*"),"?","~?")))</x:f>
      </x:c>
      <x:c r="I723" s="13" t="str">
        <x:f>IF(OR(H723&lt;&gt;1,G723&lt;&gt;1),"",SUMIFS('External Data'!$E$2:$E$1001,'External Data'!$L$2:$L$1001,SUBSTITUTE(SUBSTITUTE(SUBSTITUTE(L723,"~","~~"),"*","~*"),"?","~?")))</x:f>
      </x:c>
      <x:c r="J723" s="13" t="str">
        <x:f>IF(OR(NOT(ISNUMBER(E723)),NOT(ISNUMBER(I723))),"",ROUND(E723-I723,2))</x:f>
      </x:c>
      <x:c r="K723" s="2" t="str">
        <x:f>IF(COUNTA(A723:F723)=0,"",IF(OR(A723="",B723="",C723="",D723="",NOT(ISNUMBER(E723))),"Missing / invalid input",IF(G723&gt;1,"Duplicate key in this source",IF(H723=0,"Missing in other source",IF(H723&gt;1,"Duplicate in other source",IF(SUMIFS('External Data'!$M$2:$M$1001,'External Data'!$L$2:$L$1001,SUBSTITUTE(SUBSTITUTE(SUBSTITUTE(L723,"~","~~"),"*","~*"),"?","~?"))&lt;&gt;1,"Other amount is invalid",IF(J723&lt;&gt;0,"Amount differs","Matched")))))))</x:f>
      </x:c>
      <x:c r="L723" t="str">
        <x:f>IF(COUNTA(A723:F723)=0,"",LEN(A723)&amp;":"&amp;A723&amp;LEN(B723)&amp;":"&amp;B723&amp;LEN(C723)&amp;":"&amp;C723&amp;LEN(D723)&amp;":"&amp;D723)</x:f>
      </x:c>
      <x:c r="M723" t="str">
        <x:f>IF(COUNTA(A723:F723)=0,"",IF(ISNUMBER(E723),1,0))</x:f>
      </x:c>
    </x:row>
    <x:row r="724">
      <x:c r="A724" s="11"/>
      <x:c r="B724" s="11"/>
      <x:c r="C724" s="11"/>
      <x:c r="D724" s="11"/>
      <x:c r="E724" s="12"/>
      <x:c r="F724" s="10"/>
      <x:c r="G724" s="2" t="str">
        <x:f>IF(COUNTA(A724:F724)=0,"",COUNTIFS('App Data'!$L$2:$L$1001,SUBSTITUTE(SUBSTITUTE(SUBSTITUTE(L724,"~","~~"),"*","~*"),"?","~?")))</x:f>
      </x:c>
      <x:c r="H724" s="2" t="str">
        <x:f>IF(COUNTA(A724:F724)=0,"",COUNTIFS('External Data'!$L$2:$L$1001,SUBSTITUTE(SUBSTITUTE(SUBSTITUTE(L724,"~","~~"),"*","~*"),"?","~?")))</x:f>
      </x:c>
      <x:c r="I724" s="13" t="str">
        <x:f>IF(OR(H724&lt;&gt;1,G724&lt;&gt;1),"",SUMIFS('External Data'!$E$2:$E$1001,'External Data'!$L$2:$L$1001,SUBSTITUTE(SUBSTITUTE(SUBSTITUTE(L724,"~","~~"),"*","~*"),"?","~?")))</x:f>
      </x:c>
      <x:c r="J724" s="13" t="str">
        <x:f>IF(OR(NOT(ISNUMBER(E724)),NOT(ISNUMBER(I724))),"",ROUND(E724-I724,2))</x:f>
      </x:c>
      <x:c r="K724" s="2" t="str">
        <x:f>IF(COUNTA(A724:F724)=0,"",IF(OR(A724="",B724="",C724="",D724="",NOT(ISNUMBER(E724))),"Missing / invalid input",IF(G724&gt;1,"Duplicate key in this source",IF(H724=0,"Missing in other source",IF(H724&gt;1,"Duplicate in other source",IF(SUMIFS('External Data'!$M$2:$M$1001,'External Data'!$L$2:$L$1001,SUBSTITUTE(SUBSTITUTE(SUBSTITUTE(L724,"~","~~"),"*","~*"),"?","~?"))&lt;&gt;1,"Other amount is invalid",IF(J724&lt;&gt;0,"Amount differs","Matched")))))))</x:f>
      </x:c>
      <x:c r="L724" t="str">
        <x:f>IF(COUNTA(A724:F724)=0,"",LEN(A724)&amp;":"&amp;A724&amp;LEN(B724)&amp;":"&amp;B724&amp;LEN(C724)&amp;":"&amp;C724&amp;LEN(D724)&amp;":"&amp;D724)</x:f>
      </x:c>
      <x:c r="M724" t="str">
        <x:f>IF(COUNTA(A724:F724)=0,"",IF(ISNUMBER(E724),1,0))</x:f>
      </x:c>
    </x:row>
    <x:row r="725">
      <x:c r="A725" s="11"/>
      <x:c r="B725" s="11"/>
      <x:c r="C725" s="11"/>
      <x:c r="D725" s="11"/>
      <x:c r="E725" s="12"/>
      <x:c r="F725" s="10"/>
      <x:c r="G725" s="2" t="str">
        <x:f>IF(COUNTA(A725:F725)=0,"",COUNTIFS('App Data'!$L$2:$L$1001,SUBSTITUTE(SUBSTITUTE(SUBSTITUTE(L725,"~","~~"),"*","~*"),"?","~?")))</x:f>
      </x:c>
      <x:c r="H725" s="2" t="str">
        <x:f>IF(COUNTA(A725:F725)=0,"",COUNTIFS('External Data'!$L$2:$L$1001,SUBSTITUTE(SUBSTITUTE(SUBSTITUTE(L725,"~","~~"),"*","~*"),"?","~?")))</x:f>
      </x:c>
      <x:c r="I725" s="13" t="str">
        <x:f>IF(OR(H725&lt;&gt;1,G725&lt;&gt;1),"",SUMIFS('External Data'!$E$2:$E$1001,'External Data'!$L$2:$L$1001,SUBSTITUTE(SUBSTITUTE(SUBSTITUTE(L725,"~","~~"),"*","~*"),"?","~?")))</x:f>
      </x:c>
      <x:c r="J725" s="13" t="str">
        <x:f>IF(OR(NOT(ISNUMBER(E725)),NOT(ISNUMBER(I725))),"",ROUND(E725-I725,2))</x:f>
      </x:c>
      <x:c r="K725" s="2" t="str">
        <x:f>IF(COUNTA(A725:F725)=0,"",IF(OR(A725="",B725="",C725="",D725="",NOT(ISNUMBER(E725))),"Missing / invalid input",IF(G725&gt;1,"Duplicate key in this source",IF(H725=0,"Missing in other source",IF(H725&gt;1,"Duplicate in other source",IF(SUMIFS('External Data'!$M$2:$M$1001,'External Data'!$L$2:$L$1001,SUBSTITUTE(SUBSTITUTE(SUBSTITUTE(L725,"~","~~"),"*","~*"),"?","~?"))&lt;&gt;1,"Other amount is invalid",IF(J725&lt;&gt;0,"Amount differs","Matched")))))))</x:f>
      </x:c>
      <x:c r="L725" t="str">
        <x:f>IF(COUNTA(A725:F725)=0,"",LEN(A725)&amp;":"&amp;A725&amp;LEN(B725)&amp;":"&amp;B725&amp;LEN(C725)&amp;":"&amp;C725&amp;LEN(D725)&amp;":"&amp;D725)</x:f>
      </x:c>
      <x:c r="M725" t="str">
        <x:f>IF(COUNTA(A725:F725)=0,"",IF(ISNUMBER(E725),1,0))</x:f>
      </x:c>
    </x:row>
    <x:row r="726">
      <x:c r="A726" s="11"/>
      <x:c r="B726" s="11"/>
      <x:c r="C726" s="11"/>
      <x:c r="D726" s="11"/>
      <x:c r="E726" s="12"/>
      <x:c r="F726" s="10"/>
      <x:c r="G726" s="2" t="str">
        <x:f>IF(COUNTA(A726:F726)=0,"",COUNTIFS('App Data'!$L$2:$L$1001,SUBSTITUTE(SUBSTITUTE(SUBSTITUTE(L726,"~","~~"),"*","~*"),"?","~?")))</x:f>
      </x:c>
      <x:c r="H726" s="2" t="str">
        <x:f>IF(COUNTA(A726:F726)=0,"",COUNTIFS('External Data'!$L$2:$L$1001,SUBSTITUTE(SUBSTITUTE(SUBSTITUTE(L726,"~","~~"),"*","~*"),"?","~?")))</x:f>
      </x:c>
      <x:c r="I726" s="13" t="str">
        <x:f>IF(OR(H726&lt;&gt;1,G726&lt;&gt;1),"",SUMIFS('External Data'!$E$2:$E$1001,'External Data'!$L$2:$L$1001,SUBSTITUTE(SUBSTITUTE(SUBSTITUTE(L726,"~","~~"),"*","~*"),"?","~?")))</x:f>
      </x:c>
      <x:c r="J726" s="13" t="str">
        <x:f>IF(OR(NOT(ISNUMBER(E726)),NOT(ISNUMBER(I726))),"",ROUND(E726-I726,2))</x:f>
      </x:c>
      <x:c r="K726" s="2" t="str">
        <x:f>IF(COUNTA(A726:F726)=0,"",IF(OR(A726="",B726="",C726="",D726="",NOT(ISNUMBER(E726))),"Missing / invalid input",IF(G726&gt;1,"Duplicate key in this source",IF(H726=0,"Missing in other source",IF(H726&gt;1,"Duplicate in other source",IF(SUMIFS('External Data'!$M$2:$M$1001,'External Data'!$L$2:$L$1001,SUBSTITUTE(SUBSTITUTE(SUBSTITUTE(L726,"~","~~"),"*","~*"),"?","~?"))&lt;&gt;1,"Other amount is invalid",IF(J726&lt;&gt;0,"Amount differs","Matched")))))))</x:f>
      </x:c>
      <x:c r="L726" t="str">
        <x:f>IF(COUNTA(A726:F726)=0,"",LEN(A726)&amp;":"&amp;A726&amp;LEN(B726)&amp;":"&amp;B726&amp;LEN(C726)&amp;":"&amp;C726&amp;LEN(D726)&amp;":"&amp;D726)</x:f>
      </x:c>
      <x:c r="M726" t="str">
        <x:f>IF(COUNTA(A726:F726)=0,"",IF(ISNUMBER(E726),1,0))</x:f>
      </x:c>
    </x:row>
    <x:row r="727">
      <x:c r="A727" s="11"/>
      <x:c r="B727" s="11"/>
      <x:c r="C727" s="11"/>
      <x:c r="D727" s="11"/>
      <x:c r="E727" s="12"/>
      <x:c r="F727" s="10"/>
      <x:c r="G727" s="2" t="str">
        <x:f>IF(COUNTA(A727:F727)=0,"",COUNTIFS('App Data'!$L$2:$L$1001,SUBSTITUTE(SUBSTITUTE(SUBSTITUTE(L727,"~","~~"),"*","~*"),"?","~?")))</x:f>
      </x:c>
      <x:c r="H727" s="2" t="str">
        <x:f>IF(COUNTA(A727:F727)=0,"",COUNTIFS('External Data'!$L$2:$L$1001,SUBSTITUTE(SUBSTITUTE(SUBSTITUTE(L727,"~","~~"),"*","~*"),"?","~?")))</x:f>
      </x:c>
      <x:c r="I727" s="13" t="str">
        <x:f>IF(OR(H727&lt;&gt;1,G727&lt;&gt;1),"",SUMIFS('External Data'!$E$2:$E$1001,'External Data'!$L$2:$L$1001,SUBSTITUTE(SUBSTITUTE(SUBSTITUTE(L727,"~","~~"),"*","~*"),"?","~?")))</x:f>
      </x:c>
      <x:c r="J727" s="13" t="str">
        <x:f>IF(OR(NOT(ISNUMBER(E727)),NOT(ISNUMBER(I727))),"",ROUND(E727-I727,2))</x:f>
      </x:c>
      <x:c r="K727" s="2" t="str">
        <x:f>IF(COUNTA(A727:F727)=0,"",IF(OR(A727="",B727="",C727="",D727="",NOT(ISNUMBER(E727))),"Missing / invalid input",IF(G727&gt;1,"Duplicate key in this source",IF(H727=0,"Missing in other source",IF(H727&gt;1,"Duplicate in other source",IF(SUMIFS('External Data'!$M$2:$M$1001,'External Data'!$L$2:$L$1001,SUBSTITUTE(SUBSTITUTE(SUBSTITUTE(L727,"~","~~"),"*","~*"),"?","~?"))&lt;&gt;1,"Other amount is invalid",IF(J727&lt;&gt;0,"Amount differs","Matched")))))))</x:f>
      </x:c>
      <x:c r="L727" t="str">
        <x:f>IF(COUNTA(A727:F727)=0,"",LEN(A727)&amp;":"&amp;A727&amp;LEN(B727)&amp;":"&amp;B727&amp;LEN(C727)&amp;":"&amp;C727&amp;LEN(D727)&amp;":"&amp;D727)</x:f>
      </x:c>
      <x:c r="M727" t="str">
        <x:f>IF(COUNTA(A727:F727)=0,"",IF(ISNUMBER(E727),1,0))</x:f>
      </x:c>
    </x:row>
    <x:row r="728">
      <x:c r="A728" s="11"/>
      <x:c r="B728" s="11"/>
      <x:c r="C728" s="11"/>
      <x:c r="D728" s="11"/>
      <x:c r="E728" s="12"/>
      <x:c r="F728" s="10"/>
      <x:c r="G728" s="2" t="str">
        <x:f>IF(COUNTA(A728:F728)=0,"",COUNTIFS('App Data'!$L$2:$L$1001,SUBSTITUTE(SUBSTITUTE(SUBSTITUTE(L728,"~","~~"),"*","~*"),"?","~?")))</x:f>
      </x:c>
      <x:c r="H728" s="2" t="str">
        <x:f>IF(COUNTA(A728:F728)=0,"",COUNTIFS('External Data'!$L$2:$L$1001,SUBSTITUTE(SUBSTITUTE(SUBSTITUTE(L728,"~","~~"),"*","~*"),"?","~?")))</x:f>
      </x:c>
      <x:c r="I728" s="13" t="str">
        <x:f>IF(OR(H728&lt;&gt;1,G728&lt;&gt;1),"",SUMIFS('External Data'!$E$2:$E$1001,'External Data'!$L$2:$L$1001,SUBSTITUTE(SUBSTITUTE(SUBSTITUTE(L728,"~","~~"),"*","~*"),"?","~?")))</x:f>
      </x:c>
      <x:c r="J728" s="13" t="str">
        <x:f>IF(OR(NOT(ISNUMBER(E728)),NOT(ISNUMBER(I728))),"",ROUND(E728-I728,2))</x:f>
      </x:c>
      <x:c r="K728" s="2" t="str">
        <x:f>IF(COUNTA(A728:F728)=0,"",IF(OR(A728="",B728="",C728="",D728="",NOT(ISNUMBER(E728))),"Missing / invalid input",IF(G728&gt;1,"Duplicate key in this source",IF(H728=0,"Missing in other source",IF(H728&gt;1,"Duplicate in other source",IF(SUMIFS('External Data'!$M$2:$M$1001,'External Data'!$L$2:$L$1001,SUBSTITUTE(SUBSTITUTE(SUBSTITUTE(L728,"~","~~"),"*","~*"),"?","~?"))&lt;&gt;1,"Other amount is invalid",IF(J728&lt;&gt;0,"Amount differs","Matched")))))))</x:f>
      </x:c>
      <x:c r="L728" t="str">
        <x:f>IF(COUNTA(A728:F728)=0,"",LEN(A728)&amp;":"&amp;A728&amp;LEN(B728)&amp;":"&amp;B728&amp;LEN(C728)&amp;":"&amp;C728&amp;LEN(D728)&amp;":"&amp;D728)</x:f>
      </x:c>
      <x:c r="M728" t="str">
        <x:f>IF(COUNTA(A728:F728)=0,"",IF(ISNUMBER(E728),1,0))</x:f>
      </x:c>
    </x:row>
    <x:row r="729">
      <x:c r="A729" s="11"/>
      <x:c r="B729" s="11"/>
      <x:c r="C729" s="11"/>
      <x:c r="D729" s="11"/>
      <x:c r="E729" s="12"/>
      <x:c r="F729" s="10"/>
      <x:c r="G729" s="2" t="str">
        <x:f>IF(COUNTA(A729:F729)=0,"",COUNTIFS('App Data'!$L$2:$L$1001,SUBSTITUTE(SUBSTITUTE(SUBSTITUTE(L729,"~","~~"),"*","~*"),"?","~?")))</x:f>
      </x:c>
      <x:c r="H729" s="2" t="str">
        <x:f>IF(COUNTA(A729:F729)=0,"",COUNTIFS('External Data'!$L$2:$L$1001,SUBSTITUTE(SUBSTITUTE(SUBSTITUTE(L729,"~","~~"),"*","~*"),"?","~?")))</x:f>
      </x:c>
      <x:c r="I729" s="13" t="str">
        <x:f>IF(OR(H729&lt;&gt;1,G729&lt;&gt;1),"",SUMIFS('External Data'!$E$2:$E$1001,'External Data'!$L$2:$L$1001,SUBSTITUTE(SUBSTITUTE(SUBSTITUTE(L729,"~","~~"),"*","~*"),"?","~?")))</x:f>
      </x:c>
      <x:c r="J729" s="13" t="str">
        <x:f>IF(OR(NOT(ISNUMBER(E729)),NOT(ISNUMBER(I729))),"",ROUND(E729-I729,2))</x:f>
      </x:c>
      <x:c r="K729" s="2" t="str">
        <x:f>IF(COUNTA(A729:F729)=0,"",IF(OR(A729="",B729="",C729="",D729="",NOT(ISNUMBER(E729))),"Missing / invalid input",IF(G729&gt;1,"Duplicate key in this source",IF(H729=0,"Missing in other source",IF(H729&gt;1,"Duplicate in other source",IF(SUMIFS('External Data'!$M$2:$M$1001,'External Data'!$L$2:$L$1001,SUBSTITUTE(SUBSTITUTE(SUBSTITUTE(L729,"~","~~"),"*","~*"),"?","~?"))&lt;&gt;1,"Other amount is invalid",IF(J729&lt;&gt;0,"Amount differs","Matched")))))))</x:f>
      </x:c>
      <x:c r="L729" t="str">
        <x:f>IF(COUNTA(A729:F729)=0,"",LEN(A729)&amp;":"&amp;A729&amp;LEN(B729)&amp;":"&amp;B729&amp;LEN(C729)&amp;":"&amp;C729&amp;LEN(D729)&amp;":"&amp;D729)</x:f>
      </x:c>
      <x:c r="M729" t="str">
        <x:f>IF(COUNTA(A729:F729)=0,"",IF(ISNUMBER(E729),1,0))</x:f>
      </x:c>
    </x:row>
    <x:row r="730">
      <x:c r="A730" s="11"/>
      <x:c r="B730" s="11"/>
      <x:c r="C730" s="11"/>
      <x:c r="D730" s="11"/>
      <x:c r="E730" s="12"/>
      <x:c r="F730" s="10"/>
      <x:c r="G730" s="2" t="str">
        <x:f>IF(COUNTA(A730:F730)=0,"",COUNTIFS('App Data'!$L$2:$L$1001,SUBSTITUTE(SUBSTITUTE(SUBSTITUTE(L730,"~","~~"),"*","~*"),"?","~?")))</x:f>
      </x:c>
      <x:c r="H730" s="2" t="str">
        <x:f>IF(COUNTA(A730:F730)=0,"",COUNTIFS('External Data'!$L$2:$L$1001,SUBSTITUTE(SUBSTITUTE(SUBSTITUTE(L730,"~","~~"),"*","~*"),"?","~?")))</x:f>
      </x:c>
      <x:c r="I730" s="13" t="str">
        <x:f>IF(OR(H730&lt;&gt;1,G730&lt;&gt;1),"",SUMIFS('External Data'!$E$2:$E$1001,'External Data'!$L$2:$L$1001,SUBSTITUTE(SUBSTITUTE(SUBSTITUTE(L730,"~","~~"),"*","~*"),"?","~?")))</x:f>
      </x:c>
      <x:c r="J730" s="13" t="str">
        <x:f>IF(OR(NOT(ISNUMBER(E730)),NOT(ISNUMBER(I730))),"",ROUND(E730-I730,2))</x:f>
      </x:c>
      <x:c r="K730" s="2" t="str">
        <x:f>IF(COUNTA(A730:F730)=0,"",IF(OR(A730="",B730="",C730="",D730="",NOT(ISNUMBER(E730))),"Missing / invalid input",IF(G730&gt;1,"Duplicate key in this source",IF(H730=0,"Missing in other source",IF(H730&gt;1,"Duplicate in other source",IF(SUMIFS('External Data'!$M$2:$M$1001,'External Data'!$L$2:$L$1001,SUBSTITUTE(SUBSTITUTE(SUBSTITUTE(L730,"~","~~"),"*","~*"),"?","~?"))&lt;&gt;1,"Other amount is invalid",IF(J730&lt;&gt;0,"Amount differs","Matched")))))))</x:f>
      </x:c>
      <x:c r="L730" t="str">
        <x:f>IF(COUNTA(A730:F730)=0,"",LEN(A730)&amp;":"&amp;A730&amp;LEN(B730)&amp;":"&amp;B730&amp;LEN(C730)&amp;":"&amp;C730&amp;LEN(D730)&amp;":"&amp;D730)</x:f>
      </x:c>
      <x:c r="M730" t="str">
        <x:f>IF(COUNTA(A730:F730)=0,"",IF(ISNUMBER(E730),1,0))</x:f>
      </x:c>
    </x:row>
    <x:row r="731">
      <x:c r="A731" s="11"/>
      <x:c r="B731" s="11"/>
      <x:c r="C731" s="11"/>
      <x:c r="D731" s="11"/>
      <x:c r="E731" s="12"/>
      <x:c r="F731" s="10"/>
      <x:c r="G731" s="2" t="str">
        <x:f>IF(COUNTA(A731:F731)=0,"",COUNTIFS('App Data'!$L$2:$L$1001,SUBSTITUTE(SUBSTITUTE(SUBSTITUTE(L731,"~","~~"),"*","~*"),"?","~?")))</x:f>
      </x:c>
      <x:c r="H731" s="2" t="str">
        <x:f>IF(COUNTA(A731:F731)=0,"",COUNTIFS('External Data'!$L$2:$L$1001,SUBSTITUTE(SUBSTITUTE(SUBSTITUTE(L731,"~","~~"),"*","~*"),"?","~?")))</x:f>
      </x:c>
      <x:c r="I731" s="13" t="str">
        <x:f>IF(OR(H731&lt;&gt;1,G731&lt;&gt;1),"",SUMIFS('External Data'!$E$2:$E$1001,'External Data'!$L$2:$L$1001,SUBSTITUTE(SUBSTITUTE(SUBSTITUTE(L731,"~","~~"),"*","~*"),"?","~?")))</x:f>
      </x:c>
      <x:c r="J731" s="13" t="str">
        <x:f>IF(OR(NOT(ISNUMBER(E731)),NOT(ISNUMBER(I731))),"",ROUND(E731-I731,2))</x:f>
      </x:c>
      <x:c r="K731" s="2" t="str">
        <x:f>IF(COUNTA(A731:F731)=0,"",IF(OR(A731="",B731="",C731="",D731="",NOT(ISNUMBER(E731))),"Missing / invalid input",IF(G731&gt;1,"Duplicate key in this source",IF(H731=0,"Missing in other source",IF(H731&gt;1,"Duplicate in other source",IF(SUMIFS('External Data'!$M$2:$M$1001,'External Data'!$L$2:$L$1001,SUBSTITUTE(SUBSTITUTE(SUBSTITUTE(L731,"~","~~"),"*","~*"),"?","~?"))&lt;&gt;1,"Other amount is invalid",IF(J731&lt;&gt;0,"Amount differs","Matched")))))))</x:f>
      </x:c>
      <x:c r="L731" t="str">
        <x:f>IF(COUNTA(A731:F731)=0,"",LEN(A731)&amp;":"&amp;A731&amp;LEN(B731)&amp;":"&amp;B731&amp;LEN(C731)&amp;":"&amp;C731&amp;LEN(D731)&amp;":"&amp;D731)</x:f>
      </x:c>
      <x:c r="M731" t="str">
        <x:f>IF(COUNTA(A731:F731)=0,"",IF(ISNUMBER(E731),1,0))</x:f>
      </x:c>
    </x:row>
    <x:row r="732">
      <x:c r="A732" s="11"/>
      <x:c r="B732" s="11"/>
      <x:c r="C732" s="11"/>
      <x:c r="D732" s="11"/>
      <x:c r="E732" s="12"/>
      <x:c r="F732" s="10"/>
      <x:c r="G732" s="2" t="str">
        <x:f>IF(COUNTA(A732:F732)=0,"",COUNTIFS('App Data'!$L$2:$L$1001,SUBSTITUTE(SUBSTITUTE(SUBSTITUTE(L732,"~","~~"),"*","~*"),"?","~?")))</x:f>
      </x:c>
      <x:c r="H732" s="2" t="str">
        <x:f>IF(COUNTA(A732:F732)=0,"",COUNTIFS('External Data'!$L$2:$L$1001,SUBSTITUTE(SUBSTITUTE(SUBSTITUTE(L732,"~","~~"),"*","~*"),"?","~?")))</x:f>
      </x:c>
      <x:c r="I732" s="13" t="str">
        <x:f>IF(OR(H732&lt;&gt;1,G732&lt;&gt;1),"",SUMIFS('External Data'!$E$2:$E$1001,'External Data'!$L$2:$L$1001,SUBSTITUTE(SUBSTITUTE(SUBSTITUTE(L732,"~","~~"),"*","~*"),"?","~?")))</x:f>
      </x:c>
      <x:c r="J732" s="13" t="str">
        <x:f>IF(OR(NOT(ISNUMBER(E732)),NOT(ISNUMBER(I732))),"",ROUND(E732-I732,2))</x:f>
      </x:c>
      <x:c r="K732" s="2" t="str">
        <x:f>IF(COUNTA(A732:F732)=0,"",IF(OR(A732="",B732="",C732="",D732="",NOT(ISNUMBER(E732))),"Missing / invalid input",IF(G732&gt;1,"Duplicate key in this source",IF(H732=0,"Missing in other source",IF(H732&gt;1,"Duplicate in other source",IF(SUMIFS('External Data'!$M$2:$M$1001,'External Data'!$L$2:$L$1001,SUBSTITUTE(SUBSTITUTE(SUBSTITUTE(L732,"~","~~"),"*","~*"),"?","~?"))&lt;&gt;1,"Other amount is invalid",IF(J732&lt;&gt;0,"Amount differs","Matched")))))))</x:f>
      </x:c>
      <x:c r="L732" t="str">
        <x:f>IF(COUNTA(A732:F732)=0,"",LEN(A732)&amp;":"&amp;A732&amp;LEN(B732)&amp;":"&amp;B732&amp;LEN(C732)&amp;":"&amp;C732&amp;LEN(D732)&amp;":"&amp;D732)</x:f>
      </x:c>
      <x:c r="M732" t="str">
        <x:f>IF(COUNTA(A732:F732)=0,"",IF(ISNUMBER(E732),1,0))</x:f>
      </x:c>
    </x:row>
    <x:row r="733">
      <x:c r="A733" s="11"/>
      <x:c r="B733" s="11"/>
      <x:c r="C733" s="11"/>
      <x:c r="D733" s="11"/>
      <x:c r="E733" s="12"/>
      <x:c r="F733" s="10"/>
      <x:c r="G733" s="2" t="str">
        <x:f>IF(COUNTA(A733:F733)=0,"",COUNTIFS('App Data'!$L$2:$L$1001,SUBSTITUTE(SUBSTITUTE(SUBSTITUTE(L733,"~","~~"),"*","~*"),"?","~?")))</x:f>
      </x:c>
      <x:c r="H733" s="2" t="str">
        <x:f>IF(COUNTA(A733:F733)=0,"",COUNTIFS('External Data'!$L$2:$L$1001,SUBSTITUTE(SUBSTITUTE(SUBSTITUTE(L733,"~","~~"),"*","~*"),"?","~?")))</x:f>
      </x:c>
      <x:c r="I733" s="13" t="str">
        <x:f>IF(OR(H733&lt;&gt;1,G733&lt;&gt;1),"",SUMIFS('External Data'!$E$2:$E$1001,'External Data'!$L$2:$L$1001,SUBSTITUTE(SUBSTITUTE(SUBSTITUTE(L733,"~","~~"),"*","~*"),"?","~?")))</x:f>
      </x:c>
      <x:c r="J733" s="13" t="str">
        <x:f>IF(OR(NOT(ISNUMBER(E733)),NOT(ISNUMBER(I733))),"",ROUND(E733-I733,2))</x:f>
      </x:c>
      <x:c r="K733" s="2" t="str">
        <x:f>IF(COUNTA(A733:F733)=0,"",IF(OR(A733="",B733="",C733="",D733="",NOT(ISNUMBER(E733))),"Missing / invalid input",IF(G733&gt;1,"Duplicate key in this source",IF(H733=0,"Missing in other source",IF(H733&gt;1,"Duplicate in other source",IF(SUMIFS('External Data'!$M$2:$M$1001,'External Data'!$L$2:$L$1001,SUBSTITUTE(SUBSTITUTE(SUBSTITUTE(L733,"~","~~"),"*","~*"),"?","~?"))&lt;&gt;1,"Other amount is invalid",IF(J733&lt;&gt;0,"Amount differs","Matched")))))))</x:f>
      </x:c>
      <x:c r="L733" t="str">
        <x:f>IF(COUNTA(A733:F733)=0,"",LEN(A733)&amp;":"&amp;A733&amp;LEN(B733)&amp;":"&amp;B733&amp;LEN(C733)&amp;":"&amp;C733&amp;LEN(D733)&amp;":"&amp;D733)</x:f>
      </x:c>
      <x:c r="M733" t="str">
        <x:f>IF(COUNTA(A733:F733)=0,"",IF(ISNUMBER(E733),1,0))</x:f>
      </x:c>
    </x:row>
    <x:row r="734">
      <x:c r="A734" s="11"/>
      <x:c r="B734" s="11"/>
      <x:c r="C734" s="11"/>
      <x:c r="D734" s="11"/>
      <x:c r="E734" s="12"/>
      <x:c r="F734" s="10"/>
      <x:c r="G734" s="2" t="str">
        <x:f>IF(COUNTA(A734:F734)=0,"",COUNTIFS('App Data'!$L$2:$L$1001,SUBSTITUTE(SUBSTITUTE(SUBSTITUTE(L734,"~","~~"),"*","~*"),"?","~?")))</x:f>
      </x:c>
      <x:c r="H734" s="2" t="str">
        <x:f>IF(COUNTA(A734:F734)=0,"",COUNTIFS('External Data'!$L$2:$L$1001,SUBSTITUTE(SUBSTITUTE(SUBSTITUTE(L734,"~","~~"),"*","~*"),"?","~?")))</x:f>
      </x:c>
      <x:c r="I734" s="13" t="str">
        <x:f>IF(OR(H734&lt;&gt;1,G734&lt;&gt;1),"",SUMIFS('External Data'!$E$2:$E$1001,'External Data'!$L$2:$L$1001,SUBSTITUTE(SUBSTITUTE(SUBSTITUTE(L734,"~","~~"),"*","~*"),"?","~?")))</x:f>
      </x:c>
      <x:c r="J734" s="13" t="str">
        <x:f>IF(OR(NOT(ISNUMBER(E734)),NOT(ISNUMBER(I734))),"",ROUND(E734-I734,2))</x:f>
      </x:c>
      <x:c r="K734" s="2" t="str">
        <x:f>IF(COUNTA(A734:F734)=0,"",IF(OR(A734="",B734="",C734="",D734="",NOT(ISNUMBER(E734))),"Missing / invalid input",IF(G734&gt;1,"Duplicate key in this source",IF(H734=0,"Missing in other source",IF(H734&gt;1,"Duplicate in other source",IF(SUMIFS('External Data'!$M$2:$M$1001,'External Data'!$L$2:$L$1001,SUBSTITUTE(SUBSTITUTE(SUBSTITUTE(L734,"~","~~"),"*","~*"),"?","~?"))&lt;&gt;1,"Other amount is invalid",IF(J734&lt;&gt;0,"Amount differs","Matched")))))))</x:f>
      </x:c>
      <x:c r="L734" t="str">
        <x:f>IF(COUNTA(A734:F734)=0,"",LEN(A734)&amp;":"&amp;A734&amp;LEN(B734)&amp;":"&amp;B734&amp;LEN(C734)&amp;":"&amp;C734&amp;LEN(D734)&amp;":"&amp;D734)</x:f>
      </x:c>
      <x:c r="M734" t="str">
        <x:f>IF(COUNTA(A734:F734)=0,"",IF(ISNUMBER(E734),1,0))</x:f>
      </x:c>
    </x:row>
    <x:row r="735">
      <x:c r="A735" s="11"/>
      <x:c r="B735" s="11"/>
      <x:c r="C735" s="11"/>
      <x:c r="D735" s="11"/>
      <x:c r="E735" s="12"/>
      <x:c r="F735" s="10"/>
      <x:c r="G735" s="2" t="str">
        <x:f>IF(COUNTA(A735:F735)=0,"",COUNTIFS('App Data'!$L$2:$L$1001,SUBSTITUTE(SUBSTITUTE(SUBSTITUTE(L735,"~","~~"),"*","~*"),"?","~?")))</x:f>
      </x:c>
      <x:c r="H735" s="2" t="str">
        <x:f>IF(COUNTA(A735:F735)=0,"",COUNTIFS('External Data'!$L$2:$L$1001,SUBSTITUTE(SUBSTITUTE(SUBSTITUTE(L735,"~","~~"),"*","~*"),"?","~?")))</x:f>
      </x:c>
      <x:c r="I735" s="13" t="str">
        <x:f>IF(OR(H735&lt;&gt;1,G735&lt;&gt;1),"",SUMIFS('External Data'!$E$2:$E$1001,'External Data'!$L$2:$L$1001,SUBSTITUTE(SUBSTITUTE(SUBSTITUTE(L735,"~","~~"),"*","~*"),"?","~?")))</x:f>
      </x:c>
      <x:c r="J735" s="13" t="str">
        <x:f>IF(OR(NOT(ISNUMBER(E735)),NOT(ISNUMBER(I735))),"",ROUND(E735-I735,2))</x:f>
      </x:c>
      <x:c r="K735" s="2" t="str">
        <x:f>IF(COUNTA(A735:F735)=0,"",IF(OR(A735="",B735="",C735="",D735="",NOT(ISNUMBER(E735))),"Missing / invalid input",IF(G735&gt;1,"Duplicate key in this source",IF(H735=0,"Missing in other source",IF(H735&gt;1,"Duplicate in other source",IF(SUMIFS('External Data'!$M$2:$M$1001,'External Data'!$L$2:$L$1001,SUBSTITUTE(SUBSTITUTE(SUBSTITUTE(L735,"~","~~"),"*","~*"),"?","~?"))&lt;&gt;1,"Other amount is invalid",IF(J735&lt;&gt;0,"Amount differs","Matched")))))))</x:f>
      </x:c>
      <x:c r="L735" t="str">
        <x:f>IF(COUNTA(A735:F735)=0,"",LEN(A735)&amp;":"&amp;A735&amp;LEN(B735)&amp;":"&amp;B735&amp;LEN(C735)&amp;":"&amp;C735&amp;LEN(D735)&amp;":"&amp;D735)</x:f>
      </x:c>
      <x:c r="M735" t="str">
        <x:f>IF(COUNTA(A735:F735)=0,"",IF(ISNUMBER(E735),1,0))</x:f>
      </x:c>
    </x:row>
    <x:row r="736">
      <x:c r="A736" s="11"/>
      <x:c r="B736" s="11"/>
      <x:c r="C736" s="11"/>
      <x:c r="D736" s="11"/>
      <x:c r="E736" s="12"/>
      <x:c r="F736" s="10"/>
      <x:c r="G736" s="2" t="str">
        <x:f>IF(COUNTA(A736:F736)=0,"",COUNTIFS('App Data'!$L$2:$L$1001,SUBSTITUTE(SUBSTITUTE(SUBSTITUTE(L736,"~","~~"),"*","~*"),"?","~?")))</x:f>
      </x:c>
      <x:c r="H736" s="2" t="str">
        <x:f>IF(COUNTA(A736:F736)=0,"",COUNTIFS('External Data'!$L$2:$L$1001,SUBSTITUTE(SUBSTITUTE(SUBSTITUTE(L736,"~","~~"),"*","~*"),"?","~?")))</x:f>
      </x:c>
      <x:c r="I736" s="13" t="str">
        <x:f>IF(OR(H736&lt;&gt;1,G736&lt;&gt;1),"",SUMIFS('External Data'!$E$2:$E$1001,'External Data'!$L$2:$L$1001,SUBSTITUTE(SUBSTITUTE(SUBSTITUTE(L736,"~","~~"),"*","~*"),"?","~?")))</x:f>
      </x:c>
      <x:c r="J736" s="13" t="str">
        <x:f>IF(OR(NOT(ISNUMBER(E736)),NOT(ISNUMBER(I736))),"",ROUND(E736-I736,2))</x:f>
      </x:c>
      <x:c r="K736" s="2" t="str">
        <x:f>IF(COUNTA(A736:F736)=0,"",IF(OR(A736="",B736="",C736="",D736="",NOT(ISNUMBER(E736))),"Missing / invalid input",IF(G736&gt;1,"Duplicate key in this source",IF(H736=0,"Missing in other source",IF(H736&gt;1,"Duplicate in other source",IF(SUMIFS('External Data'!$M$2:$M$1001,'External Data'!$L$2:$L$1001,SUBSTITUTE(SUBSTITUTE(SUBSTITUTE(L736,"~","~~"),"*","~*"),"?","~?"))&lt;&gt;1,"Other amount is invalid",IF(J736&lt;&gt;0,"Amount differs","Matched")))))))</x:f>
      </x:c>
      <x:c r="L736" t="str">
        <x:f>IF(COUNTA(A736:F736)=0,"",LEN(A736)&amp;":"&amp;A736&amp;LEN(B736)&amp;":"&amp;B736&amp;LEN(C736)&amp;":"&amp;C736&amp;LEN(D736)&amp;":"&amp;D736)</x:f>
      </x:c>
      <x:c r="M736" t="str">
        <x:f>IF(COUNTA(A736:F736)=0,"",IF(ISNUMBER(E736),1,0))</x:f>
      </x:c>
    </x:row>
    <x:row r="737">
      <x:c r="A737" s="11"/>
      <x:c r="B737" s="11"/>
      <x:c r="C737" s="11"/>
      <x:c r="D737" s="11"/>
      <x:c r="E737" s="12"/>
      <x:c r="F737" s="10"/>
      <x:c r="G737" s="2" t="str">
        <x:f>IF(COUNTA(A737:F737)=0,"",COUNTIFS('App Data'!$L$2:$L$1001,SUBSTITUTE(SUBSTITUTE(SUBSTITUTE(L737,"~","~~"),"*","~*"),"?","~?")))</x:f>
      </x:c>
      <x:c r="H737" s="2" t="str">
        <x:f>IF(COUNTA(A737:F737)=0,"",COUNTIFS('External Data'!$L$2:$L$1001,SUBSTITUTE(SUBSTITUTE(SUBSTITUTE(L737,"~","~~"),"*","~*"),"?","~?")))</x:f>
      </x:c>
      <x:c r="I737" s="13" t="str">
        <x:f>IF(OR(H737&lt;&gt;1,G737&lt;&gt;1),"",SUMIFS('External Data'!$E$2:$E$1001,'External Data'!$L$2:$L$1001,SUBSTITUTE(SUBSTITUTE(SUBSTITUTE(L737,"~","~~"),"*","~*"),"?","~?")))</x:f>
      </x:c>
      <x:c r="J737" s="13" t="str">
        <x:f>IF(OR(NOT(ISNUMBER(E737)),NOT(ISNUMBER(I737))),"",ROUND(E737-I737,2))</x:f>
      </x:c>
      <x:c r="K737" s="2" t="str">
        <x:f>IF(COUNTA(A737:F737)=0,"",IF(OR(A737="",B737="",C737="",D737="",NOT(ISNUMBER(E737))),"Missing / invalid input",IF(G737&gt;1,"Duplicate key in this source",IF(H737=0,"Missing in other source",IF(H737&gt;1,"Duplicate in other source",IF(SUMIFS('External Data'!$M$2:$M$1001,'External Data'!$L$2:$L$1001,SUBSTITUTE(SUBSTITUTE(SUBSTITUTE(L737,"~","~~"),"*","~*"),"?","~?"))&lt;&gt;1,"Other amount is invalid",IF(J737&lt;&gt;0,"Amount differs","Matched")))))))</x:f>
      </x:c>
      <x:c r="L737" t="str">
        <x:f>IF(COUNTA(A737:F737)=0,"",LEN(A737)&amp;":"&amp;A737&amp;LEN(B737)&amp;":"&amp;B737&amp;LEN(C737)&amp;":"&amp;C737&amp;LEN(D737)&amp;":"&amp;D737)</x:f>
      </x:c>
      <x:c r="M737" t="str">
        <x:f>IF(COUNTA(A737:F737)=0,"",IF(ISNUMBER(E737),1,0))</x:f>
      </x:c>
    </x:row>
    <x:row r="738">
      <x:c r="A738" s="11"/>
      <x:c r="B738" s="11"/>
      <x:c r="C738" s="11"/>
      <x:c r="D738" s="11"/>
      <x:c r="E738" s="12"/>
      <x:c r="F738" s="10"/>
      <x:c r="G738" s="2" t="str">
        <x:f>IF(COUNTA(A738:F738)=0,"",COUNTIFS('App Data'!$L$2:$L$1001,SUBSTITUTE(SUBSTITUTE(SUBSTITUTE(L738,"~","~~"),"*","~*"),"?","~?")))</x:f>
      </x:c>
      <x:c r="H738" s="2" t="str">
        <x:f>IF(COUNTA(A738:F738)=0,"",COUNTIFS('External Data'!$L$2:$L$1001,SUBSTITUTE(SUBSTITUTE(SUBSTITUTE(L738,"~","~~"),"*","~*"),"?","~?")))</x:f>
      </x:c>
      <x:c r="I738" s="13" t="str">
        <x:f>IF(OR(H738&lt;&gt;1,G738&lt;&gt;1),"",SUMIFS('External Data'!$E$2:$E$1001,'External Data'!$L$2:$L$1001,SUBSTITUTE(SUBSTITUTE(SUBSTITUTE(L738,"~","~~"),"*","~*"),"?","~?")))</x:f>
      </x:c>
      <x:c r="J738" s="13" t="str">
        <x:f>IF(OR(NOT(ISNUMBER(E738)),NOT(ISNUMBER(I738))),"",ROUND(E738-I738,2))</x:f>
      </x:c>
      <x:c r="K738" s="2" t="str">
        <x:f>IF(COUNTA(A738:F738)=0,"",IF(OR(A738="",B738="",C738="",D738="",NOT(ISNUMBER(E738))),"Missing / invalid input",IF(G738&gt;1,"Duplicate key in this source",IF(H738=0,"Missing in other source",IF(H738&gt;1,"Duplicate in other source",IF(SUMIFS('External Data'!$M$2:$M$1001,'External Data'!$L$2:$L$1001,SUBSTITUTE(SUBSTITUTE(SUBSTITUTE(L738,"~","~~"),"*","~*"),"?","~?"))&lt;&gt;1,"Other amount is invalid",IF(J738&lt;&gt;0,"Amount differs","Matched")))))))</x:f>
      </x:c>
      <x:c r="L738" t="str">
        <x:f>IF(COUNTA(A738:F738)=0,"",LEN(A738)&amp;":"&amp;A738&amp;LEN(B738)&amp;":"&amp;B738&amp;LEN(C738)&amp;":"&amp;C738&amp;LEN(D738)&amp;":"&amp;D738)</x:f>
      </x:c>
      <x:c r="M738" t="str">
        <x:f>IF(COUNTA(A738:F738)=0,"",IF(ISNUMBER(E738),1,0))</x:f>
      </x:c>
    </x:row>
    <x:row r="739">
      <x:c r="A739" s="11"/>
      <x:c r="B739" s="11"/>
      <x:c r="C739" s="11"/>
      <x:c r="D739" s="11"/>
      <x:c r="E739" s="12"/>
      <x:c r="F739" s="10"/>
      <x:c r="G739" s="2" t="str">
        <x:f>IF(COUNTA(A739:F739)=0,"",COUNTIFS('App Data'!$L$2:$L$1001,SUBSTITUTE(SUBSTITUTE(SUBSTITUTE(L739,"~","~~"),"*","~*"),"?","~?")))</x:f>
      </x:c>
      <x:c r="H739" s="2" t="str">
        <x:f>IF(COUNTA(A739:F739)=0,"",COUNTIFS('External Data'!$L$2:$L$1001,SUBSTITUTE(SUBSTITUTE(SUBSTITUTE(L739,"~","~~"),"*","~*"),"?","~?")))</x:f>
      </x:c>
      <x:c r="I739" s="13" t="str">
        <x:f>IF(OR(H739&lt;&gt;1,G739&lt;&gt;1),"",SUMIFS('External Data'!$E$2:$E$1001,'External Data'!$L$2:$L$1001,SUBSTITUTE(SUBSTITUTE(SUBSTITUTE(L739,"~","~~"),"*","~*"),"?","~?")))</x:f>
      </x:c>
      <x:c r="J739" s="13" t="str">
        <x:f>IF(OR(NOT(ISNUMBER(E739)),NOT(ISNUMBER(I739))),"",ROUND(E739-I739,2))</x:f>
      </x:c>
      <x:c r="K739" s="2" t="str">
        <x:f>IF(COUNTA(A739:F739)=0,"",IF(OR(A739="",B739="",C739="",D739="",NOT(ISNUMBER(E739))),"Missing / invalid input",IF(G739&gt;1,"Duplicate key in this source",IF(H739=0,"Missing in other source",IF(H739&gt;1,"Duplicate in other source",IF(SUMIFS('External Data'!$M$2:$M$1001,'External Data'!$L$2:$L$1001,SUBSTITUTE(SUBSTITUTE(SUBSTITUTE(L739,"~","~~"),"*","~*"),"?","~?"))&lt;&gt;1,"Other amount is invalid",IF(J739&lt;&gt;0,"Amount differs","Matched")))))))</x:f>
      </x:c>
      <x:c r="L739" t="str">
        <x:f>IF(COUNTA(A739:F739)=0,"",LEN(A739)&amp;":"&amp;A739&amp;LEN(B739)&amp;":"&amp;B739&amp;LEN(C739)&amp;":"&amp;C739&amp;LEN(D739)&amp;":"&amp;D739)</x:f>
      </x:c>
      <x:c r="M739" t="str">
        <x:f>IF(COUNTA(A739:F739)=0,"",IF(ISNUMBER(E739),1,0))</x:f>
      </x:c>
    </x:row>
    <x:row r="740">
      <x:c r="A740" s="11"/>
      <x:c r="B740" s="11"/>
      <x:c r="C740" s="11"/>
      <x:c r="D740" s="11"/>
      <x:c r="E740" s="12"/>
      <x:c r="F740" s="10"/>
      <x:c r="G740" s="2" t="str">
        <x:f>IF(COUNTA(A740:F740)=0,"",COUNTIFS('App Data'!$L$2:$L$1001,SUBSTITUTE(SUBSTITUTE(SUBSTITUTE(L740,"~","~~"),"*","~*"),"?","~?")))</x:f>
      </x:c>
      <x:c r="H740" s="2" t="str">
        <x:f>IF(COUNTA(A740:F740)=0,"",COUNTIFS('External Data'!$L$2:$L$1001,SUBSTITUTE(SUBSTITUTE(SUBSTITUTE(L740,"~","~~"),"*","~*"),"?","~?")))</x:f>
      </x:c>
      <x:c r="I740" s="13" t="str">
        <x:f>IF(OR(H740&lt;&gt;1,G740&lt;&gt;1),"",SUMIFS('External Data'!$E$2:$E$1001,'External Data'!$L$2:$L$1001,SUBSTITUTE(SUBSTITUTE(SUBSTITUTE(L740,"~","~~"),"*","~*"),"?","~?")))</x:f>
      </x:c>
      <x:c r="J740" s="13" t="str">
        <x:f>IF(OR(NOT(ISNUMBER(E740)),NOT(ISNUMBER(I740))),"",ROUND(E740-I740,2))</x:f>
      </x:c>
      <x:c r="K740" s="2" t="str">
        <x:f>IF(COUNTA(A740:F740)=0,"",IF(OR(A740="",B740="",C740="",D740="",NOT(ISNUMBER(E740))),"Missing / invalid input",IF(G740&gt;1,"Duplicate key in this source",IF(H740=0,"Missing in other source",IF(H740&gt;1,"Duplicate in other source",IF(SUMIFS('External Data'!$M$2:$M$1001,'External Data'!$L$2:$L$1001,SUBSTITUTE(SUBSTITUTE(SUBSTITUTE(L740,"~","~~"),"*","~*"),"?","~?"))&lt;&gt;1,"Other amount is invalid",IF(J740&lt;&gt;0,"Amount differs","Matched")))))))</x:f>
      </x:c>
      <x:c r="L740" t="str">
        <x:f>IF(COUNTA(A740:F740)=0,"",LEN(A740)&amp;":"&amp;A740&amp;LEN(B740)&amp;":"&amp;B740&amp;LEN(C740)&amp;":"&amp;C740&amp;LEN(D740)&amp;":"&amp;D740)</x:f>
      </x:c>
      <x:c r="M740" t="str">
        <x:f>IF(COUNTA(A740:F740)=0,"",IF(ISNUMBER(E740),1,0))</x:f>
      </x:c>
    </x:row>
    <x:row r="741">
      <x:c r="A741" s="11"/>
      <x:c r="B741" s="11"/>
      <x:c r="C741" s="11"/>
      <x:c r="D741" s="11"/>
      <x:c r="E741" s="12"/>
      <x:c r="F741" s="10"/>
      <x:c r="G741" s="2" t="str">
        <x:f>IF(COUNTA(A741:F741)=0,"",COUNTIFS('App Data'!$L$2:$L$1001,SUBSTITUTE(SUBSTITUTE(SUBSTITUTE(L741,"~","~~"),"*","~*"),"?","~?")))</x:f>
      </x:c>
      <x:c r="H741" s="2" t="str">
        <x:f>IF(COUNTA(A741:F741)=0,"",COUNTIFS('External Data'!$L$2:$L$1001,SUBSTITUTE(SUBSTITUTE(SUBSTITUTE(L741,"~","~~"),"*","~*"),"?","~?")))</x:f>
      </x:c>
      <x:c r="I741" s="13" t="str">
        <x:f>IF(OR(H741&lt;&gt;1,G741&lt;&gt;1),"",SUMIFS('External Data'!$E$2:$E$1001,'External Data'!$L$2:$L$1001,SUBSTITUTE(SUBSTITUTE(SUBSTITUTE(L741,"~","~~"),"*","~*"),"?","~?")))</x:f>
      </x:c>
      <x:c r="J741" s="13" t="str">
        <x:f>IF(OR(NOT(ISNUMBER(E741)),NOT(ISNUMBER(I741))),"",ROUND(E741-I741,2))</x:f>
      </x:c>
      <x:c r="K741" s="2" t="str">
        <x:f>IF(COUNTA(A741:F741)=0,"",IF(OR(A741="",B741="",C741="",D741="",NOT(ISNUMBER(E741))),"Missing / invalid input",IF(G741&gt;1,"Duplicate key in this source",IF(H741=0,"Missing in other source",IF(H741&gt;1,"Duplicate in other source",IF(SUMIFS('External Data'!$M$2:$M$1001,'External Data'!$L$2:$L$1001,SUBSTITUTE(SUBSTITUTE(SUBSTITUTE(L741,"~","~~"),"*","~*"),"?","~?"))&lt;&gt;1,"Other amount is invalid",IF(J741&lt;&gt;0,"Amount differs","Matched")))))))</x:f>
      </x:c>
      <x:c r="L741" t="str">
        <x:f>IF(COUNTA(A741:F741)=0,"",LEN(A741)&amp;":"&amp;A741&amp;LEN(B741)&amp;":"&amp;B741&amp;LEN(C741)&amp;":"&amp;C741&amp;LEN(D741)&amp;":"&amp;D741)</x:f>
      </x:c>
      <x:c r="M741" t="str">
        <x:f>IF(COUNTA(A741:F741)=0,"",IF(ISNUMBER(E741),1,0))</x:f>
      </x:c>
    </x:row>
    <x:row r="742">
      <x:c r="A742" s="11"/>
      <x:c r="B742" s="11"/>
      <x:c r="C742" s="11"/>
      <x:c r="D742" s="11"/>
      <x:c r="E742" s="12"/>
      <x:c r="F742" s="10"/>
      <x:c r="G742" s="2" t="str">
        <x:f>IF(COUNTA(A742:F742)=0,"",COUNTIFS('App Data'!$L$2:$L$1001,SUBSTITUTE(SUBSTITUTE(SUBSTITUTE(L742,"~","~~"),"*","~*"),"?","~?")))</x:f>
      </x:c>
      <x:c r="H742" s="2" t="str">
        <x:f>IF(COUNTA(A742:F742)=0,"",COUNTIFS('External Data'!$L$2:$L$1001,SUBSTITUTE(SUBSTITUTE(SUBSTITUTE(L742,"~","~~"),"*","~*"),"?","~?")))</x:f>
      </x:c>
      <x:c r="I742" s="13" t="str">
        <x:f>IF(OR(H742&lt;&gt;1,G742&lt;&gt;1),"",SUMIFS('External Data'!$E$2:$E$1001,'External Data'!$L$2:$L$1001,SUBSTITUTE(SUBSTITUTE(SUBSTITUTE(L742,"~","~~"),"*","~*"),"?","~?")))</x:f>
      </x:c>
      <x:c r="J742" s="13" t="str">
        <x:f>IF(OR(NOT(ISNUMBER(E742)),NOT(ISNUMBER(I742))),"",ROUND(E742-I742,2))</x:f>
      </x:c>
      <x:c r="K742" s="2" t="str">
        <x:f>IF(COUNTA(A742:F742)=0,"",IF(OR(A742="",B742="",C742="",D742="",NOT(ISNUMBER(E742))),"Missing / invalid input",IF(G742&gt;1,"Duplicate key in this source",IF(H742=0,"Missing in other source",IF(H742&gt;1,"Duplicate in other source",IF(SUMIFS('External Data'!$M$2:$M$1001,'External Data'!$L$2:$L$1001,SUBSTITUTE(SUBSTITUTE(SUBSTITUTE(L742,"~","~~"),"*","~*"),"?","~?"))&lt;&gt;1,"Other amount is invalid",IF(J742&lt;&gt;0,"Amount differs","Matched")))))))</x:f>
      </x:c>
      <x:c r="L742" t="str">
        <x:f>IF(COUNTA(A742:F742)=0,"",LEN(A742)&amp;":"&amp;A742&amp;LEN(B742)&amp;":"&amp;B742&amp;LEN(C742)&amp;":"&amp;C742&amp;LEN(D742)&amp;":"&amp;D742)</x:f>
      </x:c>
      <x:c r="M742" t="str">
        <x:f>IF(COUNTA(A742:F742)=0,"",IF(ISNUMBER(E742),1,0))</x:f>
      </x:c>
    </x:row>
    <x:row r="743">
      <x:c r="A743" s="11"/>
      <x:c r="B743" s="11"/>
      <x:c r="C743" s="11"/>
      <x:c r="D743" s="11"/>
      <x:c r="E743" s="12"/>
      <x:c r="F743" s="10"/>
      <x:c r="G743" s="2" t="str">
        <x:f>IF(COUNTA(A743:F743)=0,"",COUNTIFS('App Data'!$L$2:$L$1001,SUBSTITUTE(SUBSTITUTE(SUBSTITUTE(L743,"~","~~"),"*","~*"),"?","~?")))</x:f>
      </x:c>
      <x:c r="H743" s="2" t="str">
        <x:f>IF(COUNTA(A743:F743)=0,"",COUNTIFS('External Data'!$L$2:$L$1001,SUBSTITUTE(SUBSTITUTE(SUBSTITUTE(L743,"~","~~"),"*","~*"),"?","~?")))</x:f>
      </x:c>
      <x:c r="I743" s="13" t="str">
        <x:f>IF(OR(H743&lt;&gt;1,G743&lt;&gt;1),"",SUMIFS('External Data'!$E$2:$E$1001,'External Data'!$L$2:$L$1001,SUBSTITUTE(SUBSTITUTE(SUBSTITUTE(L743,"~","~~"),"*","~*"),"?","~?")))</x:f>
      </x:c>
      <x:c r="J743" s="13" t="str">
        <x:f>IF(OR(NOT(ISNUMBER(E743)),NOT(ISNUMBER(I743))),"",ROUND(E743-I743,2))</x:f>
      </x:c>
      <x:c r="K743" s="2" t="str">
        <x:f>IF(COUNTA(A743:F743)=0,"",IF(OR(A743="",B743="",C743="",D743="",NOT(ISNUMBER(E743))),"Missing / invalid input",IF(G743&gt;1,"Duplicate key in this source",IF(H743=0,"Missing in other source",IF(H743&gt;1,"Duplicate in other source",IF(SUMIFS('External Data'!$M$2:$M$1001,'External Data'!$L$2:$L$1001,SUBSTITUTE(SUBSTITUTE(SUBSTITUTE(L743,"~","~~"),"*","~*"),"?","~?"))&lt;&gt;1,"Other amount is invalid",IF(J743&lt;&gt;0,"Amount differs","Matched")))))))</x:f>
      </x:c>
      <x:c r="L743" t="str">
        <x:f>IF(COUNTA(A743:F743)=0,"",LEN(A743)&amp;":"&amp;A743&amp;LEN(B743)&amp;":"&amp;B743&amp;LEN(C743)&amp;":"&amp;C743&amp;LEN(D743)&amp;":"&amp;D743)</x:f>
      </x:c>
      <x:c r="M743" t="str">
        <x:f>IF(COUNTA(A743:F743)=0,"",IF(ISNUMBER(E743),1,0))</x:f>
      </x:c>
    </x:row>
    <x:row r="744">
      <x:c r="A744" s="11"/>
      <x:c r="B744" s="11"/>
      <x:c r="C744" s="11"/>
      <x:c r="D744" s="11"/>
      <x:c r="E744" s="12"/>
      <x:c r="F744" s="10"/>
      <x:c r="G744" s="2" t="str">
        <x:f>IF(COUNTA(A744:F744)=0,"",COUNTIFS('App Data'!$L$2:$L$1001,SUBSTITUTE(SUBSTITUTE(SUBSTITUTE(L744,"~","~~"),"*","~*"),"?","~?")))</x:f>
      </x:c>
      <x:c r="H744" s="2" t="str">
        <x:f>IF(COUNTA(A744:F744)=0,"",COUNTIFS('External Data'!$L$2:$L$1001,SUBSTITUTE(SUBSTITUTE(SUBSTITUTE(L744,"~","~~"),"*","~*"),"?","~?")))</x:f>
      </x:c>
      <x:c r="I744" s="13" t="str">
        <x:f>IF(OR(H744&lt;&gt;1,G744&lt;&gt;1),"",SUMIFS('External Data'!$E$2:$E$1001,'External Data'!$L$2:$L$1001,SUBSTITUTE(SUBSTITUTE(SUBSTITUTE(L744,"~","~~"),"*","~*"),"?","~?")))</x:f>
      </x:c>
      <x:c r="J744" s="13" t="str">
        <x:f>IF(OR(NOT(ISNUMBER(E744)),NOT(ISNUMBER(I744))),"",ROUND(E744-I744,2))</x:f>
      </x:c>
      <x:c r="K744" s="2" t="str">
        <x:f>IF(COUNTA(A744:F744)=0,"",IF(OR(A744="",B744="",C744="",D744="",NOT(ISNUMBER(E744))),"Missing / invalid input",IF(G744&gt;1,"Duplicate key in this source",IF(H744=0,"Missing in other source",IF(H744&gt;1,"Duplicate in other source",IF(SUMIFS('External Data'!$M$2:$M$1001,'External Data'!$L$2:$L$1001,SUBSTITUTE(SUBSTITUTE(SUBSTITUTE(L744,"~","~~"),"*","~*"),"?","~?"))&lt;&gt;1,"Other amount is invalid",IF(J744&lt;&gt;0,"Amount differs","Matched")))))))</x:f>
      </x:c>
      <x:c r="L744" t="str">
        <x:f>IF(COUNTA(A744:F744)=0,"",LEN(A744)&amp;":"&amp;A744&amp;LEN(B744)&amp;":"&amp;B744&amp;LEN(C744)&amp;":"&amp;C744&amp;LEN(D744)&amp;":"&amp;D744)</x:f>
      </x:c>
      <x:c r="M744" t="str">
        <x:f>IF(COUNTA(A744:F744)=0,"",IF(ISNUMBER(E744),1,0))</x:f>
      </x:c>
    </x:row>
    <x:row r="745">
      <x:c r="A745" s="11"/>
      <x:c r="B745" s="11"/>
      <x:c r="C745" s="11"/>
      <x:c r="D745" s="11"/>
      <x:c r="E745" s="12"/>
      <x:c r="F745" s="10"/>
      <x:c r="G745" s="2" t="str">
        <x:f>IF(COUNTA(A745:F745)=0,"",COUNTIFS('App Data'!$L$2:$L$1001,SUBSTITUTE(SUBSTITUTE(SUBSTITUTE(L745,"~","~~"),"*","~*"),"?","~?")))</x:f>
      </x:c>
      <x:c r="H745" s="2" t="str">
        <x:f>IF(COUNTA(A745:F745)=0,"",COUNTIFS('External Data'!$L$2:$L$1001,SUBSTITUTE(SUBSTITUTE(SUBSTITUTE(L745,"~","~~"),"*","~*"),"?","~?")))</x:f>
      </x:c>
      <x:c r="I745" s="13" t="str">
        <x:f>IF(OR(H745&lt;&gt;1,G745&lt;&gt;1),"",SUMIFS('External Data'!$E$2:$E$1001,'External Data'!$L$2:$L$1001,SUBSTITUTE(SUBSTITUTE(SUBSTITUTE(L745,"~","~~"),"*","~*"),"?","~?")))</x:f>
      </x:c>
      <x:c r="J745" s="13" t="str">
        <x:f>IF(OR(NOT(ISNUMBER(E745)),NOT(ISNUMBER(I745))),"",ROUND(E745-I745,2))</x:f>
      </x:c>
      <x:c r="K745" s="2" t="str">
        <x:f>IF(COUNTA(A745:F745)=0,"",IF(OR(A745="",B745="",C745="",D745="",NOT(ISNUMBER(E745))),"Missing / invalid input",IF(G745&gt;1,"Duplicate key in this source",IF(H745=0,"Missing in other source",IF(H745&gt;1,"Duplicate in other source",IF(SUMIFS('External Data'!$M$2:$M$1001,'External Data'!$L$2:$L$1001,SUBSTITUTE(SUBSTITUTE(SUBSTITUTE(L745,"~","~~"),"*","~*"),"?","~?"))&lt;&gt;1,"Other amount is invalid",IF(J745&lt;&gt;0,"Amount differs","Matched")))))))</x:f>
      </x:c>
      <x:c r="L745" t="str">
        <x:f>IF(COUNTA(A745:F745)=0,"",LEN(A745)&amp;":"&amp;A745&amp;LEN(B745)&amp;":"&amp;B745&amp;LEN(C745)&amp;":"&amp;C745&amp;LEN(D745)&amp;":"&amp;D745)</x:f>
      </x:c>
      <x:c r="M745" t="str">
        <x:f>IF(COUNTA(A745:F745)=0,"",IF(ISNUMBER(E745),1,0))</x:f>
      </x:c>
    </x:row>
    <x:row r="746">
      <x:c r="A746" s="11"/>
      <x:c r="B746" s="11"/>
      <x:c r="C746" s="11"/>
      <x:c r="D746" s="11"/>
      <x:c r="E746" s="12"/>
      <x:c r="F746" s="10"/>
      <x:c r="G746" s="2" t="str">
        <x:f>IF(COUNTA(A746:F746)=0,"",COUNTIFS('App Data'!$L$2:$L$1001,SUBSTITUTE(SUBSTITUTE(SUBSTITUTE(L746,"~","~~"),"*","~*"),"?","~?")))</x:f>
      </x:c>
      <x:c r="H746" s="2" t="str">
        <x:f>IF(COUNTA(A746:F746)=0,"",COUNTIFS('External Data'!$L$2:$L$1001,SUBSTITUTE(SUBSTITUTE(SUBSTITUTE(L746,"~","~~"),"*","~*"),"?","~?")))</x:f>
      </x:c>
      <x:c r="I746" s="13" t="str">
        <x:f>IF(OR(H746&lt;&gt;1,G746&lt;&gt;1),"",SUMIFS('External Data'!$E$2:$E$1001,'External Data'!$L$2:$L$1001,SUBSTITUTE(SUBSTITUTE(SUBSTITUTE(L746,"~","~~"),"*","~*"),"?","~?")))</x:f>
      </x:c>
      <x:c r="J746" s="13" t="str">
        <x:f>IF(OR(NOT(ISNUMBER(E746)),NOT(ISNUMBER(I746))),"",ROUND(E746-I746,2))</x:f>
      </x:c>
      <x:c r="K746" s="2" t="str">
        <x:f>IF(COUNTA(A746:F746)=0,"",IF(OR(A746="",B746="",C746="",D746="",NOT(ISNUMBER(E746))),"Missing / invalid input",IF(G746&gt;1,"Duplicate key in this source",IF(H746=0,"Missing in other source",IF(H746&gt;1,"Duplicate in other source",IF(SUMIFS('External Data'!$M$2:$M$1001,'External Data'!$L$2:$L$1001,SUBSTITUTE(SUBSTITUTE(SUBSTITUTE(L746,"~","~~"),"*","~*"),"?","~?"))&lt;&gt;1,"Other amount is invalid",IF(J746&lt;&gt;0,"Amount differs","Matched")))))))</x:f>
      </x:c>
      <x:c r="L746" t="str">
        <x:f>IF(COUNTA(A746:F746)=0,"",LEN(A746)&amp;":"&amp;A746&amp;LEN(B746)&amp;":"&amp;B746&amp;LEN(C746)&amp;":"&amp;C746&amp;LEN(D746)&amp;":"&amp;D746)</x:f>
      </x:c>
      <x:c r="M746" t="str">
        <x:f>IF(COUNTA(A746:F746)=0,"",IF(ISNUMBER(E746),1,0))</x:f>
      </x:c>
    </x:row>
    <x:row r="747">
      <x:c r="A747" s="11"/>
      <x:c r="B747" s="11"/>
      <x:c r="C747" s="11"/>
      <x:c r="D747" s="11"/>
      <x:c r="E747" s="12"/>
      <x:c r="F747" s="10"/>
      <x:c r="G747" s="2" t="str">
        <x:f>IF(COUNTA(A747:F747)=0,"",COUNTIFS('App Data'!$L$2:$L$1001,SUBSTITUTE(SUBSTITUTE(SUBSTITUTE(L747,"~","~~"),"*","~*"),"?","~?")))</x:f>
      </x:c>
      <x:c r="H747" s="2" t="str">
        <x:f>IF(COUNTA(A747:F747)=0,"",COUNTIFS('External Data'!$L$2:$L$1001,SUBSTITUTE(SUBSTITUTE(SUBSTITUTE(L747,"~","~~"),"*","~*"),"?","~?")))</x:f>
      </x:c>
      <x:c r="I747" s="13" t="str">
        <x:f>IF(OR(H747&lt;&gt;1,G747&lt;&gt;1),"",SUMIFS('External Data'!$E$2:$E$1001,'External Data'!$L$2:$L$1001,SUBSTITUTE(SUBSTITUTE(SUBSTITUTE(L747,"~","~~"),"*","~*"),"?","~?")))</x:f>
      </x:c>
      <x:c r="J747" s="13" t="str">
        <x:f>IF(OR(NOT(ISNUMBER(E747)),NOT(ISNUMBER(I747))),"",ROUND(E747-I747,2))</x:f>
      </x:c>
      <x:c r="K747" s="2" t="str">
        <x:f>IF(COUNTA(A747:F747)=0,"",IF(OR(A747="",B747="",C747="",D747="",NOT(ISNUMBER(E747))),"Missing / invalid input",IF(G747&gt;1,"Duplicate key in this source",IF(H747=0,"Missing in other source",IF(H747&gt;1,"Duplicate in other source",IF(SUMIFS('External Data'!$M$2:$M$1001,'External Data'!$L$2:$L$1001,SUBSTITUTE(SUBSTITUTE(SUBSTITUTE(L747,"~","~~"),"*","~*"),"?","~?"))&lt;&gt;1,"Other amount is invalid",IF(J747&lt;&gt;0,"Amount differs","Matched")))))))</x:f>
      </x:c>
      <x:c r="L747" t="str">
        <x:f>IF(COUNTA(A747:F747)=0,"",LEN(A747)&amp;":"&amp;A747&amp;LEN(B747)&amp;":"&amp;B747&amp;LEN(C747)&amp;":"&amp;C747&amp;LEN(D747)&amp;":"&amp;D747)</x:f>
      </x:c>
      <x:c r="M747" t="str">
        <x:f>IF(COUNTA(A747:F747)=0,"",IF(ISNUMBER(E747),1,0))</x:f>
      </x:c>
    </x:row>
    <x:row r="748">
      <x:c r="A748" s="11"/>
      <x:c r="B748" s="11"/>
      <x:c r="C748" s="11"/>
      <x:c r="D748" s="11"/>
      <x:c r="E748" s="12"/>
      <x:c r="F748" s="10"/>
      <x:c r="G748" s="2" t="str">
        <x:f>IF(COUNTA(A748:F748)=0,"",COUNTIFS('App Data'!$L$2:$L$1001,SUBSTITUTE(SUBSTITUTE(SUBSTITUTE(L748,"~","~~"),"*","~*"),"?","~?")))</x:f>
      </x:c>
      <x:c r="H748" s="2" t="str">
        <x:f>IF(COUNTA(A748:F748)=0,"",COUNTIFS('External Data'!$L$2:$L$1001,SUBSTITUTE(SUBSTITUTE(SUBSTITUTE(L748,"~","~~"),"*","~*"),"?","~?")))</x:f>
      </x:c>
      <x:c r="I748" s="13" t="str">
        <x:f>IF(OR(H748&lt;&gt;1,G748&lt;&gt;1),"",SUMIFS('External Data'!$E$2:$E$1001,'External Data'!$L$2:$L$1001,SUBSTITUTE(SUBSTITUTE(SUBSTITUTE(L748,"~","~~"),"*","~*"),"?","~?")))</x:f>
      </x:c>
      <x:c r="J748" s="13" t="str">
        <x:f>IF(OR(NOT(ISNUMBER(E748)),NOT(ISNUMBER(I748))),"",ROUND(E748-I748,2))</x:f>
      </x:c>
      <x:c r="K748" s="2" t="str">
        <x:f>IF(COUNTA(A748:F748)=0,"",IF(OR(A748="",B748="",C748="",D748="",NOT(ISNUMBER(E748))),"Missing / invalid input",IF(G748&gt;1,"Duplicate key in this source",IF(H748=0,"Missing in other source",IF(H748&gt;1,"Duplicate in other source",IF(SUMIFS('External Data'!$M$2:$M$1001,'External Data'!$L$2:$L$1001,SUBSTITUTE(SUBSTITUTE(SUBSTITUTE(L748,"~","~~"),"*","~*"),"?","~?"))&lt;&gt;1,"Other amount is invalid",IF(J748&lt;&gt;0,"Amount differs","Matched")))))))</x:f>
      </x:c>
      <x:c r="L748" t="str">
        <x:f>IF(COUNTA(A748:F748)=0,"",LEN(A748)&amp;":"&amp;A748&amp;LEN(B748)&amp;":"&amp;B748&amp;LEN(C748)&amp;":"&amp;C748&amp;LEN(D748)&amp;":"&amp;D748)</x:f>
      </x:c>
      <x:c r="M748" t="str">
        <x:f>IF(COUNTA(A748:F748)=0,"",IF(ISNUMBER(E748),1,0))</x:f>
      </x:c>
    </x:row>
    <x:row r="749">
      <x:c r="A749" s="11"/>
      <x:c r="B749" s="11"/>
      <x:c r="C749" s="11"/>
      <x:c r="D749" s="11"/>
      <x:c r="E749" s="12"/>
      <x:c r="F749" s="10"/>
      <x:c r="G749" s="2" t="str">
        <x:f>IF(COUNTA(A749:F749)=0,"",COUNTIFS('App Data'!$L$2:$L$1001,SUBSTITUTE(SUBSTITUTE(SUBSTITUTE(L749,"~","~~"),"*","~*"),"?","~?")))</x:f>
      </x:c>
      <x:c r="H749" s="2" t="str">
        <x:f>IF(COUNTA(A749:F749)=0,"",COUNTIFS('External Data'!$L$2:$L$1001,SUBSTITUTE(SUBSTITUTE(SUBSTITUTE(L749,"~","~~"),"*","~*"),"?","~?")))</x:f>
      </x:c>
      <x:c r="I749" s="13" t="str">
        <x:f>IF(OR(H749&lt;&gt;1,G749&lt;&gt;1),"",SUMIFS('External Data'!$E$2:$E$1001,'External Data'!$L$2:$L$1001,SUBSTITUTE(SUBSTITUTE(SUBSTITUTE(L749,"~","~~"),"*","~*"),"?","~?")))</x:f>
      </x:c>
      <x:c r="J749" s="13" t="str">
        <x:f>IF(OR(NOT(ISNUMBER(E749)),NOT(ISNUMBER(I749))),"",ROUND(E749-I749,2))</x:f>
      </x:c>
      <x:c r="K749" s="2" t="str">
        <x:f>IF(COUNTA(A749:F749)=0,"",IF(OR(A749="",B749="",C749="",D749="",NOT(ISNUMBER(E749))),"Missing / invalid input",IF(G749&gt;1,"Duplicate key in this source",IF(H749=0,"Missing in other source",IF(H749&gt;1,"Duplicate in other source",IF(SUMIFS('External Data'!$M$2:$M$1001,'External Data'!$L$2:$L$1001,SUBSTITUTE(SUBSTITUTE(SUBSTITUTE(L749,"~","~~"),"*","~*"),"?","~?"))&lt;&gt;1,"Other amount is invalid",IF(J749&lt;&gt;0,"Amount differs","Matched")))))))</x:f>
      </x:c>
      <x:c r="L749" t="str">
        <x:f>IF(COUNTA(A749:F749)=0,"",LEN(A749)&amp;":"&amp;A749&amp;LEN(B749)&amp;":"&amp;B749&amp;LEN(C749)&amp;":"&amp;C749&amp;LEN(D749)&amp;":"&amp;D749)</x:f>
      </x:c>
      <x:c r="M749" t="str">
        <x:f>IF(COUNTA(A749:F749)=0,"",IF(ISNUMBER(E749),1,0))</x:f>
      </x:c>
    </x:row>
    <x:row r="750">
      <x:c r="A750" s="11"/>
      <x:c r="B750" s="11"/>
      <x:c r="C750" s="11"/>
      <x:c r="D750" s="11"/>
      <x:c r="E750" s="12"/>
      <x:c r="F750" s="10"/>
      <x:c r="G750" s="2" t="str">
        <x:f>IF(COUNTA(A750:F750)=0,"",COUNTIFS('App Data'!$L$2:$L$1001,SUBSTITUTE(SUBSTITUTE(SUBSTITUTE(L750,"~","~~"),"*","~*"),"?","~?")))</x:f>
      </x:c>
      <x:c r="H750" s="2" t="str">
        <x:f>IF(COUNTA(A750:F750)=0,"",COUNTIFS('External Data'!$L$2:$L$1001,SUBSTITUTE(SUBSTITUTE(SUBSTITUTE(L750,"~","~~"),"*","~*"),"?","~?")))</x:f>
      </x:c>
      <x:c r="I750" s="13" t="str">
        <x:f>IF(OR(H750&lt;&gt;1,G750&lt;&gt;1),"",SUMIFS('External Data'!$E$2:$E$1001,'External Data'!$L$2:$L$1001,SUBSTITUTE(SUBSTITUTE(SUBSTITUTE(L750,"~","~~"),"*","~*"),"?","~?")))</x:f>
      </x:c>
      <x:c r="J750" s="13" t="str">
        <x:f>IF(OR(NOT(ISNUMBER(E750)),NOT(ISNUMBER(I750))),"",ROUND(E750-I750,2))</x:f>
      </x:c>
      <x:c r="K750" s="2" t="str">
        <x:f>IF(COUNTA(A750:F750)=0,"",IF(OR(A750="",B750="",C750="",D750="",NOT(ISNUMBER(E750))),"Missing / invalid input",IF(G750&gt;1,"Duplicate key in this source",IF(H750=0,"Missing in other source",IF(H750&gt;1,"Duplicate in other source",IF(SUMIFS('External Data'!$M$2:$M$1001,'External Data'!$L$2:$L$1001,SUBSTITUTE(SUBSTITUTE(SUBSTITUTE(L750,"~","~~"),"*","~*"),"?","~?"))&lt;&gt;1,"Other amount is invalid",IF(J750&lt;&gt;0,"Amount differs","Matched")))))))</x:f>
      </x:c>
      <x:c r="L750" t="str">
        <x:f>IF(COUNTA(A750:F750)=0,"",LEN(A750)&amp;":"&amp;A750&amp;LEN(B750)&amp;":"&amp;B750&amp;LEN(C750)&amp;":"&amp;C750&amp;LEN(D750)&amp;":"&amp;D750)</x:f>
      </x:c>
      <x:c r="M750" t="str">
        <x:f>IF(COUNTA(A750:F750)=0,"",IF(ISNUMBER(E750),1,0))</x:f>
      </x:c>
    </x:row>
    <x:row r="751">
      <x:c r="A751" s="11"/>
      <x:c r="B751" s="11"/>
      <x:c r="C751" s="11"/>
      <x:c r="D751" s="11"/>
      <x:c r="E751" s="12"/>
      <x:c r="F751" s="10"/>
      <x:c r="G751" s="2" t="str">
        <x:f>IF(COUNTA(A751:F751)=0,"",COUNTIFS('App Data'!$L$2:$L$1001,SUBSTITUTE(SUBSTITUTE(SUBSTITUTE(L751,"~","~~"),"*","~*"),"?","~?")))</x:f>
      </x:c>
      <x:c r="H751" s="2" t="str">
        <x:f>IF(COUNTA(A751:F751)=0,"",COUNTIFS('External Data'!$L$2:$L$1001,SUBSTITUTE(SUBSTITUTE(SUBSTITUTE(L751,"~","~~"),"*","~*"),"?","~?")))</x:f>
      </x:c>
      <x:c r="I751" s="13" t="str">
        <x:f>IF(OR(H751&lt;&gt;1,G751&lt;&gt;1),"",SUMIFS('External Data'!$E$2:$E$1001,'External Data'!$L$2:$L$1001,SUBSTITUTE(SUBSTITUTE(SUBSTITUTE(L751,"~","~~"),"*","~*"),"?","~?")))</x:f>
      </x:c>
      <x:c r="J751" s="13" t="str">
        <x:f>IF(OR(NOT(ISNUMBER(E751)),NOT(ISNUMBER(I751))),"",ROUND(E751-I751,2))</x:f>
      </x:c>
      <x:c r="K751" s="2" t="str">
        <x:f>IF(COUNTA(A751:F751)=0,"",IF(OR(A751="",B751="",C751="",D751="",NOT(ISNUMBER(E751))),"Missing / invalid input",IF(G751&gt;1,"Duplicate key in this source",IF(H751=0,"Missing in other source",IF(H751&gt;1,"Duplicate in other source",IF(SUMIFS('External Data'!$M$2:$M$1001,'External Data'!$L$2:$L$1001,SUBSTITUTE(SUBSTITUTE(SUBSTITUTE(L751,"~","~~"),"*","~*"),"?","~?"))&lt;&gt;1,"Other amount is invalid",IF(J751&lt;&gt;0,"Amount differs","Matched")))))))</x:f>
      </x:c>
      <x:c r="L751" t="str">
        <x:f>IF(COUNTA(A751:F751)=0,"",LEN(A751)&amp;":"&amp;A751&amp;LEN(B751)&amp;":"&amp;B751&amp;LEN(C751)&amp;":"&amp;C751&amp;LEN(D751)&amp;":"&amp;D751)</x:f>
      </x:c>
      <x:c r="M751" t="str">
        <x:f>IF(COUNTA(A751:F751)=0,"",IF(ISNUMBER(E751),1,0))</x:f>
      </x:c>
    </x:row>
    <x:row r="752">
      <x:c r="A752" s="11"/>
      <x:c r="B752" s="11"/>
      <x:c r="C752" s="11"/>
      <x:c r="D752" s="11"/>
      <x:c r="E752" s="12"/>
      <x:c r="F752" s="10"/>
      <x:c r="G752" s="2" t="str">
        <x:f>IF(COUNTA(A752:F752)=0,"",COUNTIFS('App Data'!$L$2:$L$1001,SUBSTITUTE(SUBSTITUTE(SUBSTITUTE(L752,"~","~~"),"*","~*"),"?","~?")))</x:f>
      </x:c>
      <x:c r="H752" s="2" t="str">
        <x:f>IF(COUNTA(A752:F752)=0,"",COUNTIFS('External Data'!$L$2:$L$1001,SUBSTITUTE(SUBSTITUTE(SUBSTITUTE(L752,"~","~~"),"*","~*"),"?","~?")))</x:f>
      </x:c>
      <x:c r="I752" s="13" t="str">
        <x:f>IF(OR(H752&lt;&gt;1,G752&lt;&gt;1),"",SUMIFS('External Data'!$E$2:$E$1001,'External Data'!$L$2:$L$1001,SUBSTITUTE(SUBSTITUTE(SUBSTITUTE(L752,"~","~~"),"*","~*"),"?","~?")))</x:f>
      </x:c>
      <x:c r="J752" s="13" t="str">
        <x:f>IF(OR(NOT(ISNUMBER(E752)),NOT(ISNUMBER(I752))),"",ROUND(E752-I752,2))</x:f>
      </x:c>
      <x:c r="K752" s="2" t="str">
        <x:f>IF(COUNTA(A752:F752)=0,"",IF(OR(A752="",B752="",C752="",D752="",NOT(ISNUMBER(E752))),"Missing / invalid input",IF(G752&gt;1,"Duplicate key in this source",IF(H752=0,"Missing in other source",IF(H752&gt;1,"Duplicate in other source",IF(SUMIFS('External Data'!$M$2:$M$1001,'External Data'!$L$2:$L$1001,SUBSTITUTE(SUBSTITUTE(SUBSTITUTE(L752,"~","~~"),"*","~*"),"?","~?"))&lt;&gt;1,"Other amount is invalid",IF(J752&lt;&gt;0,"Amount differs","Matched")))))))</x:f>
      </x:c>
      <x:c r="L752" t="str">
        <x:f>IF(COUNTA(A752:F752)=0,"",LEN(A752)&amp;":"&amp;A752&amp;LEN(B752)&amp;":"&amp;B752&amp;LEN(C752)&amp;":"&amp;C752&amp;LEN(D752)&amp;":"&amp;D752)</x:f>
      </x:c>
      <x:c r="M752" t="str">
        <x:f>IF(COUNTA(A752:F752)=0,"",IF(ISNUMBER(E752),1,0))</x:f>
      </x:c>
    </x:row>
    <x:row r="753">
      <x:c r="A753" s="11"/>
      <x:c r="B753" s="11"/>
      <x:c r="C753" s="11"/>
      <x:c r="D753" s="11"/>
      <x:c r="E753" s="12"/>
      <x:c r="F753" s="10"/>
      <x:c r="G753" s="2" t="str">
        <x:f>IF(COUNTA(A753:F753)=0,"",COUNTIFS('App Data'!$L$2:$L$1001,SUBSTITUTE(SUBSTITUTE(SUBSTITUTE(L753,"~","~~"),"*","~*"),"?","~?")))</x:f>
      </x:c>
      <x:c r="H753" s="2" t="str">
        <x:f>IF(COUNTA(A753:F753)=0,"",COUNTIFS('External Data'!$L$2:$L$1001,SUBSTITUTE(SUBSTITUTE(SUBSTITUTE(L753,"~","~~"),"*","~*"),"?","~?")))</x:f>
      </x:c>
      <x:c r="I753" s="13" t="str">
        <x:f>IF(OR(H753&lt;&gt;1,G753&lt;&gt;1),"",SUMIFS('External Data'!$E$2:$E$1001,'External Data'!$L$2:$L$1001,SUBSTITUTE(SUBSTITUTE(SUBSTITUTE(L753,"~","~~"),"*","~*"),"?","~?")))</x:f>
      </x:c>
      <x:c r="J753" s="13" t="str">
        <x:f>IF(OR(NOT(ISNUMBER(E753)),NOT(ISNUMBER(I753))),"",ROUND(E753-I753,2))</x:f>
      </x:c>
      <x:c r="K753" s="2" t="str">
        <x:f>IF(COUNTA(A753:F753)=0,"",IF(OR(A753="",B753="",C753="",D753="",NOT(ISNUMBER(E753))),"Missing / invalid input",IF(G753&gt;1,"Duplicate key in this source",IF(H753=0,"Missing in other source",IF(H753&gt;1,"Duplicate in other source",IF(SUMIFS('External Data'!$M$2:$M$1001,'External Data'!$L$2:$L$1001,SUBSTITUTE(SUBSTITUTE(SUBSTITUTE(L753,"~","~~"),"*","~*"),"?","~?"))&lt;&gt;1,"Other amount is invalid",IF(J753&lt;&gt;0,"Amount differs","Matched")))))))</x:f>
      </x:c>
      <x:c r="L753" t="str">
        <x:f>IF(COUNTA(A753:F753)=0,"",LEN(A753)&amp;":"&amp;A753&amp;LEN(B753)&amp;":"&amp;B753&amp;LEN(C753)&amp;":"&amp;C753&amp;LEN(D753)&amp;":"&amp;D753)</x:f>
      </x:c>
      <x:c r="M753" t="str">
        <x:f>IF(COUNTA(A753:F753)=0,"",IF(ISNUMBER(E753),1,0))</x:f>
      </x:c>
    </x:row>
    <x:row r="754">
      <x:c r="A754" s="11"/>
      <x:c r="B754" s="11"/>
      <x:c r="C754" s="11"/>
      <x:c r="D754" s="11"/>
      <x:c r="E754" s="12"/>
      <x:c r="F754" s="10"/>
      <x:c r="G754" s="2" t="str">
        <x:f>IF(COUNTA(A754:F754)=0,"",COUNTIFS('App Data'!$L$2:$L$1001,SUBSTITUTE(SUBSTITUTE(SUBSTITUTE(L754,"~","~~"),"*","~*"),"?","~?")))</x:f>
      </x:c>
      <x:c r="H754" s="2" t="str">
        <x:f>IF(COUNTA(A754:F754)=0,"",COUNTIFS('External Data'!$L$2:$L$1001,SUBSTITUTE(SUBSTITUTE(SUBSTITUTE(L754,"~","~~"),"*","~*"),"?","~?")))</x:f>
      </x:c>
      <x:c r="I754" s="13" t="str">
        <x:f>IF(OR(H754&lt;&gt;1,G754&lt;&gt;1),"",SUMIFS('External Data'!$E$2:$E$1001,'External Data'!$L$2:$L$1001,SUBSTITUTE(SUBSTITUTE(SUBSTITUTE(L754,"~","~~"),"*","~*"),"?","~?")))</x:f>
      </x:c>
      <x:c r="J754" s="13" t="str">
        <x:f>IF(OR(NOT(ISNUMBER(E754)),NOT(ISNUMBER(I754))),"",ROUND(E754-I754,2))</x:f>
      </x:c>
      <x:c r="K754" s="2" t="str">
        <x:f>IF(COUNTA(A754:F754)=0,"",IF(OR(A754="",B754="",C754="",D754="",NOT(ISNUMBER(E754))),"Missing / invalid input",IF(G754&gt;1,"Duplicate key in this source",IF(H754=0,"Missing in other source",IF(H754&gt;1,"Duplicate in other source",IF(SUMIFS('External Data'!$M$2:$M$1001,'External Data'!$L$2:$L$1001,SUBSTITUTE(SUBSTITUTE(SUBSTITUTE(L754,"~","~~"),"*","~*"),"?","~?"))&lt;&gt;1,"Other amount is invalid",IF(J754&lt;&gt;0,"Amount differs","Matched")))))))</x:f>
      </x:c>
      <x:c r="L754" t="str">
        <x:f>IF(COUNTA(A754:F754)=0,"",LEN(A754)&amp;":"&amp;A754&amp;LEN(B754)&amp;":"&amp;B754&amp;LEN(C754)&amp;":"&amp;C754&amp;LEN(D754)&amp;":"&amp;D754)</x:f>
      </x:c>
      <x:c r="M754" t="str">
        <x:f>IF(COUNTA(A754:F754)=0,"",IF(ISNUMBER(E754),1,0))</x:f>
      </x:c>
    </x:row>
    <x:row r="755">
      <x:c r="A755" s="11"/>
      <x:c r="B755" s="11"/>
      <x:c r="C755" s="11"/>
      <x:c r="D755" s="11"/>
      <x:c r="E755" s="12"/>
      <x:c r="F755" s="10"/>
      <x:c r="G755" s="2" t="str">
        <x:f>IF(COUNTA(A755:F755)=0,"",COUNTIFS('App Data'!$L$2:$L$1001,SUBSTITUTE(SUBSTITUTE(SUBSTITUTE(L755,"~","~~"),"*","~*"),"?","~?")))</x:f>
      </x:c>
      <x:c r="H755" s="2" t="str">
        <x:f>IF(COUNTA(A755:F755)=0,"",COUNTIFS('External Data'!$L$2:$L$1001,SUBSTITUTE(SUBSTITUTE(SUBSTITUTE(L755,"~","~~"),"*","~*"),"?","~?")))</x:f>
      </x:c>
      <x:c r="I755" s="13" t="str">
        <x:f>IF(OR(H755&lt;&gt;1,G755&lt;&gt;1),"",SUMIFS('External Data'!$E$2:$E$1001,'External Data'!$L$2:$L$1001,SUBSTITUTE(SUBSTITUTE(SUBSTITUTE(L755,"~","~~"),"*","~*"),"?","~?")))</x:f>
      </x:c>
      <x:c r="J755" s="13" t="str">
        <x:f>IF(OR(NOT(ISNUMBER(E755)),NOT(ISNUMBER(I755))),"",ROUND(E755-I755,2))</x:f>
      </x:c>
      <x:c r="K755" s="2" t="str">
        <x:f>IF(COUNTA(A755:F755)=0,"",IF(OR(A755="",B755="",C755="",D755="",NOT(ISNUMBER(E755))),"Missing / invalid input",IF(G755&gt;1,"Duplicate key in this source",IF(H755=0,"Missing in other source",IF(H755&gt;1,"Duplicate in other source",IF(SUMIFS('External Data'!$M$2:$M$1001,'External Data'!$L$2:$L$1001,SUBSTITUTE(SUBSTITUTE(SUBSTITUTE(L755,"~","~~"),"*","~*"),"?","~?"))&lt;&gt;1,"Other amount is invalid",IF(J755&lt;&gt;0,"Amount differs","Matched")))))))</x:f>
      </x:c>
      <x:c r="L755" t="str">
        <x:f>IF(COUNTA(A755:F755)=0,"",LEN(A755)&amp;":"&amp;A755&amp;LEN(B755)&amp;":"&amp;B755&amp;LEN(C755)&amp;":"&amp;C755&amp;LEN(D755)&amp;":"&amp;D755)</x:f>
      </x:c>
      <x:c r="M755" t="str">
        <x:f>IF(COUNTA(A755:F755)=0,"",IF(ISNUMBER(E755),1,0))</x:f>
      </x:c>
    </x:row>
    <x:row r="756">
      <x:c r="A756" s="11"/>
      <x:c r="B756" s="11"/>
      <x:c r="C756" s="11"/>
      <x:c r="D756" s="11"/>
      <x:c r="E756" s="12"/>
      <x:c r="F756" s="10"/>
      <x:c r="G756" s="2" t="str">
        <x:f>IF(COUNTA(A756:F756)=0,"",COUNTIFS('App Data'!$L$2:$L$1001,SUBSTITUTE(SUBSTITUTE(SUBSTITUTE(L756,"~","~~"),"*","~*"),"?","~?")))</x:f>
      </x:c>
      <x:c r="H756" s="2" t="str">
        <x:f>IF(COUNTA(A756:F756)=0,"",COUNTIFS('External Data'!$L$2:$L$1001,SUBSTITUTE(SUBSTITUTE(SUBSTITUTE(L756,"~","~~"),"*","~*"),"?","~?")))</x:f>
      </x:c>
      <x:c r="I756" s="13" t="str">
        <x:f>IF(OR(H756&lt;&gt;1,G756&lt;&gt;1),"",SUMIFS('External Data'!$E$2:$E$1001,'External Data'!$L$2:$L$1001,SUBSTITUTE(SUBSTITUTE(SUBSTITUTE(L756,"~","~~"),"*","~*"),"?","~?")))</x:f>
      </x:c>
      <x:c r="J756" s="13" t="str">
        <x:f>IF(OR(NOT(ISNUMBER(E756)),NOT(ISNUMBER(I756))),"",ROUND(E756-I756,2))</x:f>
      </x:c>
      <x:c r="K756" s="2" t="str">
        <x:f>IF(COUNTA(A756:F756)=0,"",IF(OR(A756="",B756="",C756="",D756="",NOT(ISNUMBER(E756))),"Missing / invalid input",IF(G756&gt;1,"Duplicate key in this source",IF(H756=0,"Missing in other source",IF(H756&gt;1,"Duplicate in other source",IF(SUMIFS('External Data'!$M$2:$M$1001,'External Data'!$L$2:$L$1001,SUBSTITUTE(SUBSTITUTE(SUBSTITUTE(L756,"~","~~"),"*","~*"),"?","~?"))&lt;&gt;1,"Other amount is invalid",IF(J756&lt;&gt;0,"Amount differs","Matched")))))))</x:f>
      </x:c>
      <x:c r="L756" t="str">
        <x:f>IF(COUNTA(A756:F756)=0,"",LEN(A756)&amp;":"&amp;A756&amp;LEN(B756)&amp;":"&amp;B756&amp;LEN(C756)&amp;":"&amp;C756&amp;LEN(D756)&amp;":"&amp;D756)</x:f>
      </x:c>
      <x:c r="M756" t="str">
        <x:f>IF(COUNTA(A756:F756)=0,"",IF(ISNUMBER(E756),1,0))</x:f>
      </x:c>
    </x:row>
    <x:row r="757">
      <x:c r="A757" s="11"/>
      <x:c r="B757" s="11"/>
      <x:c r="C757" s="11"/>
      <x:c r="D757" s="11"/>
      <x:c r="E757" s="12"/>
      <x:c r="F757" s="10"/>
      <x:c r="G757" s="2" t="str">
        <x:f>IF(COUNTA(A757:F757)=0,"",COUNTIFS('App Data'!$L$2:$L$1001,SUBSTITUTE(SUBSTITUTE(SUBSTITUTE(L757,"~","~~"),"*","~*"),"?","~?")))</x:f>
      </x:c>
      <x:c r="H757" s="2" t="str">
        <x:f>IF(COUNTA(A757:F757)=0,"",COUNTIFS('External Data'!$L$2:$L$1001,SUBSTITUTE(SUBSTITUTE(SUBSTITUTE(L757,"~","~~"),"*","~*"),"?","~?")))</x:f>
      </x:c>
      <x:c r="I757" s="13" t="str">
        <x:f>IF(OR(H757&lt;&gt;1,G757&lt;&gt;1),"",SUMIFS('External Data'!$E$2:$E$1001,'External Data'!$L$2:$L$1001,SUBSTITUTE(SUBSTITUTE(SUBSTITUTE(L757,"~","~~"),"*","~*"),"?","~?")))</x:f>
      </x:c>
      <x:c r="J757" s="13" t="str">
        <x:f>IF(OR(NOT(ISNUMBER(E757)),NOT(ISNUMBER(I757))),"",ROUND(E757-I757,2))</x:f>
      </x:c>
      <x:c r="K757" s="2" t="str">
        <x:f>IF(COUNTA(A757:F757)=0,"",IF(OR(A757="",B757="",C757="",D757="",NOT(ISNUMBER(E757))),"Missing / invalid input",IF(G757&gt;1,"Duplicate key in this source",IF(H757=0,"Missing in other source",IF(H757&gt;1,"Duplicate in other source",IF(SUMIFS('External Data'!$M$2:$M$1001,'External Data'!$L$2:$L$1001,SUBSTITUTE(SUBSTITUTE(SUBSTITUTE(L757,"~","~~"),"*","~*"),"?","~?"))&lt;&gt;1,"Other amount is invalid",IF(J757&lt;&gt;0,"Amount differs","Matched")))))))</x:f>
      </x:c>
      <x:c r="L757" t="str">
        <x:f>IF(COUNTA(A757:F757)=0,"",LEN(A757)&amp;":"&amp;A757&amp;LEN(B757)&amp;":"&amp;B757&amp;LEN(C757)&amp;":"&amp;C757&amp;LEN(D757)&amp;":"&amp;D757)</x:f>
      </x:c>
      <x:c r="M757" t="str">
        <x:f>IF(COUNTA(A757:F757)=0,"",IF(ISNUMBER(E757),1,0))</x:f>
      </x:c>
    </x:row>
    <x:row r="758">
      <x:c r="A758" s="11"/>
      <x:c r="B758" s="11"/>
      <x:c r="C758" s="11"/>
      <x:c r="D758" s="11"/>
      <x:c r="E758" s="12"/>
      <x:c r="F758" s="10"/>
      <x:c r="G758" s="2" t="str">
        <x:f>IF(COUNTA(A758:F758)=0,"",COUNTIFS('App Data'!$L$2:$L$1001,SUBSTITUTE(SUBSTITUTE(SUBSTITUTE(L758,"~","~~"),"*","~*"),"?","~?")))</x:f>
      </x:c>
      <x:c r="H758" s="2" t="str">
        <x:f>IF(COUNTA(A758:F758)=0,"",COUNTIFS('External Data'!$L$2:$L$1001,SUBSTITUTE(SUBSTITUTE(SUBSTITUTE(L758,"~","~~"),"*","~*"),"?","~?")))</x:f>
      </x:c>
      <x:c r="I758" s="13" t="str">
        <x:f>IF(OR(H758&lt;&gt;1,G758&lt;&gt;1),"",SUMIFS('External Data'!$E$2:$E$1001,'External Data'!$L$2:$L$1001,SUBSTITUTE(SUBSTITUTE(SUBSTITUTE(L758,"~","~~"),"*","~*"),"?","~?")))</x:f>
      </x:c>
      <x:c r="J758" s="13" t="str">
        <x:f>IF(OR(NOT(ISNUMBER(E758)),NOT(ISNUMBER(I758))),"",ROUND(E758-I758,2))</x:f>
      </x:c>
      <x:c r="K758" s="2" t="str">
        <x:f>IF(COUNTA(A758:F758)=0,"",IF(OR(A758="",B758="",C758="",D758="",NOT(ISNUMBER(E758))),"Missing / invalid input",IF(G758&gt;1,"Duplicate key in this source",IF(H758=0,"Missing in other source",IF(H758&gt;1,"Duplicate in other source",IF(SUMIFS('External Data'!$M$2:$M$1001,'External Data'!$L$2:$L$1001,SUBSTITUTE(SUBSTITUTE(SUBSTITUTE(L758,"~","~~"),"*","~*"),"?","~?"))&lt;&gt;1,"Other amount is invalid",IF(J758&lt;&gt;0,"Amount differs","Matched")))))))</x:f>
      </x:c>
      <x:c r="L758" t="str">
        <x:f>IF(COUNTA(A758:F758)=0,"",LEN(A758)&amp;":"&amp;A758&amp;LEN(B758)&amp;":"&amp;B758&amp;LEN(C758)&amp;":"&amp;C758&amp;LEN(D758)&amp;":"&amp;D758)</x:f>
      </x:c>
      <x:c r="M758" t="str">
        <x:f>IF(COUNTA(A758:F758)=0,"",IF(ISNUMBER(E758),1,0))</x:f>
      </x:c>
    </x:row>
    <x:row r="759">
      <x:c r="A759" s="11"/>
      <x:c r="B759" s="11"/>
      <x:c r="C759" s="11"/>
      <x:c r="D759" s="11"/>
      <x:c r="E759" s="12"/>
      <x:c r="F759" s="10"/>
      <x:c r="G759" s="2" t="str">
        <x:f>IF(COUNTA(A759:F759)=0,"",COUNTIFS('App Data'!$L$2:$L$1001,SUBSTITUTE(SUBSTITUTE(SUBSTITUTE(L759,"~","~~"),"*","~*"),"?","~?")))</x:f>
      </x:c>
      <x:c r="H759" s="2" t="str">
        <x:f>IF(COUNTA(A759:F759)=0,"",COUNTIFS('External Data'!$L$2:$L$1001,SUBSTITUTE(SUBSTITUTE(SUBSTITUTE(L759,"~","~~"),"*","~*"),"?","~?")))</x:f>
      </x:c>
      <x:c r="I759" s="13" t="str">
        <x:f>IF(OR(H759&lt;&gt;1,G759&lt;&gt;1),"",SUMIFS('External Data'!$E$2:$E$1001,'External Data'!$L$2:$L$1001,SUBSTITUTE(SUBSTITUTE(SUBSTITUTE(L759,"~","~~"),"*","~*"),"?","~?")))</x:f>
      </x:c>
      <x:c r="J759" s="13" t="str">
        <x:f>IF(OR(NOT(ISNUMBER(E759)),NOT(ISNUMBER(I759))),"",ROUND(E759-I759,2))</x:f>
      </x:c>
      <x:c r="K759" s="2" t="str">
        <x:f>IF(COUNTA(A759:F759)=0,"",IF(OR(A759="",B759="",C759="",D759="",NOT(ISNUMBER(E759))),"Missing / invalid input",IF(G759&gt;1,"Duplicate key in this source",IF(H759=0,"Missing in other source",IF(H759&gt;1,"Duplicate in other source",IF(SUMIFS('External Data'!$M$2:$M$1001,'External Data'!$L$2:$L$1001,SUBSTITUTE(SUBSTITUTE(SUBSTITUTE(L759,"~","~~"),"*","~*"),"?","~?"))&lt;&gt;1,"Other amount is invalid",IF(J759&lt;&gt;0,"Amount differs","Matched")))))))</x:f>
      </x:c>
      <x:c r="L759" t="str">
        <x:f>IF(COUNTA(A759:F759)=0,"",LEN(A759)&amp;":"&amp;A759&amp;LEN(B759)&amp;":"&amp;B759&amp;LEN(C759)&amp;":"&amp;C759&amp;LEN(D759)&amp;":"&amp;D759)</x:f>
      </x:c>
      <x:c r="M759" t="str">
        <x:f>IF(COUNTA(A759:F759)=0,"",IF(ISNUMBER(E759),1,0))</x:f>
      </x:c>
    </x:row>
    <x:row r="760">
      <x:c r="A760" s="11"/>
      <x:c r="B760" s="11"/>
      <x:c r="C760" s="11"/>
      <x:c r="D760" s="11"/>
      <x:c r="E760" s="12"/>
      <x:c r="F760" s="10"/>
      <x:c r="G760" s="2" t="str">
        <x:f>IF(COUNTA(A760:F760)=0,"",COUNTIFS('App Data'!$L$2:$L$1001,SUBSTITUTE(SUBSTITUTE(SUBSTITUTE(L760,"~","~~"),"*","~*"),"?","~?")))</x:f>
      </x:c>
      <x:c r="H760" s="2" t="str">
        <x:f>IF(COUNTA(A760:F760)=0,"",COUNTIFS('External Data'!$L$2:$L$1001,SUBSTITUTE(SUBSTITUTE(SUBSTITUTE(L760,"~","~~"),"*","~*"),"?","~?")))</x:f>
      </x:c>
      <x:c r="I760" s="13" t="str">
        <x:f>IF(OR(H760&lt;&gt;1,G760&lt;&gt;1),"",SUMIFS('External Data'!$E$2:$E$1001,'External Data'!$L$2:$L$1001,SUBSTITUTE(SUBSTITUTE(SUBSTITUTE(L760,"~","~~"),"*","~*"),"?","~?")))</x:f>
      </x:c>
      <x:c r="J760" s="13" t="str">
        <x:f>IF(OR(NOT(ISNUMBER(E760)),NOT(ISNUMBER(I760))),"",ROUND(E760-I760,2))</x:f>
      </x:c>
      <x:c r="K760" s="2" t="str">
        <x:f>IF(COUNTA(A760:F760)=0,"",IF(OR(A760="",B760="",C760="",D760="",NOT(ISNUMBER(E760))),"Missing / invalid input",IF(G760&gt;1,"Duplicate key in this source",IF(H760=0,"Missing in other source",IF(H760&gt;1,"Duplicate in other source",IF(SUMIFS('External Data'!$M$2:$M$1001,'External Data'!$L$2:$L$1001,SUBSTITUTE(SUBSTITUTE(SUBSTITUTE(L760,"~","~~"),"*","~*"),"?","~?"))&lt;&gt;1,"Other amount is invalid",IF(J760&lt;&gt;0,"Amount differs","Matched")))))))</x:f>
      </x:c>
      <x:c r="L760" t="str">
        <x:f>IF(COUNTA(A760:F760)=0,"",LEN(A760)&amp;":"&amp;A760&amp;LEN(B760)&amp;":"&amp;B760&amp;LEN(C760)&amp;":"&amp;C760&amp;LEN(D760)&amp;":"&amp;D760)</x:f>
      </x:c>
      <x:c r="M760" t="str">
        <x:f>IF(COUNTA(A760:F760)=0,"",IF(ISNUMBER(E760),1,0))</x:f>
      </x:c>
    </x:row>
    <x:row r="761">
      <x:c r="A761" s="11"/>
      <x:c r="B761" s="11"/>
      <x:c r="C761" s="11"/>
      <x:c r="D761" s="11"/>
      <x:c r="E761" s="12"/>
      <x:c r="F761" s="10"/>
      <x:c r="G761" s="2" t="str">
        <x:f>IF(COUNTA(A761:F761)=0,"",COUNTIFS('App Data'!$L$2:$L$1001,SUBSTITUTE(SUBSTITUTE(SUBSTITUTE(L761,"~","~~"),"*","~*"),"?","~?")))</x:f>
      </x:c>
      <x:c r="H761" s="2" t="str">
        <x:f>IF(COUNTA(A761:F761)=0,"",COUNTIFS('External Data'!$L$2:$L$1001,SUBSTITUTE(SUBSTITUTE(SUBSTITUTE(L761,"~","~~"),"*","~*"),"?","~?")))</x:f>
      </x:c>
      <x:c r="I761" s="13" t="str">
        <x:f>IF(OR(H761&lt;&gt;1,G761&lt;&gt;1),"",SUMIFS('External Data'!$E$2:$E$1001,'External Data'!$L$2:$L$1001,SUBSTITUTE(SUBSTITUTE(SUBSTITUTE(L761,"~","~~"),"*","~*"),"?","~?")))</x:f>
      </x:c>
      <x:c r="J761" s="13" t="str">
        <x:f>IF(OR(NOT(ISNUMBER(E761)),NOT(ISNUMBER(I761))),"",ROUND(E761-I761,2))</x:f>
      </x:c>
      <x:c r="K761" s="2" t="str">
        <x:f>IF(COUNTA(A761:F761)=0,"",IF(OR(A761="",B761="",C761="",D761="",NOT(ISNUMBER(E761))),"Missing / invalid input",IF(G761&gt;1,"Duplicate key in this source",IF(H761=0,"Missing in other source",IF(H761&gt;1,"Duplicate in other source",IF(SUMIFS('External Data'!$M$2:$M$1001,'External Data'!$L$2:$L$1001,SUBSTITUTE(SUBSTITUTE(SUBSTITUTE(L761,"~","~~"),"*","~*"),"?","~?"))&lt;&gt;1,"Other amount is invalid",IF(J761&lt;&gt;0,"Amount differs","Matched")))))))</x:f>
      </x:c>
      <x:c r="L761" t="str">
        <x:f>IF(COUNTA(A761:F761)=0,"",LEN(A761)&amp;":"&amp;A761&amp;LEN(B761)&amp;":"&amp;B761&amp;LEN(C761)&amp;":"&amp;C761&amp;LEN(D761)&amp;":"&amp;D761)</x:f>
      </x:c>
      <x:c r="M761" t="str">
        <x:f>IF(COUNTA(A761:F761)=0,"",IF(ISNUMBER(E761),1,0))</x:f>
      </x:c>
    </x:row>
    <x:row r="762">
      <x:c r="A762" s="11"/>
      <x:c r="B762" s="11"/>
      <x:c r="C762" s="11"/>
      <x:c r="D762" s="11"/>
      <x:c r="E762" s="12"/>
      <x:c r="F762" s="10"/>
      <x:c r="G762" s="2" t="str">
        <x:f>IF(COUNTA(A762:F762)=0,"",COUNTIFS('App Data'!$L$2:$L$1001,SUBSTITUTE(SUBSTITUTE(SUBSTITUTE(L762,"~","~~"),"*","~*"),"?","~?")))</x:f>
      </x:c>
      <x:c r="H762" s="2" t="str">
        <x:f>IF(COUNTA(A762:F762)=0,"",COUNTIFS('External Data'!$L$2:$L$1001,SUBSTITUTE(SUBSTITUTE(SUBSTITUTE(L762,"~","~~"),"*","~*"),"?","~?")))</x:f>
      </x:c>
      <x:c r="I762" s="13" t="str">
        <x:f>IF(OR(H762&lt;&gt;1,G762&lt;&gt;1),"",SUMIFS('External Data'!$E$2:$E$1001,'External Data'!$L$2:$L$1001,SUBSTITUTE(SUBSTITUTE(SUBSTITUTE(L762,"~","~~"),"*","~*"),"?","~?")))</x:f>
      </x:c>
      <x:c r="J762" s="13" t="str">
        <x:f>IF(OR(NOT(ISNUMBER(E762)),NOT(ISNUMBER(I762))),"",ROUND(E762-I762,2))</x:f>
      </x:c>
      <x:c r="K762" s="2" t="str">
        <x:f>IF(COUNTA(A762:F762)=0,"",IF(OR(A762="",B762="",C762="",D762="",NOT(ISNUMBER(E762))),"Missing / invalid input",IF(G762&gt;1,"Duplicate key in this source",IF(H762=0,"Missing in other source",IF(H762&gt;1,"Duplicate in other source",IF(SUMIFS('External Data'!$M$2:$M$1001,'External Data'!$L$2:$L$1001,SUBSTITUTE(SUBSTITUTE(SUBSTITUTE(L762,"~","~~"),"*","~*"),"?","~?"))&lt;&gt;1,"Other amount is invalid",IF(J762&lt;&gt;0,"Amount differs","Matched")))))))</x:f>
      </x:c>
      <x:c r="L762" t="str">
        <x:f>IF(COUNTA(A762:F762)=0,"",LEN(A762)&amp;":"&amp;A762&amp;LEN(B762)&amp;":"&amp;B762&amp;LEN(C762)&amp;":"&amp;C762&amp;LEN(D762)&amp;":"&amp;D762)</x:f>
      </x:c>
      <x:c r="M762" t="str">
        <x:f>IF(COUNTA(A762:F762)=0,"",IF(ISNUMBER(E762),1,0))</x:f>
      </x:c>
    </x:row>
    <x:row r="763">
      <x:c r="A763" s="11"/>
      <x:c r="B763" s="11"/>
      <x:c r="C763" s="11"/>
      <x:c r="D763" s="11"/>
      <x:c r="E763" s="12"/>
      <x:c r="F763" s="10"/>
      <x:c r="G763" s="2" t="str">
        <x:f>IF(COUNTA(A763:F763)=0,"",COUNTIFS('App Data'!$L$2:$L$1001,SUBSTITUTE(SUBSTITUTE(SUBSTITUTE(L763,"~","~~"),"*","~*"),"?","~?")))</x:f>
      </x:c>
      <x:c r="H763" s="2" t="str">
        <x:f>IF(COUNTA(A763:F763)=0,"",COUNTIFS('External Data'!$L$2:$L$1001,SUBSTITUTE(SUBSTITUTE(SUBSTITUTE(L763,"~","~~"),"*","~*"),"?","~?")))</x:f>
      </x:c>
      <x:c r="I763" s="13" t="str">
        <x:f>IF(OR(H763&lt;&gt;1,G763&lt;&gt;1),"",SUMIFS('External Data'!$E$2:$E$1001,'External Data'!$L$2:$L$1001,SUBSTITUTE(SUBSTITUTE(SUBSTITUTE(L763,"~","~~"),"*","~*"),"?","~?")))</x:f>
      </x:c>
      <x:c r="J763" s="13" t="str">
        <x:f>IF(OR(NOT(ISNUMBER(E763)),NOT(ISNUMBER(I763))),"",ROUND(E763-I763,2))</x:f>
      </x:c>
      <x:c r="K763" s="2" t="str">
        <x:f>IF(COUNTA(A763:F763)=0,"",IF(OR(A763="",B763="",C763="",D763="",NOT(ISNUMBER(E763))),"Missing / invalid input",IF(G763&gt;1,"Duplicate key in this source",IF(H763=0,"Missing in other source",IF(H763&gt;1,"Duplicate in other source",IF(SUMIFS('External Data'!$M$2:$M$1001,'External Data'!$L$2:$L$1001,SUBSTITUTE(SUBSTITUTE(SUBSTITUTE(L763,"~","~~"),"*","~*"),"?","~?"))&lt;&gt;1,"Other amount is invalid",IF(J763&lt;&gt;0,"Amount differs","Matched")))))))</x:f>
      </x:c>
      <x:c r="L763" t="str">
        <x:f>IF(COUNTA(A763:F763)=0,"",LEN(A763)&amp;":"&amp;A763&amp;LEN(B763)&amp;":"&amp;B763&amp;LEN(C763)&amp;":"&amp;C763&amp;LEN(D763)&amp;":"&amp;D763)</x:f>
      </x:c>
      <x:c r="M763" t="str">
        <x:f>IF(COUNTA(A763:F763)=0,"",IF(ISNUMBER(E763),1,0))</x:f>
      </x:c>
    </x:row>
    <x:row r="764">
      <x:c r="A764" s="11"/>
      <x:c r="B764" s="11"/>
      <x:c r="C764" s="11"/>
      <x:c r="D764" s="11"/>
      <x:c r="E764" s="12"/>
      <x:c r="F764" s="10"/>
      <x:c r="G764" s="2" t="str">
        <x:f>IF(COUNTA(A764:F764)=0,"",COUNTIFS('App Data'!$L$2:$L$1001,SUBSTITUTE(SUBSTITUTE(SUBSTITUTE(L764,"~","~~"),"*","~*"),"?","~?")))</x:f>
      </x:c>
      <x:c r="H764" s="2" t="str">
        <x:f>IF(COUNTA(A764:F764)=0,"",COUNTIFS('External Data'!$L$2:$L$1001,SUBSTITUTE(SUBSTITUTE(SUBSTITUTE(L764,"~","~~"),"*","~*"),"?","~?")))</x:f>
      </x:c>
      <x:c r="I764" s="13" t="str">
        <x:f>IF(OR(H764&lt;&gt;1,G764&lt;&gt;1),"",SUMIFS('External Data'!$E$2:$E$1001,'External Data'!$L$2:$L$1001,SUBSTITUTE(SUBSTITUTE(SUBSTITUTE(L764,"~","~~"),"*","~*"),"?","~?")))</x:f>
      </x:c>
      <x:c r="J764" s="13" t="str">
        <x:f>IF(OR(NOT(ISNUMBER(E764)),NOT(ISNUMBER(I764))),"",ROUND(E764-I764,2))</x:f>
      </x:c>
      <x:c r="K764" s="2" t="str">
        <x:f>IF(COUNTA(A764:F764)=0,"",IF(OR(A764="",B764="",C764="",D764="",NOT(ISNUMBER(E764))),"Missing / invalid input",IF(G764&gt;1,"Duplicate key in this source",IF(H764=0,"Missing in other source",IF(H764&gt;1,"Duplicate in other source",IF(SUMIFS('External Data'!$M$2:$M$1001,'External Data'!$L$2:$L$1001,SUBSTITUTE(SUBSTITUTE(SUBSTITUTE(L764,"~","~~"),"*","~*"),"?","~?"))&lt;&gt;1,"Other amount is invalid",IF(J764&lt;&gt;0,"Amount differs","Matched")))))))</x:f>
      </x:c>
      <x:c r="L764" t="str">
        <x:f>IF(COUNTA(A764:F764)=0,"",LEN(A764)&amp;":"&amp;A764&amp;LEN(B764)&amp;":"&amp;B764&amp;LEN(C764)&amp;":"&amp;C764&amp;LEN(D764)&amp;":"&amp;D764)</x:f>
      </x:c>
      <x:c r="M764" t="str">
        <x:f>IF(COUNTA(A764:F764)=0,"",IF(ISNUMBER(E764),1,0))</x:f>
      </x:c>
    </x:row>
    <x:row r="765">
      <x:c r="A765" s="11"/>
      <x:c r="B765" s="11"/>
      <x:c r="C765" s="11"/>
      <x:c r="D765" s="11"/>
      <x:c r="E765" s="12"/>
      <x:c r="F765" s="10"/>
      <x:c r="G765" s="2" t="str">
        <x:f>IF(COUNTA(A765:F765)=0,"",COUNTIFS('App Data'!$L$2:$L$1001,SUBSTITUTE(SUBSTITUTE(SUBSTITUTE(L765,"~","~~"),"*","~*"),"?","~?")))</x:f>
      </x:c>
      <x:c r="H765" s="2" t="str">
        <x:f>IF(COUNTA(A765:F765)=0,"",COUNTIFS('External Data'!$L$2:$L$1001,SUBSTITUTE(SUBSTITUTE(SUBSTITUTE(L765,"~","~~"),"*","~*"),"?","~?")))</x:f>
      </x:c>
      <x:c r="I765" s="13" t="str">
        <x:f>IF(OR(H765&lt;&gt;1,G765&lt;&gt;1),"",SUMIFS('External Data'!$E$2:$E$1001,'External Data'!$L$2:$L$1001,SUBSTITUTE(SUBSTITUTE(SUBSTITUTE(L765,"~","~~"),"*","~*"),"?","~?")))</x:f>
      </x:c>
      <x:c r="J765" s="13" t="str">
        <x:f>IF(OR(NOT(ISNUMBER(E765)),NOT(ISNUMBER(I765))),"",ROUND(E765-I765,2))</x:f>
      </x:c>
      <x:c r="K765" s="2" t="str">
        <x:f>IF(COUNTA(A765:F765)=0,"",IF(OR(A765="",B765="",C765="",D765="",NOT(ISNUMBER(E765))),"Missing / invalid input",IF(G765&gt;1,"Duplicate key in this source",IF(H765=0,"Missing in other source",IF(H765&gt;1,"Duplicate in other source",IF(SUMIFS('External Data'!$M$2:$M$1001,'External Data'!$L$2:$L$1001,SUBSTITUTE(SUBSTITUTE(SUBSTITUTE(L765,"~","~~"),"*","~*"),"?","~?"))&lt;&gt;1,"Other amount is invalid",IF(J765&lt;&gt;0,"Amount differs","Matched")))))))</x:f>
      </x:c>
      <x:c r="L765" t="str">
        <x:f>IF(COUNTA(A765:F765)=0,"",LEN(A765)&amp;":"&amp;A765&amp;LEN(B765)&amp;":"&amp;B765&amp;LEN(C765)&amp;":"&amp;C765&amp;LEN(D765)&amp;":"&amp;D765)</x:f>
      </x:c>
      <x:c r="M765" t="str">
        <x:f>IF(COUNTA(A765:F765)=0,"",IF(ISNUMBER(E765),1,0))</x:f>
      </x:c>
    </x:row>
    <x:row r="766">
      <x:c r="A766" s="11"/>
      <x:c r="B766" s="11"/>
      <x:c r="C766" s="11"/>
      <x:c r="D766" s="11"/>
      <x:c r="E766" s="12"/>
      <x:c r="F766" s="10"/>
      <x:c r="G766" s="2" t="str">
        <x:f>IF(COUNTA(A766:F766)=0,"",COUNTIFS('App Data'!$L$2:$L$1001,SUBSTITUTE(SUBSTITUTE(SUBSTITUTE(L766,"~","~~"),"*","~*"),"?","~?")))</x:f>
      </x:c>
      <x:c r="H766" s="2" t="str">
        <x:f>IF(COUNTA(A766:F766)=0,"",COUNTIFS('External Data'!$L$2:$L$1001,SUBSTITUTE(SUBSTITUTE(SUBSTITUTE(L766,"~","~~"),"*","~*"),"?","~?")))</x:f>
      </x:c>
      <x:c r="I766" s="13" t="str">
        <x:f>IF(OR(H766&lt;&gt;1,G766&lt;&gt;1),"",SUMIFS('External Data'!$E$2:$E$1001,'External Data'!$L$2:$L$1001,SUBSTITUTE(SUBSTITUTE(SUBSTITUTE(L766,"~","~~"),"*","~*"),"?","~?")))</x:f>
      </x:c>
      <x:c r="J766" s="13" t="str">
        <x:f>IF(OR(NOT(ISNUMBER(E766)),NOT(ISNUMBER(I766))),"",ROUND(E766-I766,2))</x:f>
      </x:c>
      <x:c r="K766" s="2" t="str">
        <x:f>IF(COUNTA(A766:F766)=0,"",IF(OR(A766="",B766="",C766="",D766="",NOT(ISNUMBER(E766))),"Missing / invalid input",IF(G766&gt;1,"Duplicate key in this source",IF(H766=0,"Missing in other source",IF(H766&gt;1,"Duplicate in other source",IF(SUMIFS('External Data'!$M$2:$M$1001,'External Data'!$L$2:$L$1001,SUBSTITUTE(SUBSTITUTE(SUBSTITUTE(L766,"~","~~"),"*","~*"),"?","~?"))&lt;&gt;1,"Other amount is invalid",IF(J766&lt;&gt;0,"Amount differs","Matched")))))))</x:f>
      </x:c>
      <x:c r="L766" t="str">
        <x:f>IF(COUNTA(A766:F766)=0,"",LEN(A766)&amp;":"&amp;A766&amp;LEN(B766)&amp;":"&amp;B766&amp;LEN(C766)&amp;":"&amp;C766&amp;LEN(D766)&amp;":"&amp;D766)</x:f>
      </x:c>
      <x:c r="M766" t="str">
        <x:f>IF(COUNTA(A766:F766)=0,"",IF(ISNUMBER(E766),1,0))</x:f>
      </x:c>
    </x:row>
    <x:row r="767">
      <x:c r="A767" s="11"/>
      <x:c r="B767" s="11"/>
      <x:c r="C767" s="11"/>
      <x:c r="D767" s="11"/>
      <x:c r="E767" s="12"/>
      <x:c r="F767" s="10"/>
      <x:c r="G767" s="2" t="str">
        <x:f>IF(COUNTA(A767:F767)=0,"",COUNTIFS('App Data'!$L$2:$L$1001,SUBSTITUTE(SUBSTITUTE(SUBSTITUTE(L767,"~","~~"),"*","~*"),"?","~?")))</x:f>
      </x:c>
      <x:c r="H767" s="2" t="str">
        <x:f>IF(COUNTA(A767:F767)=0,"",COUNTIFS('External Data'!$L$2:$L$1001,SUBSTITUTE(SUBSTITUTE(SUBSTITUTE(L767,"~","~~"),"*","~*"),"?","~?")))</x:f>
      </x:c>
      <x:c r="I767" s="13" t="str">
        <x:f>IF(OR(H767&lt;&gt;1,G767&lt;&gt;1),"",SUMIFS('External Data'!$E$2:$E$1001,'External Data'!$L$2:$L$1001,SUBSTITUTE(SUBSTITUTE(SUBSTITUTE(L767,"~","~~"),"*","~*"),"?","~?")))</x:f>
      </x:c>
      <x:c r="J767" s="13" t="str">
        <x:f>IF(OR(NOT(ISNUMBER(E767)),NOT(ISNUMBER(I767))),"",ROUND(E767-I767,2))</x:f>
      </x:c>
      <x:c r="K767" s="2" t="str">
        <x:f>IF(COUNTA(A767:F767)=0,"",IF(OR(A767="",B767="",C767="",D767="",NOT(ISNUMBER(E767))),"Missing / invalid input",IF(G767&gt;1,"Duplicate key in this source",IF(H767=0,"Missing in other source",IF(H767&gt;1,"Duplicate in other source",IF(SUMIFS('External Data'!$M$2:$M$1001,'External Data'!$L$2:$L$1001,SUBSTITUTE(SUBSTITUTE(SUBSTITUTE(L767,"~","~~"),"*","~*"),"?","~?"))&lt;&gt;1,"Other amount is invalid",IF(J767&lt;&gt;0,"Amount differs","Matched")))))))</x:f>
      </x:c>
      <x:c r="L767" t="str">
        <x:f>IF(COUNTA(A767:F767)=0,"",LEN(A767)&amp;":"&amp;A767&amp;LEN(B767)&amp;":"&amp;B767&amp;LEN(C767)&amp;":"&amp;C767&amp;LEN(D767)&amp;":"&amp;D767)</x:f>
      </x:c>
      <x:c r="M767" t="str">
        <x:f>IF(COUNTA(A767:F767)=0,"",IF(ISNUMBER(E767),1,0))</x:f>
      </x:c>
    </x:row>
    <x:row r="768">
      <x:c r="A768" s="11"/>
      <x:c r="B768" s="11"/>
      <x:c r="C768" s="11"/>
      <x:c r="D768" s="11"/>
      <x:c r="E768" s="12"/>
      <x:c r="F768" s="10"/>
      <x:c r="G768" s="2" t="str">
        <x:f>IF(COUNTA(A768:F768)=0,"",COUNTIFS('App Data'!$L$2:$L$1001,SUBSTITUTE(SUBSTITUTE(SUBSTITUTE(L768,"~","~~"),"*","~*"),"?","~?")))</x:f>
      </x:c>
      <x:c r="H768" s="2" t="str">
        <x:f>IF(COUNTA(A768:F768)=0,"",COUNTIFS('External Data'!$L$2:$L$1001,SUBSTITUTE(SUBSTITUTE(SUBSTITUTE(L768,"~","~~"),"*","~*"),"?","~?")))</x:f>
      </x:c>
      <x:c r="I768" s="13" t="str">
        <x:f>IF(OR(H768&lt;&gt;1,G768&lt;&gt;1),"",SUMIFS('External Data'!$E$2:$E$1001,'External Data'!$L$2:$L$1001,SUBSTITUTE(SUBSTITUTE(SUBSTITUTE(L768,"~","~~"),"*","~*"),"?","~?")))</x:f>
      </x:c>
      <x:c r="J768" s="13" t="str">
        <x:f>IF(OR(NOT(ISNUMBER(E768)),NOT(ISNUMBER(I768))),"",ROUND(E768-I768,2))</x:f>
      </x:c>
      <x:c r="K768" s="2" t="str">
        <x:f>IF(COUNTA(A768:F768)=0,"",IF(OR(A768="",B768="",C768="",D768="",NOT(ISNUMBER(E768))),"Missing / invalid input",IF(G768&gt;1,"Duplicate key in this source",IF(H768=0,"Missing in other source",IF(H768&gt;1,"Duplicate in other source",IF(SUMIFS('External Data'!$M$2:$M$1001,'External Data'!$L$2:$L$1001,SUBSTITUTE(SUBSTITUTE(SUBSTITUTE(L768,"~","~~"),"*","~*"),"?","~?"))&lt;&gt;1,"Other amount is invalid",IF(J768&lt;&gt;0,"Amount differs","Matched")))))))</x:f>
      </x:c>
      <x:c r="L768" t="str">
        <x:f>IF(COUNTA(A768:F768)=0,"",LEN(A768)&amp;":"&amp;A768&amp;LEN(B768)&amp;":"&amp;B768&amp;LEN(C768)&amp;":"&amp;C768&amp;LEN(D768)&amp;":"&amp;D768)</x:f>
      </x:c>
      <x:c r="M768" t="str">
        <x:f>IF(COUNTA(A768:F768)=0,"",IF(ISNUMBER(E768),1,0))</x:f>
      </x:c>
    </x:row>
    <x:row r="769">
      <x:c r="A769" s="11"/>
      <x:c r="B769" s="11"/>
      <x:c r="C769" s="11"/>
      <x:c r="D769" s="11"/>
      <x:c r="E769" s="12"/>
      <x:c r="F769" s="10"/>
      <x:c r="G769" s="2" t="str">
        <x:f>IF(COUNTA(A769:F769)=0,"",COUNTIFS('App Data'!$L$2:$L$1001,SUBSTITUTE(SUBSTITUTE(SUBSTITUTE(L769,"~","~~"),"*","~*"),"?","~?")))</x:f>
      </x:c>
      <x:c r="H769" s="2" t="str">
        <x:f>IF(COUNTA(A769:F769)=0,"",COUNTIFS('External Data'!$L$2:$L$1001,SUBSTITUTE(SUBSTITUTE(SUBSTITUTE(L769,"~","~~"),"*","~*"),"?","~?")))</x:f>
      </x:c>
      <x:c r="I769" s="13" t="str">
        <x:f>IF(OR(H769&lt;&gt;1,G769&lt;&gt;1),"",SUMIFS('External Data'!$E$2:$E$1001,'External Data'!$L$2:$L$1001,SUBSTITUTE(SUBSTITUTE(SUBSTITUTE(L769,"~","~~"),"*","~*"),"?","~?")))</x:f>
      </x:c>
      <x:c r="J769" s="13" t="str">
        <x:f>IF(OR(NOT(ISNUMBER(E769)),NOT(ISNUMBER(I769))),"",ROUND(E769-I769,2))</x:f>
      </x:c>
      <x:c r="K769" s="2" t="str">
        <x:f>IF(COUNTA(A769:F769)=0,"",IF(OR(A769="",B769="",C769="",D769="",NOT(ISNUMBER(E769))),"Missing / invalid input",IF(G769&gt;1,"Duplicate key in this source",IF(H769=0,"Missing in other source",IF(H769&gt;1,"Duplicate in other source",IF(SUMIFS('External Data'!$M$2:$M$1001,'External Data'!$L$2:$L$1001,SUBSTITUTE(SUBSTITUTE(SUBSTITUTE(L769,"~","~~"),"*","~*"),"?","~?"))&lt;&gt;1,"Other amount is invalid",IF(J769&lt;&gt;0,"Amount differs","Matched")))))))</x:f>
      </x:c>
      <x:c r="L769" t="str">
        <x:f>IF(COUNTA(A769:F769)=0,"",LEN(A769)&amp;":"&amp;A769&amp;LEN(B769)&amp;":"&amp;B769&amp;LEN(C769)&amp;":"&amp;C769&amp;LEN(D769)&amp;":"&amp;D769)</x:f>
      </x:c>
      <x:c r="M769" t="str">
        <x:f>IF(COUNTA(A769:F769)=0,"",IF(ISNUMBER(E769),1,0))</x:f>
      </x:c>
    </x:row>
    <x:row r="770">
      <x:c r="A770" s="11"/>
      <x:c r="B770" s="11"/>
      <x:c r="C770" s="11"/>
      <x:c r="D770" s="11"/>
      <x:c r="E770" s="12"/>
      <x:c r="F770" s="10"/>
      <x:c r="G770" s="2" t="str">
        <x:f>IF(COUNTA(A770:F770)=0,"",COUNTIFS('App Data'!$L$2:$L$1001,SUBSTITUTE(SUBSTITUTE(SUBSTITUTE(L770,"~","~~"),"*","~*"),"?","~?")))</x:f>
      </x:c>
      <x:c r="H770" s="2" t="str">
        <x:f>IF(COUNTA(A770:F770)=0,"",COUNTIFS('External Data'!$L$2:$L$1001,SUBSTITUTE(SUBSTITUTE(SUBSTITUTE(L770,"~","~~"),"*","~*"),"?","~?")))</x:f>
      </x:c>
      <x:c r="I770" s="13" t="str">
        <x:f>IF(OR(H770&lt;&gt;1,G770&lt;&gt;1),"",SUMIFS('External Data'!$E$2:$E$1001,'External Data'!$L$2:$L$1001,SUBSTITUTE(SUBSTITUTE(SUBSTITUTE(L770,"~","~~"),"*","~*"),"?","~?")))</x:f>
      </x:c>
      <x:c r="J770" s="13" t="str">
        <x:f>IF(OR(NOT(ISNUMBER(E770)),NOT(ISNUMBER(I770))),"",ROUND(E770-I770,2))</x:f>
      </x:c>
      <x:c r="K770" s="2" t="str">
        <x:f>IF(COUNTA(A770:F770)=0,"",IF(OR(A770="",B770="",C770="",D770="",NOT(ISNUMBER(E770))),"Missing / invalid input",IF(G770&gt;1,"Duplicate key in this source",IF(H770=0,"Missing in other source",IF(H770&gt;1,"Duplicate in other source",IF(SUMIFS('External Data'!$M$2:$M$1001,'External Data'!$L$2:$L$1001,SUBSTITUTE(SUBSTITUTE(SUBSTITUTE(L770,"~","~~"),"*","~*"),"?","~?"))&lt;&gt;1,"Other amount is invalid",IF(J770&lt;&gt;0,"Amount differs","Matched")))))))</x:f>
      </x:c>
      <x:c r="L770" t="str">
        <x:f>IF(COUNTA(A770:F770)=0,"",LEN(A770)&amp;":"&amp;A770&amp;LEN(B770)&amp;":"&amp;B770&amp;LEN(C770)&amp;":"&amp;C770&amp;LEN(D770)&amp;":"&amp;D770)</x:f>
      </x:c>
      <x:c r="M770" t="str">
        <x:f>IF(COUNTA(A770:F770)=0,"",IF(ISNUMBER(E770),1,0))</x:f>
      </x:c>
    </x:row>
    <x:row r="771">
      <x:c r="A771" s="11"/>
      <x:c r="B771" s="11"/>
      <x:c r="C771" s="11"/>
      <x:c r="D771" s="11"/>
      <x:c r="E771" s="12"/>
      <x:c r="F771" s="10"/>
      <x:c r="G771" s="2" t="str">
        <x:f>IF(COUNTA(A771:F771)=0,"",COUNTIFS('App Data'!$L$2:$L$1001,SUBSTITUTE(SUBSTITUTE(SUBSTITUTE(L771,"~","~~"),"*","~*"),"?","~?")))</x:f>
      </x:c>
      <x:c r="H771" s="2" t="str">
        <x:f>IF(COUNTA(A771:F771)=0,"",COUNTIFS('External Data'!$L$2:$L$1001,SUBSTITUTE(SUBSTITUTE(SUBSTITUTE(L771,"~","~~"),"*","~*"),"?","~?")))</x:f>
      </x:c>
      <x:c r="I771" s="13" t="str">
        <x:f>IF(OR(H771&lt;&gt;1,G771&lt;&gt;1),"",SUMIFS('External Data'!$E$2:$E$1001,'External Data'!$L$2:$L$1001,SUBSTITUTE(SUBSTITUTE(SUBSTITUTE(L771,"~","~~"),"*","~*"),"?","~?")))</x:f>
      </x:c>
      <x:c r="J771" s="13" t="str">
        <x:f>IF(OR(NOT(ISNUMBER(E771)),NOT(ISNUMBER(I771))),"",ROUND(E771-I771,2))</x:f>
      </x:c>
      <x:c r="K771" s="2" t="str">
        <x:f>IF(COUNTA(A771:F771)=0,"",IF(OR(A771="",B771="",C771="",D771="",NOT(ISNUMBER(E771))),"Missing / invalid input",IF(G771&gt;1,"Duplicate key in this source",IF(H771=0,"Missing in other source",IF(H771&gt;1,"Duplicate in other source",IF(SUMIFS('External Data'!$M$2:$M$1001,'External Data'!$L$2:$L$1001,SUBSTITUTE(SUBSTITUTE(SUBSTITUTE(L771,"~","~~"),"*","~*"),"?","~?"))&lt;&gt;1,"Other amount is invalid",IF(J771&lt;&gt;0,"Amount differs","Matched")))))))</x:f>
      </x:c>
      <x:c r="L771" t="str">
        <x:f>IF(COUNTA(A771:F771)=0,"",LEN(A771)&amp;":"&amp;A771&amp;LEN(B771)&amp;":"&amp;B771&amp;LEN(C771)&amp;":"&amp;C771&amp;LEN(D771)&amp;":"&amp;D771)</x:f>
      </x:c>
      <x:c r="M771" t="str">
        <x:f>IF(COUNTA(A771:F771)=0,"",IF(ISNUMBER(E771),1,0))</x:f>
      </x:c>
    </x:row>
    <x:row r="772">
      <x:c r="A772" s="11"/>
      <x:c r="B772" s="11"/>
      <x:c r="C772" s="11"/>
      <x:c r="D772" s="11"/>
      <x:c r="E772" s="12"/>
      <x:c r="F772" s="10"/>
      <x:c r="G772" s="2" t="str">
        <x:f>IF(COUNTA(A772:F772)=0,"",COUNTIFS('App Data'!$L$2:$L$1001,SUBSTITUTE(SUBSTITUTE(SUBSTITUTE(L772,"~","~~"),"*","~*"),"?","~?")))</x:f>
      </x:c>
      <x:c r="H772" s="2" t="str">
        <x:f>IF(COUNTA(A772:F772)=0,"",COUNTIFS('External Data'!$L$2:$L$1001,SUBSTITUTE(SUBSTITUTE(SUBSTITUTE(L772,"~","~~"),"*","~*"),"?","~?")))</x:f>
      </x:c>
      <x:c r="I772" s="13" t="str">
        <x:f>IF(OR(H772&lt;&gt;1,G772&lt;&gt;1),"",SUMIFS('External Data'!$E$2:$E$1001,'External Data'!$L$2:$L$1001,SUBSTITUTE(SUBSTITUTE(SUBSTITUTE(L772,"~","~~"),"*","~*"),"?","~?")))</x:f>
      </x:c>
      <x:c r="J772" s="13" t="str">
        <x:f>IF(OR(NOT(ISNUMBER(E772)),NOT(ISNUMBER(I772))),"",ROUND(E772-I772,2))</x:f>
      </x:c>
      <x:c r="K772" s="2" t="str">
        <x:f>IF(COUNTA(A772:F772)=0,"",IF(OR(A772="",B772="",C772="",D772="",NOT(ISNUMBER(E772))),"Missing / invalid input",IF(G772&gt;1,"Duplicate key in this source",IF(H772=0,"Missing in other source",IF(H772&gt;1,"Duplicate in other source",IF(SUMIFS('External Data'!$M$2:$M$1001,'External Data'!$L$2:$L$1001,SUBSTITUTE(SUBSTITUTE(SUBSTITUTE(L772,"~","~~"),"*","~*"),"?","~?"))&lt;&gt;1,"Other amount is invalid",IF(J772&lt;&gt;0,"Amount differs","Matched")))))))</x:f>
      </x:c>
      <x:c r="L772" t="str">
        <x:f>IF(COUNTA(A772:F772)=0,"",LEN(A772)&amp;":"&amp;A772&amp;LEN(B772)&amp;":"&amp;B772&amp;LEN(C772)&amp;":"&amp;C772&amp;LEN(D772)&amp;":"&amp;D772)</x:f>
      </x:c>
      <x:c r="M772" t="str">
        <x:f>IF(COUNTA(A772:F772)=0,"",IF(ISNUMBER(E772),1,0))</x:f>
      </x:c>
    </x:row>
    <x:row r="773">
      <x:c r="A773" s="11"/>
      <x:c r="B773" s="11"/>
      <x:c r="C773" s="11"/>
      <x:c r="D773" s="11"/>
      <x:c r="E773" s="12"/>
      <x:c r="F773" s="10"/>
      <x:c r="G773" s="2" t="str">
        <x:f>IF(COUNTA(A773:F773)=0,"",COUNTIFS('App Data'!$L$2:$L$1001,SUBSTITUTE(SUBSTITUTE(SUBSTITUTE(L773,"~","~~"),"*","~*"),"?","~?")))</x:f>
      </x:c>
      <x:c r="H773" s="2" t="str">
        <x:f>IF(COUNTA(A773:F773)=0,"",COUNTIFS('External Data'!$L$2:$L$1001,SUBSTITUTE(SUBSTITUTE(SUBSTITUTE(L773,"~","~~"),"*","~*"),"?","~?")))</x:f>
      </x:c>
      <x:c r="I773" s="13" t="str">
        <x:f>IF(OR(H773&lt;&gt;1,G773&lt;&gt;1),"",SUMIFS('External Data'!$E$2:$E$1001,'External Data'!$L$2:$L$1001,SUBSTITUTE(SUBSTITUTE(SUBSTITUTE(L773,"~","~~"),"*","~*"),"?","~?")))</x:f>
      </x:c>
      <x:c r="J773" s="13" t="str">
        <x:f>IF(OR(NOT(ISNUMBER(E773)),NOT(ISNUMBER(I773))),"",ROUND(E773-I773,2))</x:f>
      </x:c>
      <x:c r="K773" s="2" t="str">
        <x:f>IF(COUNTA(A773:F773)=0,"",IF(OR(A773="",B773="",C773="",D773="",NOT(ISNUMBER(E773))),"Missing / invalid input",IF(G773&gt;1,"Duplicate key in this source",IF(H773=0,"Missing in other source",IF(H773&gt;1,"Duplicate in other source",IF(SUMIFS('External Data'!$M$2:$M$1001,'External Data'!$L$2:$L$1001,SUBSTITUTE(SUBSTITUTE(SUBSTITUTE(L773,"~","~~"),"*","~*"),"?","~?"))&lt;&gt;1,"Other amount is invalid",IF(J773&lt;&gt;0,"Amount differs","Matched")))))))</x:f>
      </x:c>
      <x:c r="L773" t="str">
        <x:f>IF(COUNTA(A773:F773)=0,"",LEN(A773)&amp;":"&amp;A773&amp;LEN(B773)&amp;":"&amp;B773&amp;LEN(C773)&amp;":"&amp;C773&amp;LEN(D773)&amp;":"&amp;D773)</x:f>
      </x:c>
      <x:c r="M773" t="str">
        <x:f>IF(COUNTA(A773:F773)=0,"",IF(ISNUMBER(E773),1,0))</x:f>
      </x:c>
    </x:row>
    <x:row r="774">
      <x:c r="A774" s="11"/>
      <x:c r="B774" s="11"/>
      <x:c r="C774" s="11"/>
      <x:c r="D774" s="11"/>
      <x:c r="E774" s="12"/>
      <x:c r="F774" s="10"/>
      <x:c r="G774" s="2" t="str">
        <x:f>IF(COUNTA(A774:F774)=0,"",COUNTIFS('App Data'!$L$2:$L$1001,SUBSTITUTE(SUBSTITUTE(SUBSTITUTE(L774,"~","~~"),"*","~*"),"?","~?")))</x:f>
      </x:c>
      <x:c r="H774" s="2" t="str">
        <x:f>IF(COUNTA(A774:F774)=0,"",COUNTIFS('External Data'!$L$2:$L$1001,SUBSTITUTE(SUBSTITUTE(SUBSTITUTE(L774,"~","~~"),"*","~*"),"?","~?")))</x:f>
      </x:c>
      <x:c r="I774" s="13" t="str">
        <x:f>IF(OR(H774&lt;&gt;1,G774&lt;&gt;1),"",SUMIFS('External Data'!$E$2:$E$1001,'External Data'!$L$2:$L$1001,SUBSTITUTE(SUBSTITUTE(SUBSTITUTE(L774,"~","~~"),"*","~*"),"?","~?")))</x:f>
      </x:c>
      <x:c r="J774" s="13" t="str">
        <x:f>IF(OR(NOT(ISNUMBER(E774)),NOT(ISNUMBER(I774))),"",ROUND(E774-I774,2))</x:f>
      </x:c>
      <x:c r="K774" s="2" t="str">
        <x:f>IF(COUNTA(A774:F774)=0,"",IF(OR(A774="",B774="",C774="",D774="",NOT(ISNUMBER(E774))),"Missing / invalid input",IF(G774&gt;1,"Duplicate key in this source",IF(H774=0,"Missing in other source",IF(H774&gt;1,"Duplicate in other source",IF(SUMIFS('External Data'!$M$2:$M$1001,'External Data'!$L$2:$L$1001,SUBSTITUTE(SUBSTITUTE(SUBSTITUTE(L774,"~","~~"),"*","~*"),"?","~?"))&lt;&gt;1,"Other amount is invalid",IF(J774&lt;&gt;0,"Amount differs","Matched")))))))</x:f>
      </x:c>
      <x:c r="L774" t="str">
        <x:f>IF(COUNTA(A774:F774)=0,"",LEN(A774)&amp;":"&amp;A774&amp;LEN(B774)&amp;":"&amp;B774&amp;LEN(C774)&amp;":"&amp;C774&amp;LEN(D774)&amp;":"&amp;D774)</x:f>
      </x:c>
      <x:c r="M774" t="str">
        <x:f>IF(COUNTA(A774:F774)=0,"",IF(ISNUMBER(E774),1,0))</x:f>
      </x:c>
    </x:row>
    <x:row r="775">
      <x:c r="A775" s="11"/>
      <x:c r="B775" s="11"/>
      <x:c r="C775" s="11"/>
      <x:c r="D775" s="11"/>
      <x:c r="E775" s="12"/>
      <x:c r="F775" s="10"/>
      <x:c r="G775" s="2" t="str">
        <x:f>IF(COUNTA(A775:F775)=0,"",COUNTIFS('App Data'!$L$2:$L$1001,SUBSTITUTE(SUBSTITUTE(SUBSTITUTE(L775,"~","~~"),"*","~*"),"?","~?")))</x:f>
      </x:c>
      <x:c r="H775" s="2" t="str">
        <x:f>IF(COUNTA(A775:F775)=0,"",COUNTIFS('External Data'!$L$2:$L$1001,SUBSTITUTE(SUBSTITUTE(SUBSTITUTE(L775,"~","~~"),"*","~*"),"?","~?")))</x:f>
      </x:c>
      <x:c r="I775" s="13" t="str">
        <x:f>IF(OR(H775&lt;&gt;1,G775&lt;&gt;1),"",SUMIFS('External Data'!$E$2:$E$1001,'External Data'!$L$2:$L$1001,SUBSTITUTE(SUBSTITUTE(SUBSTITUTE(L775,"~","~~"),"*","~*"),"?","~?")))</x:f>
      </x:c>
      <x:c r="J775" s="13" t="str">
        <x:f>IF(OR(NOT(ISNUMBER(E775)),NOT(ISNUMBER(I775))),"",ROUND(E775-I775,2))</x:f>
      </x:c>
      <x:c r="K775" s="2" t="str">
        <x:f>IF(COUNTA(A775:F775)=0,"",IF(OR(A775="",B775="",C775="",D775="",NOT(ISNUMBER(E775))),"Missing / invalid input",IF(G775&gt;1,"Duplicate key in this source",IF(H775=0,"Missing in other source",IF(H775&gt;1,"Duplicate in other source",IF(SUMIFS('External Data'!$M$2:$M$1001,'External Data'!$L$2:$L$1001,SUBSTITUTE(SUBSTITUTE(SUBSTITUTE(L775,"~","~~"),"*","~*"),"?","~?"))&lt;&gt;1,"Other amount is invalid",IF(J775&lt;&gt;0,"Amount differs","Matched")))))))</x:f>
      </x:c>
      <x:c r="L775" t="str">
        <x:f>IF(COUNTA(A775:F775)=0,"",LEN(A775)&amp;":"&amp;A775&amp;LEN(B775)&amp;":"&amp;B775&amp;LEN(C775)&amp;":"&amp;C775&amp;LEN(D775)&amp;":"&amp;D775)</x:f>
      </x:c>
      <x:c r="M775" t="str">
        <x:f>IF(COUNTA(A775:F775)=0,"",IF(ISNUMBER(E775),1,0))</x:f>
      </x:c>
    </x:row>
    <x:row r="776">
      <x:c r="A776" s="11"/>
      <x:c r="B776" s="11"/>
      <x:c r="C776" s="11"/>
      <x:c r="D776" s="11"/>
      <x:c r="E776" s="12"/>
      <x:c r="F776" s="10"/>
      <x:c r="G776" s="2" t="str">
        <x:f>IF(COUNTA(A776:F776)=0,"",COUNTIFS('App Data'!$L$2:$L$1001,SUBSTITUTE(SUBSTITUTE(SUBSTITUTE(L776,"~","~~"),"*","~*"),"?","~?")))</x:f>
      </x:c>
      <x:c r="H776" s="2" t="str">
        <x:f>IF(COUNTA(A776:F776)=0,"",COUNTIFS('External Data'!$L$2:$L$1001,SUBSTITUTE(SUBSTITUTE(SUBSTITUTE(L776,"~","~~"),"*","~*"),"?","~?")))</x:f>
      </x:c>
      <x:c r="I776" s="13" t="str">
        <x:f>IF(OR(H776&lt;&gt;1,G776&lt;&gt;1),"",SUMIFS('External Data'!$E$2:$E$1001,'External Data'!$L$2:$L$1001,SUBSTITUTE(SUBSTITUTE(SUBSTITUTE(L776,"~","~~"),"*","~*"),"?","~?")))</x:f>
      </x:c>
      <x:c r="J776" s="13" t="str">
        <x:f>IF(OR(NOT(ISNUMBER(E776)),NOT(ISNUMBER(I776))),"",ROUND(E776-I776,2))</x:f>
      </x:c>
      <x:c r="K776" s="2" t="str">
        <x:f>IF(COUNTA(A776:F776)=0,"",IF(OR(A776="",B776="",C776="",D776="",NOT(ISNUMBER(E776))),"Missing / invalid input",IF(G776&gt;1,"Duplicate key in this source",IF(H776=0,"Missing in other source",IF(H776&gt;1,"Duplicate in other source",IF(SUMIFS('External Data'!$M$2:$M$1001,'External Data'!$L$2:$L$1001,SUBSTITUTE(SUBSTITUTE(SUBSTITUTE(L776,"~","~~"),"*","~*"),"?","~?"))&lt;&gt;1,"Other amount is invalid",IF(J776&lt;&gt;0,"Amount differs","Matched")))))))</x:f>
      </x:c>
      <x:c r="L776" t="str">
        <x:f>IF(COUNTA(A776:F776)=0,"",LEN(A776)&amp;":"&amp;A776&amp;LEN(B776)&amp;":"&amp;B776&amp;LEN(C776)&amp;":"&amp;C776&amp;LEN(D776)&amp;":"&amp;D776)</x:f>
      </x:c>
      <x:c r="M776" t="str">
        <x:f>IF(COUNTA(A776:F776)=0,"",IF(ISNUMBER(E776),1,0))</x:f>
      </x:c>
    </x:row>
    <x:row r="777">
      <x:c r="A777" s="11"/>
      <x:c r="B777" s="11"/>
      <x:c r="C777" s="11"/>
      <x:c r="D777" s="11"/>
      <x:c r="E777" s="12"/>
      <x:c r="F777" s="10"/>
      <x:c r="G777" s="2" t="str">
        <x:f>IF(COUNTA(A777:F777)=0,"",COUNTIFS('App Data'!$L$2:$L$1001,SUBSTITUTE(SUBSTITUTE(SUBSTITUTE(L777,"~","~~"),"*","~*"),"?","~?")))</x:f>
      </x:c>
      <x:c r="H777" s="2" t="str">
        <x:f>IF(COUNTA(A777:F777)=0,"",COUNTIFS('External Data'!$L$2:$L$1001,SUBSTITUTE(SUBSTITUTE(SUBSTITUTE(L777,"~","~~"),"*","~*"),"?","~?")))</x:f>
      </x:c>
      <x:c r="I777" s="13" t="str">
        <x:f>IF(OR(H777&lt;&gt;1,G777&lt;&gt;1),"",SUMIFS('External Data'!$E$2:$E$1001,'External Data'!$L$2:$L$1001,SUBSTITUTE(SUBSTITUTE(SUBSTITUTE(L777,"~","~~"),"*","~*"),"?","~?")))</x:f>
      </x:c>
      <x:c r="J777" s="13" t="str">
        <x:f>IF(OR(NOT(ISNUMBER(E777)),NOT(ISNUMBER(I777))),"",ROUND(E777-I777,2))</x:f>
      </x:c>
      <x:c r="K777" s="2" t="str">
        <x:f>IF(COUNTA(A777:F777)=0,"",IF(OR(A777="",B777="",C777="",D777="",NOT(ISNUMBER(E777))),"Missing / invalid input",IF(G777&gt;1,"Duplicate key in this source",IF(H777=0,"Missing in other source",IF(H777&gt;1,"Duplicate in other source",IF(SUMIFS('External Data'!$M$2:$M$1001,'External Data'!$L$2:$L$1001,SUBSTITUTE(SUBSTITUTE(SUBSTITUTE(L777,"~","~~"),"*","~*"),"?","~?"))&lt;&gt;1,"Other amount is invalid",IF(J777&lt;&gt;0,"Amount differs","Matched")))))))</x:f>
      </x:c>
      <x:c r="L777" t="str">
        <x:f>IF(COUNTA(A777:F777)=0,"",LEN(A777)&amp;":"&amp;A777&amp;LEN(B777)&amp;":"&amp;B777&amp;LEN(C777)&amp;":"&amp;C777&amp;LEN(D777)&amp;":"&amp;D777)</x:f>
      </x:c>
      <x:c r="M777" t="str">
        <x:f>IF(COUNTA(A777:F777)=0,"",IF(ISNUMBER(E777),1,0))</x:f>
      </x:c>
    </x:row>
    <x:row r="778">
      <x:c r="A778" s="11"/>
      <x:c r="B778" s="11"/>
      <x:c r="C778" s="11"/>
      <x:c r="D778" s="11"/>
      <x:c r="E778" s="12"/>
      <x:c r="F778" s="10"/>
      <x:c r="G778" s="2" t="str">
        <x:f>IF(COUNTA(A778:F778)=0,"",COUNTIFS('App Data'!$L$2:$L$1001,SUBSTITUTE(SUBSTITUTE(SUBSTITUTE(L778,"~","~~"),"*","~*"),"?","~?")))</x:f>
      </x:c>
      <x:c r="H778" s="2" t="str">
        <x:f>IF(COUNTA(A778:F778)=0,"",COUNTIFS('External Data'!$L$2:$L$1001,SUBSTITUTE(SUBSTITUTE(SUBSTITUTE(L778,"~","~~"),"*","~*"),"?","~?")))</x:f>
      </x:c>
      <x:c r="I778" s="13" t="str">
        <x:f>IF(OR(H778&lt;&gt;1,G778&lt;&gt;1),"",SUMIFS('External Data'!$E$2:$E$1001,'External Data'!$L$2:$L$1001,SUBSTITUTE(SUBSTITUTE(SUBSTITUTE(L778,"~","~~"),"*","~*"),"?","~?")))</x:f>
      </x:c>
      <x:c r="J778" s="13" t="str">
        <x:f>IF(OR(NOT(ISNUMBER(E778)),NOT(ISNUMBER(I778))),"",ROUND(E778-I778,2))</x:f>
      </x:c>
      <x:c r="K778" s="2" t="str">
        <x:f>IF(COUNTA(A778:F778)=0,"",IF(OR(A778="",B778="",C778="",D778="",NOT(ISNUMBER(E778))),"Missing / invalid input",IF(G778&gt;1,"Duplicate key in this source",IF(H778=0,"Missing in other source",IF(H778&gt;1,"Duplicate in other source",IF(SUMIFS('External Data'!$M$2:$M$1001,'External Data'!$L$2:$L$1001,SUBSTITUTE(SUBSTITUTE(SUBSTITUTE(L778,"~","~~"),"*","~*"),"?","~?"))&lt;&gt;1,"Other amount is invalid",IF(J778&lt;&gt;0,"Amount differs","Matched")))))))</x:f>
      </x:c>
      <x:c r="L778" t="str">
        <x:f>IF(COUNTA(A778:F778)=0,"",LEN(A778)&amp;":"&amp;A778&amp;LEN(B778)&amp;":"&amp;B778&amp;LEN(C778)&amp;":"&amp;C778&amp;LEN(D778)&amp;":"&amp;D778)</x:f>
      </x:c>
      <x:c r="M778" t="str">
        <x:f>IF(COUNTA(A778:F778)=0,"",IF(ISNUMBER(E778),1,0))</x:f>
      </x:c>
    </x:row>
    <x:row r="779">
      <x:c r="A779" s="11"/>
      <x:c r="B779" s="11"/>
      <x:c r="C779" s="11"/>
      <x:c r="D779" s="11"/>
      <x:c r="E779" s="12"/>
      <x:c r="F779" s="10"/>
      <x:c r="G779" s="2" t="str">
        <x:f>IF(COUNTA(A779:F779)=0,"",COUNTIFS('App Data'!$L$2:$L$1001,SUBSTITUTE(SUBSTITUTE(SUBSTITUTE(L779,"~","~~"),"*","~*"),"?","~?")))</x:f>
      </x:c>
      <x:c r="H779" s="2" t="str">
        <x:f>IF(COUNTA(A779:F779)=0,"",COUNTIFS('External Data'!$L$2:$L$1001,SUBSTITUTE(SUBSTITUTE(SUBSTITUTE(L779,"~","~~"),"*","~*"),"?","~?")))</x:f>
      </x:c>
      <x:c r="I779" s="13" t="str">
        <x:f>IF(OR(H779&lt;&gt;1,G779&lt;&gt;1),"",SUMIFS('External Data'!$E$2:$E$1001,'External Data'!$L$2:$L$1001,SUBSTITUTE(SUBSTITUTE(SUBSTITUTE(L779,"~","~~"),"*","~*"),"?","~?")))</x:f>
      </x:c>
      <x:c r="J779" s="13" t="str">
        <x:f>IF(OR(NOT(ISNUMBER(E779)),NOT(ISNUMBER(I779))),"",ROUND(E779-I779,2))</x:f>
      </x:c>
      <x:c r="K779" s="2" t="str">
        <x:f>IF(COUNTA(A779:F779)=0,"",IF(OR(A779="",B779="",C779="",D779="",NOT(ISNUMBER(E779))),"Missing / invalid input",IF(G779&gt;1,"Duplicate key in this source",IF(H779=0,"Missing in other source",IF(H779&gt;1,"Duplicate in other source",IF(SUMIFS('External Data'!$M$2:$M$1001,'External Data'!$L$2:$L$1001,SUBSTITUTE(SUBSTITUTE(SUBSTITUTE(L779,"~","~~"),"*","~*"),"?","~?"))&lt;&gt;1,"Other amount is invalid",IF(J779&lt;&gt;0,"Amount differs","Matched")))))))</x:f>
      </x:c>
      <x:c r="L779" t="str">
        <x:f>IF(COUNTA(A779:F779)=0,"",LEN(A779)&amp;":"&amp;A779&amp;LEN(B779)&amp;":"&amp;B779&amp;LEN(C779)&amp;":"&amp;C779&amp;LEN(D779)&amp;":"&amp;D779)</x:f>
      </x:c>
      <x:c r="M779" t="str">
        <x:f>IF(COUNTA(A779:F779)=0,"",IF(ISNUMBER(E779),1,0))</x:f>
      </x:c>
    </x:row>
    <x:row r="780">
      <x:c r="A780" s="11"/>
      <x:c r="B780" s="11"/>
      <x:c r="C780" s="11"/>
      <x:c r="D780" s="11"/>
      <x:c r="E780" s="12"/>
      <x:c r="F780" s="10"/>
      <x:c r="G780" s="2" t="str">
        <x:f>IF(COUNTA(A780:F780)=0,"",COUNTIFS('App Data'!$L$2:$L$1001,SUBSTITUTE(SUBSTITUTE(SUBSTITUTE(L780,"~","~~"),"*","~*"),"?","~?")))</x:f>
      </x:c>
      <x:c r="H780" s="2" t="str">
        <x:f>IF(COUNTA(A780:F780)=0,"",COUNTIFS('External Data'!$L$2:$L$1001,SUBSTITUTE(SUBSTITUTE(SUBSTITUTE(L780,"~","~~"),"*","~*"),"?","~?")))</x:f>
      </x:c>
      <x:c r="I780" s="13" t="str">
        <x:f>IF(OR(H780&lt;&gt;1,G780&lt;&gt;1),"",SUMIFS('External Data'!$E$2:$E$1001,'External Data'!$L$2:$L$1001,SUBSTITUTE(SUBSTITUTE(SUBSTITUTE(L780,"~","~~"),"*","~*"),"?","~?")))</x:f>
      </x:c>
      <x:c r="J780" s="13" t="str">
        <x:f>IF(OR(NOT(ISNUMBER(E780)),NOT(ISNUMBER(I780))),"",ROUND(E780-I780,2))</x:f>
      </x:c>
      <x:c r="K780" s="2" t="str">
        <x:f>IF(COUNTA(A780:F780)=0,"",IF(OR(A780="",B780="",C780="",D780="",NOT(ISNUMBER(E780))),"Missing / invalid input",IF(G780&gt;1,"Duplicate key in this source",IF(H780=0,"Missing in other source",IF(H780&gt;1,"Duplicate in other source",IF(SUMIFS('External Data'!$M$2:$M$1001,'External Data'!$L$2:$L$1001,SUBSTITUTE(SUBSTITUTE(SUBSTITUTE(L780,"~","~~"),"*","~*"),"?","~?"))&lt;&gt;1,"Other amount is invalid",IF(J780&lt;&gt;0,"Amount differs","Matched")))))))</x:f>
      </x:c>
      <x:c r="L780" t="str">
        <x:f>IF(COUNTA(A780:F780)=0,"",LEN(A780)&amp;":"&amp;A780&amp;LEN(B780)&amp;":"&amp;B780&amp;LEN(C780)&amp;":"&amp;C780&amp;LEN(D780)&amp;":"&amp;D780)</x:f>
      </x:c>
      <x:c r="M780" t="str">
        <x:f>IF(COUNTA(A780:F780)=0,"",IF(ISNUMBER(E780),1,0))</x:f>
      </x:c>
    </x:row>
    <x:row r="781">
      <x:c r="A781" s="11"/>
      <x:c r="B781" s="11"/>
      <x:c r="C781" s="11"/>
      <x:c r="D781" s="11"/>
      <x:c r="E781" s="12"/>
      <x:c r="F781" s="10"/>
      <x:c r="G781" s="2" t="str">
        <x:f>IF(COUNTA(A781:F781)=0,"",COUNTIFS('App Data'!$L$2:$L$1001,SUBSTITUTE(SUBSTITUTE(SUBSTITUTE(L781,"~","~~"),"*","~*"),"?","~?")))</x:f>
      </x:c>
      <x:c r="H781" s="2" t="str">
        <x:f>IF(COUNTA(A781:F781)=0,"",COUNTIFS('External Data'!$L$2:$L$1001,SUBSTITUTE(SUBSTITUTE(SUBSTITUTE(L781,"~","~~"),"*","~*"),"?","~?")))</x:f>
      </x:c>
      <x:c r="I781" s="13" t="str">
        <x:f>IF(OR(H781&lt;&gt;1,G781&lt;&gt;1),"",SUMIFS('External Data'!$E$2:$E$1001,'External Data'!$L$2:$L$1001,SUBSTITUTE(SUBSTITUTE(SUBSTITUTE(L781,"~","~~"),"*","~*"),"?","~?")))</x:f>
      </x:c>
      <x:c r="J781" s="13" t="str">
        <x:f>IF(OR(NOT(ISNUMBER(E781)),NOT(ISNUMBER(I781))),"",ROUND(E781-I781,2))</x:f>
      </x:c>
      <x:c r="K781" s="2" t="str">
        <x:f>IF(COUNTA(A781:F781)=0,"",IF(OR(A781="",B781="",C781="",D781="",NOT(ISNUMBER(E781))),"Missing / invalid input",IF(G781&gt;1,"Duplicate key in this source",IF(H781=0,"Missing in other source",IF(H781&gt;1,"Duplicate in other source",IF(SUMIFS('External Data'!$M$2:$M$1001,'External Data'!$L$2:$L$1001,SUBSTITUTE(SUBSTITUTE(SUBSTITUTE(L781,"~","~~"),"*","~*"),"?","~?"))&lt;&gt;1,"Other amount is invalid",IF(J781&lt;&gt;0,"Amount differs","Matched")))))))</x:f>
      </x:c>
      <x:c r="L781" t="str">
        <x:f>IF(COUNTA(A781:F781)=0,"",LEN(A781)&amp;":"&amp;A781&amp;LEN(B781)&amp;":"&amp;B781&amp;LEN(C781)&amp;":"&amp;C781&amp;LEN(D781)&amp;":"&amp;D781)</x:f>
      </x:c>
      <x:c r="M781" t="str">
        <x:f>IF(COUNTA(A781:F781)=0,"",IF(ISNUMBER(E781),1,0))</x:f>
      </x:c>
    </x:row>
    <x:row r="782">
      <x:c r="A782" s="11"/>
      <x:c r="B782" s="11"/>
      <x:c r="C782" s="11"/>
      <x:c r="D782" s="11"/>
      <x:c r="E782" s="12"/>
      <x:c r="F782" s="10"/>
      <x:c r="G782" s="2" t="str">
        <x:f>IF(COUNTA(A782:F782)=0,"",COUNTIFS('App Data'!$L$2:$L$1001,SUBSTITUTE(SUBSTITUTE(SUBSTITUTE(L782,"~","~~"),"*","~*"),"?","~?")))</x:f>
      </x:c>
      <x:c r="H782" s="2" t="str">
        <x:f>IF(COUNTA(A782:F782)=0,"",COUNTIFS('External Data'!$L$2:$L$1001,SUBSTITUTE(SUBSTITUTE(SUBSTITUTE(L782,"~","~~"),"*","~*"),"?","~?")))</x:f>
      </x:c>
      <x:c r="I782" s="13" t="str">
        <x:f>IF(OR(H782&lt;&gt;1,G782&lt;&gt;1),"",SUMIFS('External Data'!$E$2:$E$1001,'External Data'!$L$2:$L$1001,SUBSTITUTE(SUBSTITUTE(SUBSTITUTE(L782,"~","~~"),"*","~*"),"?","~?")))</x:f>
      </x:c>
      <x:c r="J782" s="13" t="str">
        <x:f>IF(OR(NOT(ISNUMBER(E782)),NOT(ISNUMBER(I782))),"",ROUND(E782-I782,2))</x:f>
      </x:c>
      <x:c r="K782" s="2" t="str">
        <x:f>IF(COUNTA(A782:F782)=0,"",IF(OR(A782="",B782="",C782="",D782="",NOT(ISNUMBER(E782))),"Missing / invalid input",IF(G782&gt;1,"Duplicate key in this source",IF(H782=0,"Missing in other source",IF(H782&gt;1,"Duplicate in other source",IF(SUMIFS('External Data'!$M$2:$M$1001,'External Data'!$L$2:$L$1001,SUBSTITUTE(SUBSTITUTE(SUBSTITUTE(L782,"~","~~"),"*","~*"),"?","~?"))&lt;&gt;1,"Other amount is invalid",IF(J782&lt;&gt;0,"Amount differs","Matched")))))))</x:f>
      </x:c>
      <x:c r="L782" t="str">
        <x:f>IF(COUNTA(A782:F782)=0,"",LEN(A782)&amp;":"&amp;A782&amp;LEN(B782)&amp;":"&amp;B782&amp;LEN(C782)&amp;":"&amp;C782&amp;LEN(D782)&amp;":"&amp;D782)</x:f>
      </x:c>
      <x:c r="M782" t="str">
        <x:f>IF(COUNTA(A782:F782)=0,"",IF(ISNUMBER(E782),1,0))</x:f>
      </x:c>
    </x:row>
    <x:row r="783">
      <x:c r="A783" s="11"/>
      <x:c r="B783" s="11"/>
      <x:c r="C783" s="11"/>
      <x:c r="D783" s="11"/>
      <x:c r="E783" s="12"/>
      <x:c r="F783" s="10"/>
      <x:c r="G783" s="2" t="str">
        <x:f>IF(COUNTA(A783:F783)=0,"",COUNTIFS('App Data'!$L$2:$L$1001,SUBSTITUTE(SUBSTITUTE(SUBSTITUTE(L783,"~","~~"),"*","~*"),"?","~?")))</x:f>
      </x:c>
      <x:c r="H783" s="2" t="str">
        <x:f>IF(COUNTA(A783:F783)=0,"",COUNTIFS('External Data'!$L$2:$L$1001,SUBSTITUTE(SUBSTITUTE(SUBSTITUTE(L783,"~","~~"),"*","~*"),"?","~?")))</x:f>
      </x:c>
      <x:c r="I783" s="13" t="str">
        <x:f>IF(OR(H783&lt;&gt;1,G783&lt;&gt;1),"",SUMIFS('External Data'!$E$2:$E$1001,'External Data'!$L$2:$L$1001,SUBSTITUTE(SUBSTITUTE(SUBSTITUTE(L783,"~","~~"),"*","~*"),"?","~?")))</x:f>
      </x:c>
      <x:c r="J783" s="13" t="str">
        <x:f>IF(OR(NOT(ISNUMBER(E783)),NOT(ISNUMBER(I783))),"",ROUND(E783-I783,2))</x:f>
      </x:c>
      <x:c r="K783" s="2" t="str">
        <x:f>IF(COUNTA(A783:F783)=0,"",IF(OR(A783="",B783="",C783="",D783="",NOT(ISNUMBER(E783))),"Missing / invalid input",IF(G783&gt;1,"Duplicate key in this source",IF(H783=0,"Missing in other source",IF(H783&gt;1,"Duplicate in other source",IF(SUMIFS('External Data'!$M$2:$M$1001,'External Data'!$L$2:$L$1001,SUBSTITUTE(SUBSTITUTE(SUBSTITUTE(L783,"~","~~"),"*","~*"),"?","~?"))&lt;&gt;1,"Other amount is invalid",IF(J783&lt;&gt;0,"Amount differs","Matched")))))))</x:f>
      </x:c>
      <x:c r="L783" t="str">
        <x:f>IF(COUNTA(A783:F783)=0,"",LEN(A783)&amp;":"&amp;A783&amp;LEN(B783)&amp;":"&amp;B783&amp;LEN(C783)&amp;":"&amp;C783&amp;LEN(D783)&amp;":"&amp;D783)</x:f>
      </x:c>
      <x:c r="M783" t="str">
        <x:f>IF(COUNTA(A783:F783)=0,"",IF(ISNUMBER(E783),1,0))</x:f>
      </x:c>
    </x:row>
    <x:row r="784">
      <x:c r="A784" s="11"/>
      <x:c r="B784" s="11"/>
      <x:c r="C784" s="11"/>
      <x:c r="D784" s="11"/>
      <x:c r="E784" s="12"/>
      <x:c r="F784" s="10"/>
      <x:c r="G784" s="2" t="str">
        <x:f>IF(COUNTA(A784:F784)=0,"",COUNTIFS('App Data'!$L$2:$L$1001,SUBSTITUTE(SUBSTITUTE(SUBSTITUTE(L784,"~","~~"),"*","~*"),"?","~?")))</x:f>
      </x:c>
      <x:c r="H784" s="2" t="str">
        <x:f>IF(COUNTA(A784:F784)=0,"",COUNTIFS('External Data'!$L$2:$L$1001,SUBSTITUTE(SUBSTITUTE(SUBSTITUTE(L784,"~","~~"),"*","~*"),"?","~?")))</x:f>
      </x:c>
      <x:c r="I784" s="13" t="str">
        <x:f>IF(OR(H784&lt;&gt;1,G784&lt;&gt;1),"",SUMIFS('External Data'!$E$2:$E$1001,'External Data'!$L$2:$L$1001,SUBSTITUTE(SUBSTITUTE(SUBSTITUTE(L784,"~","~~"),"*","~*"),"?","~?")))</x:f>
      </x:c>
      <x:c r="J784" s="13" t="str">
        <x:f>IF(OR(NOT(ISNUMBER(E784)),NOT(ISNUMBER(I784))),"",ROUND(E784-I784,2))</x:f>
      </x:c>
      <x:c r="K784" s="2" t="str">
        <x:f>IF(COUNTA(A784:F784)=0,"",IF(OR(A784="",B784="",C784="",D784="",NOT(ISNUMBER(E784))),"Missing / invalid input",IF(G784&gt;1,"Duplicate key in this source",IF(H784=0,"Missing in other source",IF(H784&gt;1,"Duplicate in other source",IF(SUMIFS('External Data'!$M$2:$M$1001,'External Data'!$L$2:$L$1001,SUBSTITUTE(SUBSTITUTE(SUBSTITUTE(L784,"~","~~"),"*","~*"),"?","~?"))&lt;&gt;1,"Other amount is invalid",IF(J784&lt;&gt;0,"Amount differs","Matched")))))))</x:f>
      </x:c>
      <x:c r="L784" t="str">
        <x:f>IF(COUNTA(A784:F784)=0,"",LEN(A784)&amp;":"&amp;A784&amp;LEN(B784)&amp;":"&amp;B784&amp;LEN(C784)&amp;":"&amp;C784&amp;LEN(D784)&amp;":"&amp;D784)</x:f>
      </x:c>
      <x:c r="M784" t="str">
        <x:f>IF(COUNTA(A784:F784)=0,"",IF(ISNUMBER(E784),1,0))</x:f>
      </x:c>
    </x:row>
    <x:row r="785">
      <x:c r="A785" s="11"/>
      <x:c r="B785" s="11"/>
      <x:c r="C785" s="11"/>
      <x:c r="D785" s="11"/>
      <x:c r="E785" s="12"/>
      <x:c r="F785" s="10"/>
      <x:c r="G785" s="2" t="str">
        <x:f>IF(COUNTA(A785:F785)=0,"",COUNTIFS('App Data'!$L$2:$L$1001,SUBSTITUTE(SUBSTITUTE(SUBSTITUTE(L785,"~","~~"),"*","~*"),"?","~?")))</x:f>
      </x:c>
      <x:c r="H785" s="2" t="str">
        <x:f>IF(COUNTA(A785:F785)=0,"",COUNTIFS('External Data'!$L$2:$L$1001,SUBSTITUTE(SUBSTITUTE(SUBSTITUTE(L785,"~","~~"),"*","~*"),"?","~?")))</x:f>
      </x:c>
      <x:c r="I785" s="13" t="str">
        <x:f>IF(OR(H785&lt;&gt;1,G785&lt;&gt;1),"",SUMIFS('External Data'!$E$2:$E$1001,'External Data'!$L$2:$L$1001,SUBSTITUTE(SUBSTITUTE(SUBSTITUTE(L785,"~","~~"),"*","~*"),"?","~?")))</x:f>
      </x:c>
      <x:c r="J785" s="13" t="str">
        <x:f>IF(OR(NOT(ISNUMBER(E785)),NOT(ISNUMBER(I785))),"",ROUND(E785-I785,2))</x:f>
      </x:c>
      <x:c r="K785" s="2" t="str">
        <x:f>IF(COUNTA(A785:F785)=0,"",IF(OR(A785="",B785="",C785="",D785="",NOT(ISNUMBER(E785))),"Missing / invalid input",IF(G785&gt;1,"Duplicate key in this source",IF(H785=0,"Missing in other source",IF(H785&gt;1,"Duplicate in other source",IF(SUMIFS('External Data'!$M$2:$M$1001,'External Data'!$L$2:$L$1001,SUBSTITUTE(SUBSTITUTE(SUBSTITUTE(L785,"~","~~"),"*","~*"),"?","~?"))&lt;&gt;1,"Other amount is invalid",IF(J785&lt;&gt;0,"Amount differs","Matched")))))))</x:f>
      </x:c>
      <x:c r="L785" t="str">
        <x:f>IF(COUNTA(A785:F785)=0,"",LEN(A785)&amp;":"&amp;A785&amp;LEN(B785)&amp;":"&amp;B785&amp;LEN(C785)&amp;":"&amp;C785&amp;LEN(D785)&amp;":"&amp;D785)</x:f>
      </x:c>
      <x:c r="M785" t="str">
        <x:f>IF(COUNTA(A785:F785)=0,"",IF(ISNUMBER(E785),1,0))</x:f>
      </x:c>
    </x:row>
    <x:row r="786">
      <x:c r="A786" s="11"/>
      <x:c r="B786" s="11"/>
      <x:c r="C786" s="11"/>
      <x:c r="D786" s="11"/>
      <x:c r="E786" s="12"/>
      <x:c r="F786" s="10"/>
      <x:c r="G786" s="2" t="str">
        <x:f>IF(COUNTA(A786:F786)=0,"",COUNTIFS('App Data'!$L$2:$L$1001,SUBSTITUTE(SUBSTITUTE(SUBSTITUTE(L786,"~","~~"),"*","~*"),"?","~?")))</x:f>
      </x:c>
      <x:c r="H786" s="2" t="str">
        <x:f>IF(COUNTA(A786:F786)=0,"",COUNTIFS('External Data'!$L$2:$L$1001,SUBSTITUTE(SUBSTITUTE(SUBSTITUTE(L786,"~","~~"),"*","~*"),"?","~?")))</x:f>
      </x:c>
      <x:c r="I786" s="13" t="str">
        <x:f>IF(OR(H786&lt;&gt;1,G786&lt;&gt;1),"",SUMIFS('External Data'!$E$2:$E$1001,'External Data'!$L$2:$L$1001,SUBSTITUTE(SUBSTITUTE(SUBSTITUTE(L786,"~","~~"),"*","~*"),"?","~?")))</x:f>
      </x:c>
      <x:c r="J786" s="13" t="str">
        <x:f>IF(OR(NOT(ISNUMBER(E786)),NOT(ISNUMBER(I786))),"",ROUND(E786-I786,2))</x:f>
      </x:c>
      <x:c r="K786" s="2" t="str">
        <x:f>IF(COUNTA(A786:F786)=0,"",IF(OR(A786="",B786="",C786="",D786="",NOT(ISNUMBER(E786))),"Missing / invalid input",IF(G786&gt;1,"Duplicate key in this source",IF(H786=0,"Missing in other source",IF(H786&gt;1,"Duplicate in other source",IF(SUMIFS('External Data'!$M$2:$M$1001,'External Data'!$L$2:$L$1001,SUBSTITUTE(SUBSTITUTE(SUBSTITUTE(L786,"~","~~"),"*","~*"),"?","~?"))&lt;&gt;1,"Other amount is invalid",IF(J786&lt;&gt;0,"Amount differs","Matched")))))))</x:f>
      </x:c>
      <x:c r="L786" t="str">
        <x:f>IF(COUNTA(A786:F786)=0,"",LEN(A786)&amp;":"&amp;A786&amp;LEN(B786)&amp;":"&amp;B786&amp;LEN(C786)&amp;":"&amp;C786&amp;LEN(D786)&amp;":"&amp;D786)</x:f>
      </x:c>
      <x:c r="M786" t="str">
        <x:f>IF(COUNTA(A786:F786)=0,"",IF(ISNUMBER(E786),1,0))</x:f>
      </x:c>
    </x:row>
    <x:row r="787">
      <x:c r="A787" s="11"/>
      <x:c r="B787" s="11"/>
      <x:c r="C787" s="11"/>
      <x:c r="D787" s="11"/>
      <x:c r="E787" s="12"/>
      <x:c r="F787" s="10"/>
      <x:c r="G787" s="2" t="str">
        <x:f>IF(COUNTA(A787:F787)=0,"",COUNTIFS('App Data'!$L$2:$L$1001,SUBSTITUTE(SUBSTITUTE(SUBSTITUTE(L787,"~","~~"),"*","~*"),"?","~?")))</x:f>
      </x:c>
      <x:c r="H787" s="2" t="str">
        <x:f>IF(COUNTA(A787:F787)=0,"",COUNTIFS('External Data'!$L$2:$L$1001,SUBSTITUTE(SUBSTITUTE(SUBSTITUTE(L787,"~","~~"),"*","~*"),"?","~?")))</x:f>
      </x:c>
      <x:c r="I787" s="13" t="str">
        <x:f>IF(OR(H787&lt;&gt;1,G787&lt;&gt;1),"",SUMIFS('External Data'!$E$2:$E$1001,'External Data'!$L$2:$L$1001,SUBSTITUTE(SUBSTITUTE(SUBSTITUTE(L787,"~","~~"),"*","~*"),"?","~?")))</x:f>
      </x:c>
      <x:c r="J787" s="13" t="str">
        <x:f>IF(OR(NOT(ISNUMBER(E787)),NOT(ISNUMBER(I787))),"",ROUND(E787-I787,2))</x:f>
      </x:c>
      <x:c r="K787" s="2" t="str">
        <x:f>IF(COUNTA(A787:F787)=0,"",IF(OR(A787="",B787="",C787="",D787="",NOT(ISNUMBER(E787))),"Missing / invalid input",IF(G787&gt;1,"Duplicate key in this source",IF(H787=0,"Missing in other source",IF(H787&gt;1,"Duplicate in other source",IF(SUMIFS('External Data'!$M$2:$M$1001,'External Data'!$L$2:$L$1001,SUBSTITUTE(SUBSTITUTE(SUBSTITUTE(L787,"~","~~"),"*","~*"),"?","~?"))&lt;&gt;1,"Other amount is invalid",IF(J787&lt;&gt;0,"Amount differs","Matched")))))))</x:f>
      </x:c>
      <x:c r="L787" t="str">
        <x:f>IF(COUNTA(A787:F787)=0,"",LEN(A787)&amp;":"&amp;A787&amp;LEN(B787)&amp;":"&amp;B787&amp;LEN(C787)&amp;":"&amp;C787&amp;LEN(D787)&amp;":"&amp;D787)</x:f>
      </x:c>
      <x:c r="M787" t="str">
        <x:f>IF(COUNTA(A787:F787)=0,"",IF(ISNUMBER(E787),1,0))</x:f>
      </x:c>
    </x:row>
    <x:row r="788">
      <x:c r="A788" s="11"/>
      <x:c r="B788" s="11"/>
      <x:c r="C788" s="11"/>
      <x:c r="D788" s="11"/>
      <x:c r="E788" s="12"/>
      <x:c r="F788" s="10"/>
      <x:c r="G788" s="2" t="str">
        <x:f>IF(COUNTA(A788:F788)=0,"",COUNTIFS('App Data'!$L$2:$L$1001,SUBSTITUTE(SUBSTITUTE(SUBSTITUTE(L788,"~","~~"),"*","~*"),"?","~?")))</x:f>
      </x:c>
      <x:c r="H788" s="2" t="str">
        <x:f>IF(COUNTA(A788:F788)=0,"",COUNTIFS('External Data'!$L$2:$L$1001,SUBSTITUTE(SUBSTITUTE(SUBSTITUTE(L788,"~","~~"),"*","~*"),"?","~?")))</x:f>
      </x:c>
      <x:c r="I788" s="13" t="str">
        <x:f>IF(OR(H788&lt;&gt;1,G788&lt;&gt;1),"",SUMIFS('External Data'!$E$2:$E$1001,'External Data'!$L$2:$L$1001,SUBSTITUTE(SUBSTITUTE(SUBSTITUTE(L788,"~","~~"),"*","~*"),"?","~?")))</x:f>
      </x:c>
      <x:c r="J788" s="13" t="str">
        <x:f>IF(OR(NOT(ISNUMBER(E788)),NOT(ISNUMBER(I788))),"",ROUND(E788-I788,2))</x:f>
      </x:c>
      <x:c r="K788" s="2" t="str">
        <x:f>IF(COUNTA(A788:F788)=0,"",IF(OR(A788="",B788="",C788="",D788="",NOT(ISNUMBER(E788))),"Missing / invalid input",IF(G788&gt;1,"Duplicate key in this source",IF(H788=0,"Missing in other source",IF(H788&gt;1,"Duplicate in other source",IF(SUMIFS('External Data'!$M$2:$M$1001,'External Data'!$L$2:$L$1001,SUBSTITUTE(SUBSTITUTE(SUBSTITUTE(L788,"~","~~"),"*","~*"),"?","~?"))&lt;&gt;1,"Other amount is invalid",IF(J788&lt;&gt;0,"Amount differs","Matched")))))))</x:f>
      </x:c>
      <x:c r="L788" t="str">
        <x:f>IF(COUNTA(A788:F788)=0,"",LEN(A788)&amp;":"&amp;A788&amp;LEN(B788)&amp;":"&amp;B788&amp;LEN(C788)&amp;":"&amp;C788&amp;LEN(D788)&amp;":"&amp;D788)</x:f>
      </x:c>
      <x:c r="M788" t="str">
        <x:f>IF(COUNTA(A788:F788)=0,"",IF(ISNUMBER(E788),1,0))</x:f>
      </x:c>
    </x:row>
    <x:row r="789">
      <x:c r="A789" s="11"/>
      <x:c r="B789" s="11"/>
      <x:c r="C789" s="11"/>
      <x:c r="D789" s="11"/>
      <x:c r="E789" s="12"/>
      <x:c r="F789" s="10"/>
      <x:c r="G789" s="2" t="str">
        <x:f>IF(COUNTA(A789:F789)=0,"",COUNTIFS('App Data'!$L$2:$L$1001,SUBSTITUTE(SUBSTITUTE(SUBSTITUTE(L789,"~","~~"),"*","~*"),"?","~?")))</x:f>
      </x:c>
      <x:c r="H789" s="2" t="str">
        <x:f>IF(COUNTA(A789:F789)=0,"",COUNTIFS('External Data'!$L$2:$L$1001,SUBSTITUTE(SUBSTITUTE(SUBSTITUTE(L789,"~","~~"),"*","~*"),"?","~?")))</x:f>
      </x:c>
      <x:c r="I789" s="13" t="str">
        <x:f>IF(OR(H789&lt;&gt;1,G789&lt;&gt;1),"",SUMIFS('External Data'!$E$2:$E$1001,'External Data'!$L$2:$L$1001,SUBSTITUTE(SUBSTITUTE(SUBSTITUTE(L789,"~","~~"),"*","~*"),"?","~?")))</x:f>
      </x:c>
      <x:c r="J789" s="13" t="str">
        <x:f>IF(OR(NOT(ISNUMBER(E789)),NOT(ISNUMBER(I789))),"",ROUND(E789-I789,2))</x:f>
      </x:c>
      <x:c r="K789" s="2" t="str">
        <x:f>IF(COUNTA(A789:F789)=0,"",IF(OR(A789="",B789="",C789="",D789="",NOT(ISNUMBER(E789))),"Missing / invalid input",IF(G789&gt;1,"Duplicate key in this source",IF(H789=0,"Missing in other source",IF(H789&gt;1,"Duplicate in other source",IF(SUMIFS('External Data'!$M$2:$M$1001,'External Data'!$L$2:$L$1001,SUBSTITUTE(SUBSTITUTE(SUBSTITUTE(L789,"~","~~"),"*","~*"),"?","~?"))&lt;&gt;1,"Other amount is invalid",IF(J789&lt;&gt;0,"Amount differs","Matched")))))))</x:f>
      </x:c>
      <x:c r="L789" t="str">
        <x:f>IF(COUNTA(A789:F789)=0,"",LEN(A789)&amp;":"&amp;A789&amp;LEN(B789)&amp;":"&amp;B789&amp;LEN(C789)&amp;":"&amp;C789&amp;LEN(D789)&amp;":"&amp;D789)</x:f>
      </x:c>
      <x:c r="M789" t="str">
        <x:f>IF(COUNTA(A789:F789)=0,"",IF(ISNUMBER(E789),1,0))</x:f>
      </x:c>
    </x:row>
    <x:row r="790">
      <x:c r="A790" s="11"/>
      <x:c r="B790" s="11"/>
      <x:c r="C790" s="11"/>
      <x:c r="D790" s="11"/>
      <x:c r="E790" s="12"/>
      <x:c r="F790" s="10"/>
      <x:c r="G790" s="2" t="str">
        <x:f>IF(COUNTA(A790:F790)=0,"",COUNTIFS('App Data'!$L$2:$L$1001,SUBSTITUTE(SUBSTITUTE(SUBSTITUTE(L790,"~","~~"),"*","~*"),"?","~?")))</x:f>
      </x:c>
      <x:c r="H790" s="2" t="str">
        <x:f>IF(COUNTA(A790:F790)=0,"",COUNTIFS('External Data'!$L$2:$L$1001,SUBSTITUTE(SUBSTITUTE(SUBSTITUTE(L790,"~","~~"),"*","~*"),"?","~?")))</x:f>
      </x:c>
      <x:c r="I790" s="13" t="str">
        <x:f>IF(OR(H790&lt;&gt;1,G790&lt;&gt;1),"",SUMIFS('External Data'!$E$2:$E$1001,'External Data'!$L$2:$L$1001,SUBSTITUTE(SUBSTITUTE(SUBSTITUTE(L790,"~","~~"),"*","~*"),"?","~?")))</x:f>
      </x:c>
      <x:c r="J790" s="13" t="str">
        <x:f>IF(OR(NOT(ISNUMBER(E790)),NOT(ISNUMBER(I790))),"",ROUND(E790-I790,2))</x:f>
      </x:c>
      <x:c r="K790" s="2" t="str">
        <x:f>IF(COUNTA(A790:F790)=0,"",IF(OR(A790="",B790="",C790="",D790="",NOT(ISNUMBER(E790))),"Missing / invalid input",IF(G790&gt;1,"Duplicate key in this source",IF(H790=0,"Missing in other source",IF(H790&gt;1,"Duplicate in other source",IF(SUMIFS('External Data'!$M$2:$M$1001,'External Data'!$L$2:$L$1001,SUBSTITUTE(SUBSTITUTE(SUBSTITUTE(L790,"~","~~"),"*","~*"),"?","~?"))&lt;&gt;1,"Other amount is invalid",IF(J790&lt;&gt;0,"Amount differs","Matched")))))))</x:f>
      </x:c>
      <x:c r="L790" t="str">
        <x:f>IF(COUNTA(A790:F790)=0,"",LEN(A790)&amp;":"&amp;A790&amp;LEN(B790)&amp;":"&amp;B790&amp;LEN(C790)&amp;":"&amp;C790&amp;LEN(D790)&amp;":"&amp;D790)</x:f>
      </x:c>
      <x:c r="M790" t="str">
        <x:f>IF(COUNTA(A790:F790)=0,"",IF(ISNUMBER(E790),1,0))</x:f>
      </x:c>
    </x:row>
    <x:row r="791">
      <x:c r="A791" s="11"/>
      <x:c r="B791" s="11"/>
      <x:c r="C791" s="11"/>
      <x:c r="D791" s="11"/>
      <x:c r="E791" s="12"/>
      <x:c r="F791" s="10"/>
      <x:c r="G791" s="2" t="str">
        <x:f>IF(COUNTA(A791:F791)=0,"",COUNTIFS('App Data'!$L$2:$L$1001,SUBSTITUTE(SUBSTITUTE(SUBSTITUTE(L791,"~","~~"),"*","~*"),"?","~?")))</x:f>
      </x:c>
      <x:c r="H791" s="2" t="str">
        <x:f>IF(COUNTA(A791:F791)=0,"",COUNTIFS('External Data'!$L$2:$L$1001,SUBSTITUTE(SUBSTITUTE(SUBSTITUTE(L791,"~","~~"),"*","~*"),"?","~?")))</x:f>
      </x:c>
      <x:c r="I791" s="13" t="str">
        <x:f>IF(OR(H791&lt;&gt;1,G791&lt;&gt;1),"",SUMIFS('External Data'!$E$2:$E$1001,'External Data'!$L$2:$L$1001,SUBSTITUTE(SUBSTITUTE(SUBSTITUTE(L791,"~","~~"),"*","~*"),"?","~?")))</x:f>
      </x:c>
      <x:c r="J791" s="13" t="str">
        <x:f>IF(OR(NOT(ISNUMBER(E791)),NOT(ISNUMBER(I791))),"",ROUND(E791-I791,2))</x:f>
      </x:c>
      <x:c r="K791" s="2" t="str">
        <x:f>IF(COUNTA(A791:F791)=0,"",IF(OR(A791="",B791="",C791="",D791="",NOT(ISNUMBER(E791))),"Missing / invalid input",IF(G791&gt;1,"Duplicate key in this source",IF(H791=0,"Missing in other source",IF(H791&gt;1,"Duplicate in other source",IF(SUMIFS('External Data'!$M$2:$M$1001,'External Data'!$L$2:$L$1001,SUBSTITUTE(SUBSTITUTE(SUBSTITUTE(L791,"~","~~"),"*","~*"),"?","~?"))&lt;&gt;1,"Other amount is invalid",IF(J791&lt;&gt;0,"Amount differs","Matched")))))))</x:f>
      </x:c>
      <x:c r="L791" t="str">
        <x:f>IF(COUNTA(A791:F791)=0,"",LEN(A791)&amp;":"&amp;A791&amp;LEN(B791)&amp;":"&amp;B791&amp;LEN(C791)&amp;":"&amp;C791&amp;LEN(D791)&amp;":"&amp;D791)</x:f>
      </x:c>
      <x:c r="M791" t="str">
        <x:f>IF(COUNTA(A791:F791)=0,"",IF(ISNUMBER(E791),1,0))</x:f>
      </x:c>
    </x:row>
    <x:row r="792">
      <x:c r="A792" s="11"/>
      <x:c r="B792" s="11"/>
      <x:c r="C792" s="11"/>
      <x:c r="D792" s="11"/>
      <x:c r="E792" s="12"/>
      <x:c r="F792" s="10"/>
      <x:c r="G792" s="2" t="str">
        <x:f>IF(COUNTA(A792:F792)=0,"",COUNTIFS('App Data'!$L$2:$L$1001,SUBSTITUTE(SUBSTITUTE(SUBSTITUTE(L792,"~","~~"),"*","~*"),"?","~?")))</x:f>
      </x:c>
      <x:c r="H792" s="2" t="str">
        <x:f>IF(COUNTA(A792:F792)=0,"",COUNTIFS('External Data'!$L$2:$L$1001,SUBSTITUTE(SUBSTITUTE(SUBSTITUTE(L792,"~","~~"),"*","~*"),"?","~?")))</x:f>
      </x:c>
      <x:c r="I792" s="13" t="str">
        <x:f>IF(OR(H792&lt;&gt;1,G792&lt;&gt;1),"",SUMIFS('External Data'!$E$2:$E$1001,'External Data'!$L$2:$L$1001,SUBSTITUTE(SUBSTITUTE(SUBSTITUTE(L792,"~","~~"),"*","~*"),"?","~?")))</x:f>
      </x:c>
      <x:c r="J792" s="13" t="str">
        <x:f>IF(OR(NOT(ISNUMBER(E792)),NOT(ISNUMBER(I792))),"",ROUND(E792-I792,2))</x:f>
      </x:c>
      <x:c r="K792" s="2" t="str">
        <x:f>IF(COUNTA(A792:F792)=0,"",IF(OR(A792="",B792="",C792="",D792="",NOT(ISNUMBER(E792))),"Missing / invalid input",IF(G792&gt;1,"Duplicate key in this source",IF(H792=0,"Missing in other source",IF(H792&gt;1,"Duplicate in other source",IF(SUMIFS('External Data'!$M$2:$M$1001,'External Data'!$L$2:$L$1001,SUBSTITUTE(SUBSTITUTE(SUBSTITUTE(L792,"~","~~"),"*","~*"),"?","~?"))&lt;&gt;1,"Other amount is invalid",IF(J792&lt;&gt;0,"Amount differs","Matched")))))))</x:f>
      </x:c>
      <x:c r="L792" t="str">
        <x:f>IF(COUNTA(A792:F792)=0,"",LEN(A792)&amp;":"&amp;A792&amp;LEN(B792)&amp;":"&amp;B792&amp;LEN(C792)&amp;":"&amp;C792&amp;LEN(D792)&amp;":"&amp;D792)</x:f>
      </x:c>
      <x:c r="M792" t="str">
        <x:f>IF(COUNTA(A792:F792)=0,"",IF(ISNUMBER(E792),1,0))</x:f>
      </x:c>
    </x:row>
    <x:row r="793">
      <x:c r="A793" s="11"/>
      <x:c r="B793" s="11"/>
      <x:c r="C793" s="11"/>
      <x:c r="D793" s="11"/>
      <x:c r="E793" s="12"/>
      <x:c r="F793" s="10"/>
      <x:c r="G793" s="2" t="str">
        <x:f>IF(COUNTA(A793:F793)=0,"",COUNTIFS('App Data'!$L$2:$L$1001,SUBSTITUTE(SUBSTITUTE(SUBSTITUTE(L793,"~","~~"),"*","~*"),"?","~?")))</x:f>
      </x:c>
      <x:c r="H793" s="2" t="str">
        <x:f>IF(COUNTA(A793:F793)=0,"",COUNTIFS('External Data'!$L$2:$L$1001,SUBSTITUTE(SUBSTITUTE(SUBSTITUTE(L793,"~","~~"),"*","~*"),"?","~?")))</x:f>
      </x:c>
      <x:c r="I793" s="13" t="str">
        <x:f>IF(OR(H793&lt;&gt;1,G793&lt;&gt;1),"",SUMIFS('External Data'!$E$2:$E$1001,'External Data'!$L$2:$L$1001,SUBSTITUTE(SUBSTITUTE(SUBSTITUTE(L793,"~","~~"),"*","~*"),"?","~?")))</x:f>
      </x:c>
      <x:c r="J793" s="13" t="str">
        <x:f>IF(OR(NOT(ISNUMBER(E793)),NOT(ISNUMBER(I793))),"",ROUND(E793-I793,2))</x:f>
      </x:c>
      <x:c r="K793" s="2" t="str">
        <x:f>IF(COUNTA(A793:F793)=0,"",IF(OR(A793="",B793="",C793="",D793="",NOT(ISNUMBER(E793))),"Missing / invalid input",IF(G793&gt;1,"Duplicate key in this source",IF(H793=0,"Missing in other source",IF(H793&gt;1,"Duplicate in other source",IF(SUMIFS('External Data'!$M$2:$M$1001,'External Data'!$L$2:$L$1001,SUBSTITUTE(SUBSTITUTE(SUBSTITUTE(L793,"~","~~"),"*","~*"),"?","~?"))&lt;&gt;1,"Other amount is invalid",IF(J793&lt;&gt;0,"Amount differs","Matched")))))))</x:f>
      </x:c>
      <x:c r="L793" t="str">
        <x:f>IF(COUNTA(A793:F793)=0,"",LEN(A793)&amp;":"&amp;A793&amp;LEN(B793)&amp;":"&amp;B793&amp;LEN(C793)&amp;":"&amp;C793&amp;LEN(D793)&amp;":"&amp;D793)</x:f>
      </x:c>
      <x:c r="M793" t="str">
        <x:f>IF(COUNTA(A793:F793)=0,"",IF(ISNUMBER(E793),1,0))</x:f>
      </x:c>
    </x:row>
    <x:row r="794">
      <x:c r="A794" s="11"/>
      <x:c r="B794" s="11"/>
      <x:c r="C794" s="11"/>
      <x:c r="D794" s="11"/>
      <x:c r="E794" s="12"/>
      <x:c r="F794" s="10"/>
      <x:c r="G794" s="2" t="str">
        <x:f>IF(COUNTA(A794:F794)=0,"",COUNTIFS('App Data'!$L$2:$L$1001,SUBSTITUTE(SUBSTITUTE(SUBSTITUTE(L794,"~","~~"),"*","~*"),"?","~?")))</x:f>
      </x:c>
      <x:c r="H794" s="2" t="str">
        <x:f>IF(COUNTA(A794:F794)=0,"",COUNTIFS('External Data'!$L$2:$L$1001,SUBSTITUTE(SUBSTITUTE(SUBSTITUTE(L794,"~","~~"),"*","~*"),"?","~?")))</x:f>
      </x:c>
      <x:c r="I794" s="13" t="str">
        <x:f>IF(OR(H794&lt;&gt;1,G794&lt;&gt;1),"",SUMIFS('External Data'!$E$2:$E$1001,'External Data'!$L$2:$L$1001,SUBSTITUTE(SUBSTITUTE(SUBSTITUTE(L794,"~","~~"),"*","~*"),"?","~?")))</x:f>
      </x:c>
      <x:c r="J794" s="13" t="str">
        <x:f>IF(OR(NOT(ISNUMBER(E794)),NOT(ISNUMBER(I794))),"",ROUND(E794-I794,2))</x:f>
      </x:c>
      <x:c r="K794" s="2" t="str">
        <x:f>IF(COUNTA(A794:F794)=0,"",IF(OR(A794="",B794="",C794="",D794="",NOT(ISNUMBER(E794))),"Missing / invalid input",IF(G794&gt;1,"Duplicate key in this source",IF(H794=0,"Missing in other source",IF(H794&gt;1,"Duplicate in other source",IF(SUMIFS('External Data'!$M$2:$M$1001,'External Data'!$L$2:$L$1001,SUBSTITUTE(SUBSTITUTE(SUBSTITUTE(L794,"~","~~"),"*","~*"),"?","~?"))&lt;&gt;1,"Other amount is invalid",IF(J794&lt;&gt;0,"Amount differs","Matched")))))))</x:f>
      </x:c>
      <x:c r="L794" t="str">
        <x:f>IF(COUNTA(A794:F794)=0,"",LEN(A794)&amp;":"&amp;A794&amp;LEN(B794)&amp;":"&amp;B794&amp;LEN(C794)&amp;":"&amp;C794&amp;LEN(D794)&amp;":"&amp;D794)</x:f>
      </x:c>
      <x:c r="M794" t="str">
        <x:f>IF(COUNTA(A794:F794)=0,"",IF(ISNUMBER(E794),1,0))</x:f>
      </x:c>
    </x:row>
    <x:row r="795">
      <x:c r="A795" s="11"/>
      <x:c r="B795" s="11"/>
      <x:c r="C795" s="11"/>
      <x:c r="D795" s="11"/>
      <x:c r="E795" s="12"/>
      <x:c r="F795" s="10"/>
      <x:c r="G795" s="2" t="str">
        <x:f>IF(COUNTA(A795:F795)=0,"",COUNTIFS('App Data'!$L$2:$L$1001,SUBSTITUTE(SUBSTITUTE(SUBSTITUTE(L795,"~","~~"),"*","~*"),"?","~?")))</x:f>
      </x:c>
      <x:c r="H795" s="2" t="str">
        <x:f>IF(COUNTA(A795:F795)=0,"",COUNTIFS('External Data'!$L$2:$L$1001,SUBSTITUTE(SUBSTITUTE(SUBSTITUTE(L795,"~","~~"),"*","~*"),"?","~?")))</x:f>
      </x:c>
      <x:c r="I795" s="13" t="str">
        <x:f>IF(OR(H795&lt;&gt;1,G795&lt;&gt;1),"",SUMIFS('External Data'!$E$2:$E$1001,'External Data'!$L$2:$L$1001,SUBSTITUTE(SUBSTITUTE(SUBSTITUTE(L795,"~","~~"),"*","~*"),"?","~?")))</x:f>
      </x:c>
      <x:c r="J795" s="13" t="str">
        <x:f>IF(OR(NOT(ISNUMBER(E795)),NOT(ISNUMBER(I795))),"",ROUND(E795-I795,2))</x:f>
      </x:c>
      <x:c r="K795" s="2" t="str">
        <x:f>IF(COUNTA(A795:F795)=0,"",IF(OR(A795="",B795="",C795="",D795="",NOT(ISNUMBER(E795))),"Missing / invalid input",IF(G795&gt;1,"Duplicate key in this source",IF(H795=0,"Missing in other source",IF(H795&gt;1,"Duplicate in other source",IF(SUMIFS('External Data'!$M$2:$M$1001,'External Data'!$L$2:$L$1001,SUBSTITUTE(SUBSTITUTE(SUBSTITUTE(L795,"~","~~"),"*","~*"),"?","~?"))&lt;&gt;1,"Other amount is invalid",IF(J795&lt;&gt;0,"Amount differs","Matched")))))))</x:f>
      </x:c>
      <x:c r="L795" t="str">
        <x:f>IF(COUNTA(A795:F795)=0,"",LEN(A795)&amp;":"&amp;A795&amp;LEN(B795)&amp;":"&amp;B795&amp;LEN(C795)&amp;":"&amp;C795&amp;LEN(D795)&amp;":"&amp;D795)</x:f>
      </x:c>
      <x:c r="M795" t="str">
        <x:f>IF(COUNTA(A795:F795)=0,"",IF(ISNUMBER(E795),1,0))</x:f>
      </x:c>
    </x:row>
    <x:row r="796">
      <x:c r="A796" s="11"/>
      <x:c r="B796" s="11"/>
      <x:c r="C796" s="11"/>
      <x:c r="D796" s="11"/>
      <x:c r="E796" s="12"/>
      <x:c r="F796" s="10"/>
      <x:c r="G796" s="2" t="str">
        <x:f>IF(COUNTA(A796:F796)=0,"",COUNTIFS('App Data'!$L$2:$L$1001,SUBSTITUTE(SUBSTITUTE(SUBSTITUTE(L796,"~","~~"),"*","~*"),"?","~?")))</x:f>
      </x:c>
      <x:c r="H796" s="2" t="str">
        <x:f>IF(COUNTA(A796:F796)=0,"",COUNTIFS('External Data'!$L$2:$L$1001,SUBSTITUTE(SUBSTITUTE(SUBSTITUTE(L796,"~","~~"),"*","~*"),"?","~?")))</x:f>
      </x:c>
      <x:c r="I796" s="13" t="str">
        <x:f>IF(OR(H796&lt;&gt;1,G796&lt;&gt;1),"",SUMIFS('External Data'!$E$2:$E$1001,'External Data'!$L$2:$L$1001,SUBSTITUTE(SUBSTITUTE(SUBSTITUTE(L796,"~","~~"),"*","~*"),"?","~?")))</x:f>
      </x:c>
      <x:c r="J796" s="13" t="str">
        <x:f>IF(OR(NOT(ISNUMBER(E796)),NOT(ISNUMBER(I796))),"",ROUND(E796-I796,2))</x:f>
      </x:c>
      <x:c r="K796" s="2" t="str">
        <x:f>IF(COUNTA(A796:F796)=0,"",IF(OR(A796="",B796="",C796="",D796="",NOT(ISNUMBER(E796))),"Missing / invalid input",IF(G796&gt;1,"Duplicate key in this source",IF(H796=0,"Missing in other source",IF(H796&gt;1,"Duplicate in other source",IF(SUMIFS('External Data'!$M$2:$M$1001,'External Data'!$L$2:$L$1001,SUBSTITUTE(SUBSTITUTE(SUBSTITUTE(L796,"~","~~"),"*","~*"),"?","~?"))&lt;&gt;1,"Other amount is invalid",IF(J796&lt;&gt;0,"Amount differs","Matched")))))))</x:f>
      </x:c>
      <x:c r="L796" t="str">
        <x:f>IF(COUNTA(A796:F796)=0,"",LEN(A796)&amp;":"&amp;A796&amp;LEN(B796)&amp;":"&amp;B796&amp;LEN(C796)&amp;":"&amp;C796&amp;LEN(D796)&amp;":"&amp;D796)</x:f>
      </x:c>
      <x:c r="M796" t="str">
        <x:f>IF(COUNTA(A796:F796)=0,"",IF(ISNUMBER(E796),1,0))</x:f>
      </x:c>
    </x:row>
    <x:row r="797">
      <x:c r="A797" s="11"/>
      <x:c r="B797" s="11"/>
      <x:c r="C797" s="11"/>
      <x:c r="D797" s="11"/>
      <x:c r="E797" s="12"/>
      <x:c r="F797" s="10"/>
      <x:c r="G797" s="2" t="str">
        <x:f>IF(COUNTA(A797:F797)=0,"",COUNTIFS('App Data'!$L$2:$L$1001,SUBSTITUTE(SUBSTITUTE(SUBSTITUTE(L797,"~","~~"),"*","~*"),"?","~?")))</x:f>
      </x:c>
      <x:c r="H797" s="2" t="str">
        <x:f>IF(COUNTA(A797:F797)=0,"",COUNTIFS('External Data'!$L$2:$L$1001,SUBSTITUTE(SUBSTITUTE(SUBSTITUTE(L797,"~","~~"),"*","~*"),"?","~?")))</x:f>
      </x:c>
      <x:c r="I797" s="13" t="str">
        <x:f>IF(OR(H797&lt;&gt;1,G797&lt;&gt;1),"",SUMIFS('External Data'!$E$2:$E$1001,'External Data'!$L$2:$L$1001,SUBSTITUTE(SUBSTITUTE(SUBSTITUTE(L797,"~","~~"),"*","~*"),"?","~?")))</x:f>
      </x:c>
      <x:c r="J797" s="13" t="str">
        <x:f>IF(OR(NOT(ISNUMBER(E797)),NOT(ISNUMBER(I797))),"",ROUND(E797-I797,2))</x:f>
      </x:c>
      <x:c r="K797" s="2" t="str">
        <x:f>IF(COUNTA(A797:F797)=0,"",IF(OR(A797="",B797="",C797="",D797="",NOT(ISNUMBER(E797))),"Missing / invalid input",IF(G797&gt;1,"Duplicate key in this source",IF(H797=0,"Missing in other source",IF(H797&gt;1,"Duplicate in other source",IF(SUMIFS('External Data'!$M$2:$M$1001,'External Data'!$L$2:$L$1001,SUBSTITUTE(SUBSTITUTE(SUBSTITUTE(L797,"~","~~"),"*","~*"),"?","~?"))&lt;&gt;1,"Other amount is invalid",IF(J797&lt;&gt;0,"Amount differs","Matched")))))))</x:f>
      </x:c>
      <x:c r="L797" t="str">
        <x:f>IF(COUNTA(A797:F797)=0,"",LEN(A797)&amp;":"&amp;A797&amp;LEN(B797)&amp;":"&amp;B797&amp;LEN(C797)&amp;":"&amp;C797&amp;LEN(D797)&amp;":"&amp;D797)</x:f>
      </x:c>
      <x:c r="M797" t="str">
        <x:f>IF(COUNTA(A797:F797)=0,"",IF(ISNUMBER(E797),1,0))</x:f>
      </x:c>
    </x:row>
    <x:row r="798">
      <x:c r="A798" s="11"/>
      <x:c r="B798" s="11"/>
      <x:c r="C798" s="11"/>
      <x:c r="D798" s="11"/>
      <x:c r="E798" s="12"/>
      <x:c r="F798" s="10"/>
      <x:c r="G798" s="2" t="str">
        <x:f>IF(COUNTA(A798:F798)=0,"",COUNTIFS('App Data'!$L$2:$L$1001,SUBSTITUTE(SUBSTITUTE(SUBSTITUTE(L798,"~","~~"),"*","~*"),"?","~?")))</x:f>
      </x:c>
      <x:c r="H798" s="2" t="str">
        <x:f>IF(COUNTA(A798:F798)=0,"",COUNTIFS('External Data'!$L$2:$L$1001,SUBSTITUTE(SUBSTITUTE(SUBSTITUTE(L798,"~","~~"),"*","~*"),"?","~?")))</x:f>
      </x:c>
      <x:c r="I798" s="13" t="str">
        <x:f>IF(OR(H798&lt;&gt;1,G798&lt;&gt;1),"",SUMIFS('External Data'!$E$2:$E$1001,'External Data'!$L$2:$L$1001,SUBSTITUTE(SUBSTITUTE(SUBSTITUTE(L798,"~","~~"),"*","~*"),"?","~?")))</x:f>
      </x:c>
      <x:c r="J798" s="13" t="str">
        <x:f>IF(OR(NOT(ISNUMBER(E798)),NOT(ISNUMBER(I798))),"",ROUND(E798-I798,2))</x:f>
      </x:c>
      <x:c r="K798" s="2" t="str">
        <x:f>IF(COUNTA(A798:F798)=0,"",IF(OR(A798="",B798="",C798="",D798="",NOT(ISNUMBER(E798))),"Missing / invalid input",IF(G798&gt;1,"Duplicate key in this source",IF(H798=0,"Missing in other source",IF(H798&gt;1,"Duplicate in other source",IF(SUMIFS('External Data'!$M$2:$M$1001,'External Data'!$L$2:$L$1001,SUBSTITUTE(SUBSTITUTE(SUBSTITUTE(L798,"~","~~"),"*","~*"),"?","~?"))&lt;&gt;1,"Other amount is invalid",IF(J798&lt;&gt;0,"Amount differs","Matched")))))))</x:f>
      </x:c>
      <x:c r="L798" t="str">
        <x:f>IF(COUNTA(A798:F798)=0,"",LEN(A798)&amp;":"&amp;A798&amp;LEN(B798)&amp;":"&amp;B798&amp;LEN(C798)&amp;":"&amp;C798&amp;LEN(D798)&amp;":"&amp;D798)</x:f>
      </x:c>
      <x:c r="M798" t="str">
        <x:f>IF(COUNTA(A798:F798)=0,"",IF(ISNUMBER(E798),1,0))</x:f>
      </x:c>
    </x:row>
    <x:row r="799">
      <x:c r="A799" s="11"/>
      <x:c r="B799" s="11"/>
      <x:c r="C799" s="11"/>
      <x:c r="D799" s="11"/>
      <x:c r="E799" s="12"/>
      <x:c r="F799" s="10"/>
      <x:c r="G799" s="2" t="str">
        <x:f>IF(COUNTA(A799:F799)=0,"",COUNTIFS('App Data'!$L$2:$L$1001,SUBSTITUTE(SUBSTITUTE(SUBSTITUTE(L799,"~","~~"),"*","~*"),"?","~?")))</x:f>
      </x:c>
      <x:c r="H799" s="2" t="str">
        <x:f>IF(COUNTA(A799:F799)=0,"",COUNTIFS('External Data'!$L$2:$L$1001,SUBSTITUTE(SUBSTITUTE(SUBSTITUTE(L799,"~","~~"),"*","~*"),"?","~?")))</x:f>
      </x:c>
      <x:c r="I799" s="13" t="str">
        <x:f>IF(OR(H799&lt;&gt;1,G799&lt;&gt;1),"",SUMIFS('External Data'!$E$2:$E$1001,'External Data'!$L$2:$L$1001,SUBSTITUTE(SUBSTITUTE(SUBSTITUTE(L799,"~","~~"),"*","~*"),"?","~?")))</x:f>
      </x:c>
      <x:c r="J799" s="13" t="str">
        <x:f>IF(OR(NOT(ISNUMBER(E799)),NOT(ISNUMBER(I799))),"",ROUND(E799-I799,2))</x:f>
      </x:c>
      <x:c r="K799" s="2" t="str">
        <x:f>IF(COUNTA(A799:F799)=0,"",IF(OR(A799="",B799="",C799="",D799="",NOT(ISNUMBER(E799))),"Missing / invalid input",IF(G799&gt;1,"Duplicate key in this source",IF(H799=0,"Missing in other source",IF(H799&gt;1,"Duplicate in other source",IF(SUMIFS('External Data'!$M$2:$M$1001,'External Data'!$L$2:$L$1001,SUBSTITUTE(SUBSTITUTE(SUBSTITUTE(L799,"~","~~"),"*","~*"),"?","~?"))&lt;&gt;1,"Other amount is invalid",IF(J799&lt;&gt;0,"Amount differs","Matched")))))))</x:f>
      </x:c>
      <x:c r="L799" t="str">
        <x:f>IF(COUNTA(A799:F799)=0,"",LEN(A799)&amp;":"&amp;A799&amp;LEN(B799)&amp;":"&amp;B799&amp;LEN(C799)&amp;":"&amp;C799&amp;LEN(D799)&amp;":"&amp;D799)</x:f>
      </x:c>
      <x:c r="M799" t="str">
        <x:f>IF(COUNTA(A799:F799)=0,"",IF(ISNUMBER(E799),1,0))</x:f>
      </x:c>
    </x:row>
    <x:row r="800">
      <x:c r="A800" s="11"/>
      <x:c r="B800" s="11"/>
      <x:c r="C800" s="11"/>
      <x:c r="D800" s="11"/>
      <x:c r="E800" s="12"/>
      <x:c r="F800" s="10"/>
      <x:c r="G800" s="2" t="str">
        <x:f>IF(COUNTA(A800:F800)=0,"",COUNTIFS('App Data'!$L$2:$L$1001,SUBSTITUTE(SUBSTITUTE(SUBSTITUTE(L800,"~","~~"),"*","~*"),"?","~?")))</x:f>
      </x:c>
      <x:c r="H800" s="2" t="str">
        <x:f>IF(COUNTA(A800:F800)=0,"",COUNTIFS('External Data'!$L$2:$L$1001,SUBSTITUTE(SUBSTITUTE(SUBSTITUTE(L800,"~","~~"),"*","~*"),"?","~?")))</x:f>
      </x:c>
      <x:c r="I800" s="13" t="str">
        <x:f>IF(OR(H800&lt;&gt;1,G800&lt;&gt;1),"",SUMIFS('External Data'!$E$2:$E$1001,'External Data'!$L$2:$L$1001,SUBSTITUTE(SUBSTITUTE(SUBSTITUTE(L800,"~","~~"),"*","~*"),"?","~?")))</x:f>
      </x:c>
      <x:c r="J800" s="13" t="str">
        <x:f>IF(OR(NOT(ISNUMBER(E800)),NOT(ISNUMBER(I800))),"",ROUND(E800-I800,2))</x:f>
      </x:c>
      <x:c r="K800" s="2" t="str">
        <x:f>IF(COUNTA(A800:F800)=0,"",IF(OR(A800="",B800="",C800="",D800="",NOT(ISNUMBER(E800))),"Missing / invalid input",IF(G800&gt;1,"Duplicate key in this source",IF(H800=0,"Missing in other source",IF(H800&gt;1,"Duplicate in other source",IF(SUMIFS('External Data'!$M$2:$M$1001,'External Data'!$L$2:$L$1001,SUBSTITUTE(SUBSTITUTE(SUBSTITUTE(L800,"~","~~"),"*","~*"),"?","~?"))&lt;&gt;1,"Other amount is invalid",IF(J800&lt;&gt;0,"Amount differs","Matched")))))))</x:f>
      </x:c>
      <x:c r="L800" t="str">
        <x:f>IF(COUNTA(A800:F800)=0,"",LEN(A800)&amp;":"&amp;A800&amp;LEN(B800)&amp;":"&amp;B800&amp;LEN(C800)&amp;":"&amp;C800&amp;LEN(D800)&amp;":"&amp;D800)</x:f>
      </x:c>
      <x:c r="M800" t="str">
        <x:f>IF(COUNTA(A800:F800)=0,"",IF(ISNUMBER(E800),1,0))</x:f>
      </x:c>
    </x:row>
    <x:row r="801">
      <x:c r="A801" s="11"/>
      <x:c r="B801" s="11"/>
      <x:c r="C801" s="11"/>
      <x:c r="D801" s="11"/>
      <x:c r="E801" s="12"/>
      <x:c r="F801" s="10"/>
      <x:c r="G801" s="2" t="str">
        <x:f>IF(COUNTA(A801:F801)=0,"",COUNTIFS('App Data'!$L$2:$L$1001,SUBSTITUTE(SUBSTITUTE(SUBSTITUTE(L801,"~","~~"),"*","~*"),"?","~?")))</x:f>
      </x:c>
      <x:c r="H801" s="2" t="str">
        <x:f>IF(COUNTA(A801:F801)=0,"",COUNTIFS('External Data'!$L$2:$L$1001,SUBSTITUTE(SUBSTITUTE(SUBSTITUTE(L801,"~","~~"),"*","~*"),"?","~?")))</x:f>
      </x:c>
      <x:c r="I801" s="13" t="str">
        <x:f>IF(OR(H801&lt;&gt;1,G801&lt;&gt;1),"",SUMIFS('External Data'!$E$2:$E$1001,'External Data'!$L$2:$L$1001,SUBSTITUTE(SUBSTITUTE(SUBSTITUTE(L801,"~","~~"),"*","~*"),"?","~?")))</x:f>
      </x:c>
      <x:c r="J801" s="13" t="str">
        <x:f>IF(OR(NOT(ISNUMBER(E801)),NOT(ISNUMBER(I801))),"",ROUND(E801-I801,2))</x:f>
      </x:c>
      <x:c r="K801" s="2" t="str">
        <x:f>IF(COUNTA(A801:F801)=0,"",IF(OR(A801="",B801="",C801="",D801="",NOT(ISNUMBER(E801))),"Missing / invalid input",IF(G801&gt;1,"Duplicate key in this source",IF(H801=0,"Missing in other source",IF(H801&gt;1,"Duplicate in other source",IF(SUMIFS('External Data'!$M$2:$M$1001,'External Data'!$L$2:$L$1001,SUBSTITUTE(SUBSTITUTE(SUBSTITUTE(L801,"~","~~"),"*","~*"),"?","~?"))&lt;&gt;1,"Other amount is invalid",IF(J801&lt;&gt;0,"Amount differs","Matched")))))))</x:f>
      </x:c>
      <x:c r="L801" t="str">
        <x:f>IF(COUNTA(A801:F801)=0,"",LEN(A801)&amp;":"&amp;A801&amp;LEN(B801)&amp;":"&amp;B801&amp;LEN(C801)&amp;":"&amp;C801&amp;LEN(D801)&amp;":"&amp;D801)</x:f>
      </x:c>
      <x:c r="M801" t="str">
        <x:f>IF(COUNTA(A801:F801)=0,"",IF(ISNUMBER(E801),1,0))</x:f>
      </x:c>
    </x:row>
    <x:row r="802">
      <x:c r="A802" s="11"/>
      <x:c r="B802" s="11"/>
      <x:c r="C802" s="11"/>
      <x:c r="D802" s="11"/>
      <x:c r="E802" s="12"/>
      <x:c r="F802" s="10"/>
      <x:c r="G802" s="2" t="str">
        <x:f>IF(COUNTA(A802:F802)=0,"",COUNTIFS('App Data'!$L$2:$L$1001,SUBSTITUTE(SUBSTITUTE(SUBSTITUTE(L802,"~","~~"),"*","~*"),"?","~?")))</x:f>
      </x:c>
      <x:c r="H802" s="2" t="str">
        <x:f>IF(COUNTA(A802:F802)=0,"",COUNTIFS('External Data'!$L$2:$L$1001,SUBSTITUTE(SUBSTITUTE(SUBSTITUTE(L802,"~","~~"),"*","~*"),"?","~?")))</x:f>
      </x:c>
      <x:c r="I802" s="13" t="str">
        <x:f>IF(OR(H802&lt;&gt;1,G802&lt;&gt;1),"",SUMIFS('External Data'!$E$2:$E$1001,'External Data'!$L$2:$L$1001,SUBSTITUTE(SUBSTITUTE(SUBSTITUTE(L802,"~","~~"),"*","~*"),"?","~?")))</x:f>
      </x:c>
      <x:c r="J802" s="13" t="str">
        <x:f>IF(OR(NOT(ISNUMBER(E802)),NOT(ISNUMBER(I802))),"",ROUND(E802-I802,2))</x:f>
      </x:c>
      <x:c r="K802" s="2" t="str">
        <x:f>IF(COUNTA(A802:F802)=0,"",IF(OR(A802="",B802="",C802="",D802="",NOT(ISNUMBER(E802))),"Missing / invalid input",IF(G802&gt;1,"Duplicate key in this source",IF(H802=0,"Missing in other source",IF(H802&gt;1,"Duplicate in other source",IF(SUMIFS('External Data'!$M$2:$M$1001,'External Data'!$L$2:$L$1001,SUBSTITUTE(SUBSTITUTE(SUBSTITUTE(L802,"~","~~"),"*","~*"),"?","~?"))&lt;&gt;1,"Other amount is invalid",IF(J802&lt;&gt;0,"Amount differs","Matched")))))))</x:f>
      </x:c>
      <x:c r="L802" t="str">
        <x:f>IF(COUNTA(A802:F802)=0,"",LEN(A802)&amp;":"&amp;A802&amp;LEN(B802)&amp;":"&amp;B802&amp;LEN(C802)&amp;":"&amp;C802&amp;LEN(D802)&amp;":"&amp;D802)</x:f>
      </x:c>
      <x:c r="M802" t="str">
        <x:f>IF(COUNTA(A802:F802)=0,"",IF(ISNUMBER(E802),1,0))</x:f>
      </x:c>
    </x:row>
    <x:row r="803">
      <x:c r="A803" s="11"/>
      <x:c r="B803" s="11"/>
      <x:c r="C803" s="11"/>
      <x:c r="D803" s="11"/>
      <x:c r="E803" s="12"/>
      <x:c r="F803" s="10"/>
      <x:c r="G803" s="2" t="str">
        <x:f>IF(COUNTA(A803:F803)=0,"",COUNTIFS('App Data'!$L$2:$L$1001,SUBSTITUTE(SUBSTITUTE(SUBSTITUTE(L803,"~","~~"),"*","~*"),"?","~?")))</x:f>
      </x:c>
      <x:c r="H803" s="2" t="str">
        <x:f>IF(COUNTA(A803:F803)=0,"",COUNTIFS('External Data'!$L$2:$L$1001,SUBSTITUTE(SUBSTITUTE(SUBSTITUTE(L803,"~","~~"),"*","~*"),"?","~?")))</x:f>
      </x:c>
      <x:c r="I803" s="13" t="str">
        <x:f>IF(OR(H803&lt;&gt;1,G803&lt;&gt;1),"",SUMIFS('External Data'!$E$2:$E$1001,'External Data'!$L$2:$L$1001,SUBSTITUTE(SUBSTITUTE(SUBSTITUTE(L803,"~","~~"),"*","~*"),"?","~?")))</x:f>
      </x:c>
      <x:c r="J803" s="13" t="str">
        <x:f>IF(OR(NOT(ISNUMBER(E803)),NOT(ISNUMBER(I803))),"",ROUND(E803-I803,2))</x:f>
      </x:c>
      <x:c r="K803" s="2" t="str">
        <x:f>IF(COUNTA(A803:F803)=0,"",IF(OR(A803="",B803="",C803="",D803="",NOT(ISNUMBER(E803))),"Missing / invalid input",IF(G803&gt;1,"Duplicate key in this source",IF(H803=0,"Missing in other source",IF(H803&gt;1,"Duplicate in other source",IF(SUMIFS('External Data'!$M$2:$M$1001,'External Data'!$L$2:$L$1001,SUBSTITUTE(SUBSTITUTE(SUBSTITUTE(L803,"~","~~"),"*","~*"),"?","~?"))&lt;&gt;1,"Other amount is invalid",IF(J803&lt;&gt;0,"Amount differs","Matched")))))))</x:f>
      </x:c>
      <x:c r="L803" t="str">
        <x:f>IF(COUNTA(A803:F803)=0,"",LEN(A803)&amp;":"&amp;A803&amp;LEN(B803)&amp;":"&amp;B803&amp;LEN(C803)&amp;":"&amp;C803&amp;LEN(D803)&amp;":"&amp;D803)</x:f>
      </x:c>
      <x:c r="M803" t="str">
        <x:f>IF(COUNTA(A803:F803)=0,"",IF(ISNUMBER(E803),1,0))</x:f>
      </x:c>
    </x:row>
    <x:row r="804">
      <x:c r="A804" s="11"/>
      <x:c r="B804" s="11"/>
      <x:c r="C804" s="11"/>
      <x:c r="D804" s="11"/>
      <x:c r="E804" s="12"/>
      <x:c r="F804" s="10"/>
      <x:c r="G804" s="2" t="str">
        <x:f>IF(COUNTA(A804:F804)=0,"",COUNTIFS('App Data'!$L$2:$L$1001,SUBSTITUTE(SUBSTITUTE(SUBSTITUTE(L804,"~","~~"),"*","~*"),"?","~?")))</x:f>
      </x:c>
      <x:c r="H804" s="2" t="str">
        <x:f>IF(COUNTA(A804:F804)=0,"",COUNTIFS('External Data'!$L$2:$L$1001,SUBSTITUTE(SUBSTITUTE(SUBSTITUTE(L804,"~","~~"),"*","~*"),"?","~?")))</x:f>
      </x:c>
      <x:c r="I804" s="13" t="str">
        <x:f>IF(OR(H804&lt;&gt;1,G804&lt;&gt;1),"",SUMIFS('External Data'!$E$2:$E$1001,'External Data'!$L$2:$L$1001,SUBSTITUTE(SUBSTITUTE(SUBSTITUTE(L804,"~","~~"),"*","~*"),"?","~?")))</x:f>
      </x:c>
      <x:c r="J804" s="13" t="str">
        <x:f>IF(OR(NOT(ISNUMBER(E804)),NOT(ISNUMBER(I804))),"",ROUND(E804-I804,2))</x:f>
      </x:c>
      <x:c r="K804" s="2" t="str">
        <x:f>IF(COUNTA(A804:F804)=0,"",IF(OR(A804="",B804="",C804="",D804="",NOT(ISNUMBER(E804))),"Missing / invalid input",IF(G804&gt;1,"Duplicate key in this source",IF(H804=0,"Missing in other source",IF(H804&gt;1,"Duplicate in other source",IF(SUMIFS('External Data'!$M$2:$M$1001,'External Data'!$L$2:$L$1001,SUBSTITUTE(SUBSTITUTE(SUBSTITUTE(L804,"~","~~"),"*","~*"),"?","~?"))&lt;&gt;1,"Other amount is invalid",IF(J804&lt;&gt;0,"Amount differs","Matched")))))))</x:f>
      </x:c>
      <x:c r="L804" t="str">
        <x:f>IF(COUNTA(A804:F804)=0,"",LEN(A804)&amp;":"&amp;A804&amp;LEN(B804)&amp;":"&amp;B804&amp;LEN(C804)&amp;":"&amp;C804&amp;LEN(D804)&amp;":"&amp;D804)</x:f>
      </x:c>
      <x:c r="M804" t="str">
        <x:f>IF(COUNTA(A804:F804)=0,"",IF(ISNUMBER(E804),1,0))</x:f>
      </x:c>
    </x:row>
    <x:row r="805">
      <x:c r="A805" s="11"/>
      <x:c r="B805" s="11"/>
      <x:c r="C805" s="11"/>
      <x:c r="D805" s="11"/>
      <x:c r="E805" s="12"/>
      <x:c r="F805" s="10"/>
      <x:c r="G805" s="2" t="str">
        <x:f>IF(COUNTA(A805:F805)=0,"",COUNTIFS('App Data'!$L$2:$L$1001,SUBSTITUTE(SUBSTITUTE(SUBSTITUTE(L805,"~","~~"),"*","~*"),"?","~?")))</x:f>
      </x:c>
      <x:c r="H805" s="2" t="str">
        <x:f>IF(COUNTA(A805:F805)=0,"",COUNTIFS('External Data'!$L$2:$L$1001,SUBSTITUTE(SUBSTITUTE(SUBSTITUTE(L805,"~","~~"),"*","~*"),"?","~?")))</x:f>
      </x:c>
      <x:c r="I805" s="13" t="str">
        <x:f>IF(OR(H805&lt;&gt;1,G805&lt;&gt;1),"",SUMIFS('External Data'!$E$2:$E$1001,'External Data'!$L$2:$L$1001,SUBSTITUTE(SUBSTITUTE(SUBSTITUTE(L805,"~","~~"),"*","~*"),"?","~?")))</x:f>
      </x:c>
      <x:c r="J805" s="13" t="str">
        <x:f>IF(OR(NOT(ISNUMBER(E805)),NOT(ISNUMBER(I805))),"",ROUND(E805-I805,2))</x:f>
      </x:c>
      <x:c r="K805" s="2" t="str">
        <x:f>IF(COUNTA(A805:F805)=0,"",IF(OR(A805="",B805="",C805="",D805="",NOT(ISNUMBER(E805))),"Missing / invalid input",IF(G805&gt;1,"Duplicate key in this source",IF(H805=0,"Missing in other source",IF(H805&gt;1,"Duplicate in other source",IF(SUMIFS('External Data'!$M$2:$M$1001,'External Data'!$L$2:$L$1001,SUBSTITUTE(SUBSTITUTE(SUBSTITUTE(L805,"~","~~"),"*","~*"),"?","~?"))&lt;&gt;1,"Other amount is invalid",IF(J805&lt;&gt;0,"Amount differs","Matched")))))))</x:f>
      </x:c>
      <x:c r="L805" t="str">
        <x:f>IF(COUNTA(A805:F805)=0,"",LEN(A805)&amp;":"&amp;A805&amp;LEN(B805)&amp;":"&amp;B805&amp;LEN(C805)&amp;":"&amp;C805&amp;LEN(D805)&amp;":"&amp;D805)</x:f>
      </x:c>
      <x:c r="M805" t="str">
        <x:f>IF(COUNTA(A805:F805)=0,"",IF(ISNUMBER(E805),1,0))</x:f>
      </x:c>
    </x:row>
    <x:row r="806">
      <x:c r="A806" s="11"/>
      <x:c r="B806" s="11"/>
      <x:c r="C806" s="11"/>
      <x:c r="D806" s="11"/>
      <x:c r="E806" s="12"/>
      <x:c r="F806" s="10"/>
      <x:c r="G806" s="2" t="str">
        <x:f>IF(COUNTA(A806:F806)=0,"",COUNTIFS('App Data'!$L$2:$L$1001,SUBSTITUTE(SUBSTITUTE(SUBSTITUTE(L806,"~","~~"),"*","~*"),"?","~?")))</x:f>
      </x:c>
      <x:c r="H806" s="2" t="str">
        <x:f>IF(COUNTA(A806:F806)=0,"",COUNTIFS('External Data'!$L$2:$L$1001,SUBSTITUTE(SUBSTITUTE(SUBSTITUTE(L806,"~","~~"),"*","~*"),"?","~?")))</x:f>
      </x:c>
      <x:c r="I806" s="13" t="str">
        <x:f>IF(OR(H806&lt;&gt;1,G806&lt;&gt;1),"",SUMIFS('External Data'!$E$2:$E$1001,'External Data'!$L$2:$L$1001,SUBSTITUTE(SUBSTITUTE(SUBSTITUTE(L806,"~","~~"),"*","~*"),"?","~?")))</x:f>
      </x:c>
      <x:c r="J806" s="13" t="str">
        <x:f>IF(OR(NOT(ISNUMBER(E806)),NOT(ISNUMBER(I806))),"",ROUND(E806-I806,2))</x:f>
      </x:c>
      <x:c r="K806" s="2" t="str">
        <x:f>IF(COUNTA(A806:F806)=0,"",IF(OR(A806="",B806="",C806="",D806="",NOT(ISNUMBER(E806))),"Missing / invalid input",IF(G806&gt;1,"Duplicate key in this source",IF(H806=0,"Missing in other source",IF(H806&gt;1,"Duplicate in other source",IF(SUMIFS('External Data'!$M$2:$M$1001,'External Data'!$L$2:$L$1001,SUBSTITUTE(SUBSTITUTE(SUBSTITUTE(L806,"~","~~"),"*","~*"),"?","~?"))&lt;&gt;1,"Other amount is invalid",IF(J806&lt;&gt;0,"Amount differs","Matched")))))))</x:f>
      </x:c>
      <x:c r="L806" t="str">
        <x:f>IF(COUNTA(A806:F806)=0,"",LEN(A806)&amp;":"&amp;A806&amp;LEN(B806)&amp;":"&amp;B806&amp;LEN(C806)&amp;":"&amp;C806&amp;LEN(D806)&amp;":"&amp;D806)</x:f>
      </x:c>
      <x:c r="M806" t="str">
        <x:f>IF(COUNTA(A806:F806)=0,"",IF(ISNUMBER(E806),1,0))</x:f>
      </x:c>
    </x:row>
    <x:row r="807">
      <x:c r="A807" s="11"/>
      <x:c r="B807" s="11"/>
      <x:c r="C807" s="11"/>
      <x:c r="D807" s="11"/>
      <x:c r="E807" s="12"/>
      <x:c r="F807" s="10"/>
      <x:c r="G807" s="2" t="str">
        <x:f>IF(COUNTA(A807:F807)=0,"",COUNTIFS('App Data'!$L$2:$L$1001,SUBSTITUTE(SUBSTITUTE(SUBSTITUTE(L807,"~","~~"),"*","~*"),"?","~?")))</x:f>
      </x:c>
      <x:c r="H807" s="2" t="str">
        <x:f>IF(COUNTA(A807:F807)=0,"",COUNTIFS('External Data'!$L$2:$L$1001,SUBSTITUTE(SUBSTITUTE(SUBSTITUTE(L807,"~","~~"),"*","~*"),"?","~?")))</x:f>
      </x:c>
      <x:c r="I807" s="13" t="str">
        <x:f>IF(OR(H807&lt;&gt;1,G807&lt;&gt;1),"",SUMIFS('External Data'!$E$2:$E$1001,'External Data'!$L$2:$L$1001,SUBSTITUTE(SUBSTITUTE(SUBSTITUTE(L807,"~","~~"),"*","~*"),"?","~?")))</x:f>
      </x:c>
      <x:c r="J807" s="13" t="str">
        <x:f>IF(OR(NOT(ISNUMBER(E807)),NOT(ISNUMBER(I807))),"",ROUND(E807-I807,2))</x:f>
      </x:c>
      <x:c r="K807" s="2" t="str">
        <x:f>IF(COUNTA(A807:F807)=0,"",IF(OR(A807="",B807="",C807="",D807="",NOT(ISNUMBER(E807))),"Missing / invalid input",IF(G807&gt;1,"Duplicate key in this source",IF(H807=0,"Missing in other source",IF(H807&gt;1,"Duplicate in other source",IF(SUMIFS('External Data'!$M$2:$M$1001,'External Data'!$L$2:$L$1001,SUBSTITUTE(SUBSTITUTE(SUBSTITUTE(L807,"~","~~"),"*","~*"),"?","~?"))&lt;&gt;1,"Other amount is invalid",IF(J807&lt;&gt;0,"Amount differs","Matched")))))))</x:f>
      </x:c>
      <x:c r="L807" t="str">
        <x:f>IF(COUNTA(A807:F807)=0,"",LEN(A807)&amp;":"&amp;A807&amp;LEN(B807)&amp;":"&amp;B807&amp;LEN(C807)&amp;":"&amp;C807&amp;LEN(D807)&amp;":"&amp;D807)</x:f>
      </x:c>
      <x:c r="M807" t="str">
        <x:f>IF(COUNTA(A807:F807)=0,"",IF(ISNUMBER(E807),1,0))</x:f>
      </x:c>
    </x:row>
    <x:row r="808">
      <x:c r="A808" s="11"/>
      <x:c r="B808" s="11"/>
      <x:c r="C808" s="11"/>
      <x:c r="D808" s="11"/>
      <x:c r="E808" s="12"/>
      <x:c r="F808" s="10"/>
      <x:c r="G808" s="2" t="str">
        <x:f>IF(COUNTA(A808:F808)=0,"",COUNTIFS('App Data'!$L$2:$L$1001,SUBSTITUTE(SUBSTITUTE(SUBSTITUTE(L808,"~","~~"),"*","~*"),"?","~?")))</x:f>
      </x:c>
      <x:c r="H808" s="2" t="str">
        <x:f>IF(COUNTA(A808:F808)=0,"",COUNTIFS('External Data'!$L$2:$L$1001,SUBSTITUTE(SUBSTITUTE(SUBSTITUTE(L808,"~","~~"),"*","~*"),"?","~?")))</x:f>
      </x:c>
      <x:c r="I808" s="13" t="str">
        <x:f>IF(OR(H808&lt;&gt;1,G808&lt;&gt;1),"",SUMIFS('External Data'!$E$2:$E$1001,'External Data'!$L$2:$L$1001,SUBSTITUTE(SUBSTITUTE(SUBSTITUTE(L808,"~","~~"),"*","~*"),"?","~?")))</x:f>
      </x:c>
      <x:c r="J808" s="13" t="str">
        <x:f>IF(OR(NOT(ISNUMBER(E808)),NOT(ISNUMBER(I808))),"",ROUND(E808-I808,2))</x:f>
      </x:c>
      <x:c r="K808" s="2" t="str">
        <x:f>IF(COUNTA(A808:F808)=0,"",IF(OR(A808="",B808="",C808="",D808="",NOT(ISNUMBER(E808))),"Missing / invalid input",IF(G808&gt;1,"Duplicate key in this source",IF(H808=0,"Missing in other source",IF(H808&gt;1,"Duplicate in other source",IF(SUMIFS('External Data'!$M$2:$M$1001,'External Data'!$L$2:$L$1001,SUBSTITUTE(SUBSTITUTE(SUBSTITUTE(L808,"~","~~"),"*","~*"),"?","~?"))&lt;&gt;1,"Other amount is invalid",IF(J808&lt;&gt;0,"Amount differs","Matched")))))))</x:f>
      </x:c>
      <x:c r="L808" t="str">
        <x:f>IF(COUNTA(A808:F808)=0,"",LEN(A808)&amp;":"&amp;A808&amp;LEN(B808)&amp;":"&amp;B808&amp;LEN(C808)&amp;":"&amp;C808&amp;LEN(D808)&amp;":"&amp;D808)</x:f>
      </x:c>
      <x:c r="M808" t="str">
        <x:f>IF(COUNTA(A808:F808)=0,"",IF(ISNUMBER(E808),1,0))</x:f>
      </x:c>
    </x:row>
    <x:row r="809">
      <x:c r="A809" s="11"/>
      <x:c r="B809" s="11"/>
      <x:c r="C809" s="11"/>
      <x:c r="D809" s="11"/>
      <x:c r="E809" s="12"/>
      <x:c r="F809" s="10"/>
      <x:c r="G809" s="2" t="str">
        <x:f>IF(COUNTA(A809:F809)=0,"",COUNTIFS('App Data'!$L$2:$L$1001,SUBSTITUTE(SUBSTITUTE(SUBSTITUTE(L809,"~","~~"),"*","~*"),"?","~?")))</x:f>
      </x:c>
      <x:c r="H809" s="2" t="str">
        <x:f>IF(COUNTA(A809:F809)=0,"",COUNTIFS('External Data'!$L$2:$L$1001,SUBSTITUTE(SUBSTITUTE(SUBSTITUTE(L809,"~","~~"),"*","~*"),"?","~?")))</x:f>
      </x:c>
      <x:c r="I809" s="13" t="str">
        <x:f>IF(OR(H809&lt;&gt;1,G809&lt;&gt;1),"",SUMIFS('External Data'!$E$2:$E$1001,'External Data'!$L$2:$L$1001,SUBSTITUTE(SUBSTITUTE(SUBSTITUTE(L809,"~","~~"),"*","~*"),"?","~?")))</x:f>
      </x:c>
      <x:c r="J809" s="13" t="str">
        <x:f>IF(OR(NOT(ISNUMBER(E809)),NOT(ISNUMBER(I809))),"",ROUND(E809-I809,2))</x:f>
      </x:c>
      <x:c r="K809" s="2" t="str">
        <x:f>IF(COUNTA(A809:F809)=0,"",IF(OR(A809="",B809="",C809="",D809="",NOT(ISNUMBER(E809))),"Missing / invalid input",IF(G809&gt;1,"Duplicate key in this source",IF(H809=0,"Missing in other source",IF(H809&gt;1,"Duplicate in other source",IF(SUMIFS('External Data'!$M$2:$M$1001,'External Data'!$L$2:$L$1001,SUBSTITUTE(SUBSTITUTE(SUBSTITUTE(L809,"~","~~"),"*","~*"),"?","~?"))&lt;&gt;1,"Other amount is invalid",IF(J809&lt;&gt;0,"Amount differs","Matched")))))))</x:f>
      </x:c>
      <x:c r="L809" t="str">
        <x:f>IF(COUNTA(A809:F809)=0,"",LEN(A809)&amp;":"&amp;A809&amp;LEN(B809)&amp;":"&amp;B809&amp;LEN(C809)&amp;":"&amp;C809&amp;LEN(D809)&amp;":"&amp;D809)</x:f>
      </x:c>
      <x:c r="M809" t="str">
        <x:f>IF(COUNTA(A809:F809)=0,"",IF(ISNUMBER(E809),1,0))</x:f>
      </x:c>
    </x:row>
    <x:row r="810">
      <x:c r="A810" s="11"/>
      <x:c r="B810" s="11"/>
      <x:c r="C810" s="11"/>
      <x:c r="D810" s="11"/>
      <x:c r="E810" s="12"/>
      <x:c r="F810" s="10"/>
      <x:c r="G810" s="2" t="str">
        <x:f>IF(COUNTA(A810:F810)=0,"",COUNTIFS('App Data'!$L$2:$L$1001,SUBSTITUTE(SUBSTITUTE(SUBSTITUTE(L810,"~","~~"),"*","~*"),"?","~?")))</x:f>
      </x:c>
      <x:c r="H810" s="2" t="str">
        <x:f>IF(COUNTA(A810:F810)=0,"",COUNTIFS('External Data'!$L$2:$L$1001,SUBSTITUTE(SUBSTITUTE(SUBSTITUTE(L810,"~","~~"),"*","~*"),"?","~?")))</x:f>
      </x:c>
      <x:c r="I810" s="13" t="str">
        <x:f>IF(OR(H810&lt;&gt;1,G810&lt;&gt;1),"",SUMIFS('External Data'!$E$2:$E$1001,'External Data'!$L$2:$L$1001,SUBSTITUTE(SUBSTITUTE(SUBSTITUTE(L810,"~","~~"),"*","~*"),"?","~?")))</x:f>
      </x:c>
      <x:c r="J810" s="13" t="str">
        <x:f>IF(OR(NOT(ISNUMBER(E810)),NOT(ISNUMBER(I810))),"",ROUND(E810-I810,2))</x:f>
      </x:c>
      <x:c r="K810" s="2" t="str">
        <x:f>IF(COUNTA(A810:F810)=0,"",IF(OR(A810="",B810="",C810="",D810="",NOT(ISNUMBER(E810))),"Missing / invalid input",IF(G810&gt;1,"Duplicate key in this source",IF(H810=0,"Missing in other source",IF(H810&gt;1,"Duplicate in other source",IF(SUMIFS('External Data'!$M$2:$M$1001,'External Data'!$L$2:$L$1001,SUBSTITUTE(SUBSTITUTE(SUBSTITUTE(L810,"~","~~"),"*","~*"),"?","~?"))&lt;&gt;1,"Other amount is invalid",IF(J810&lt;&gt;0,"Amount differs","Matched")))))))</x:f>
      </x:c>
      <x:c r="L810" t="str">
        <x:f>IF(COUNTA(A810:F810)=0,"",LEN(A810)&amp;":"&amp;A810&amp;LEN(B810)&amp;":"&amp;B810&amp;LEN(C810)&amp;":"&amp;C810&amp;LEN(D810)&amp;":"&amp;D810)</x:f>
      </x:c>
      <x:c r="M810" t="str">
        <x:f>IF(COUNTA(A810:F810)=0,"",IF(ISNUMBER(E810),1,0))</x:f>
      </x:c>
    </x:row>
    <x:row r="811">
      <x:c r="A811" s="11"/>
      <x:c r="B811" s="11"/>
      <x:c r="C811" s="11"/>
      <x:c r="D811" s="11"/>
      <x:c r="E811" s="12"/>
      <x:c r="F811" s="10"/>
      <x:c r="G811" s="2" t="str">
        <x:f>IF(COUNTA(A811:F811)=0,"",COUNTIFS('App Data'!$L$2:$L$1001,SUBSTITUTE(SUBSTITUTE(SUBSTITUTE(L811,"~","~~"),"*","~*"),"?","~?")))</x:f>
      </x:c>
      <x:c r="H811" s="2" t="str">
        <x:f>IF(COUNTA(A811:F811)=0,"",COUNTIFS('External Data'!$L$2:$L$1001,SUBSTITUTE(SUBSTITUTE(SUBSTITUTE(L811,"~","~~"),"*","~*"),"?","~?")))</x:f>
      </x:c>
      <x:c r="I811" s="13" t="str">
        <x:f>IF(OR(H811&lt;&gt;1,G811&lt;&gt;1),"",SUMIFS('External Data'!$E$2:$E$1001,'External Data'!$L$2:$L$1001,SUBSTITUTE(SUBSTITUTE(SUBSTITUTE(L811,"~","~~"),"*","~*"),"?","~?")))</x:f>
      </x:c>
      <x:c r="J811" s="13" t="str">
        <x:f>IF(OR(NOT(ISNUMBER(E811)),NOT(ISNUMBER(I811))),"",ROUND(E811-I811,2))</x:f>
      </x:c>
      <x:c r="K811" s="2" t="str">
        <x:f>IF(COUNTA(A811:F811)=0,"",IF(OR(A811="",B811="",C811="",D811="",NOT(ISNUMBER(E811))),"Missing / invalid input",IF(G811&gt;1,"Duplicate key in this source",IF(H811=0,"Missing in other source",IF(H811&gt;1,"Duplicate in other source",IF(SUMIFS('External Data'!$M$2:$M$1001,'External Data'!$L$2:$L$1001,SUBSTITUTE(SUBSTITUTE(SUBSTITUTE(L811,"~","~~"),"*","~*"),"?","~?"))&lt;&gt;1,"Other amount is invalid",IF(J811&lt;&gt;0,"Amount differs","Matched")))))))</x:f>
      </x:c>
      <x:c r="L811" t="str">
        <x:f>IF(COUNTA(A811:F811)=0,"",LEN(A811)&amp;":"&amp;A811&amp;LEN(B811)&amp;":"&amp;B811&amp;LEN(C811)&amp;":"&amp;C811&amp;LEN(D811)&amp;":"&amp;D811)</x:f>
      </x:c>
      <x:c r="M811" t="str">
        <x:f>IF(COUNTA(A811:F811)=0,"",IF(ISNUMBER(E811),1,0))</x:f>
      </x:c>
    </x:row>
    <x:row r="812">
      <x:c r="A812" s="11"/>
      <x:c r="B812" s="11"/>
      <x:c r="C812" s="11"/>
      <x:c r="D812" s="11"/>
      <x:c r="E812" s="12"/>
      <x:c r="F812" s="10"/>
      <x:c r="G812" s="2" t="str">
        <x:f>IF(COUNTA(A812:F812)=0,"",COUNTIFS('App Data'!$L$2:$L$1001,SUBSTITUTE(SUBSTITUTE(SUBSTITUTE(L812,"~","~~"),"*","~*"),"?","~?")))</x:f>
      </x:c>
      <x:c r="H812" s="2" t="str">
        <x:f>IF(COUNTA(A812:F812)=0,"",COUNTIFS('External Data'!$L$2:$L$1001,SUBSTITUTE(SUBSTITUTE(SUBSTITUTE(L812,"~","~~"),"*","~*"),"?","~?")))</x:f>
      </x:c>
      <x:c r="I812" s="13" t="str">
        <x:f>IF(OR(H812&lt;&gt;1,G812&lt;&gt;1),"",SUMIFS('External Data'!$E$2:$E$1001,'External Data'!$L$2:$L$1001,SUBSTITUTE(SUBSTITUTE(SUBSTITUTE(L812,"~","~~"),"*","~*"),"?","~?")))</x:f>
      </x:c>
      <x:c r="J812" s="13" t="str">
        <x:f>IF(OR(NOT(ISNUMBER(E812)),NOT(ISNUMBER(I812))),"",ROUND(E812-I812,2))</x:f>
      </x:c>
      <x:c r="K812" s="2" t="str">
        <x:f>IF(COUNTA(A812:F812)=0,"",IF(OR(A812="",B812="",C812="",D812="",NOT(ISNUMBER(E812))),"Missing / invalid input",IF(G812&gt;1,"Duplicate key in this source",IF(H812=0,"Missing in other source",IF(H812&gt;1,"Duplicate in other source",IF(SUMIFS('External Data'!$M$2:$M$1001,'External Data'!$L$2:$L$1001,SUBSTITUTE(SUBSTITUTE(SUBSTITUTE(L812,"~","~~"),"*","~*"),"?","~?"))&lt;&gt;1,"Other amount is invalid",IF(J812&lt;&gt;0,"Amount differs","Matched")))))))</x:f>
      </x:c>
      <x:c r="L812" t="str">
        <x:f>IF(COUNTA(A812:F812)=0,"",LEN(A812)&amp;":"&amp;A812&amp;LEN(B812)&amp;":"&amp;B812&amp;LEN(C812)&amp;":"&amp;C812&amp;LEN(D812)&amp;":"&amp;D812)</x:f>
      </x:c>
      <x:c r="M812" t="str">
        <x:f>IF(COUNTA(A812:F812)=0,"",IF(ISNUMBER(E812),1,0))</x:f>
      </x:c>
    </x:row>
    <x:row r="813">
      <x:c r="A813" s="11"/>
      <x:c r="B813" s="11"/>
      <x:c r="C813" s="11"/>
      <x:c r="D813" s="11"/>
      <x:c r="E813" s="12"/>
      <x:c r="F813" s="10"/>
      <x:c r="G813" s="2" t="str">
        <x:f>IF(COUNTA(A813:F813)=0,"",COUNTIFS('App Data'!$L$2:$L$1001,SUBSTITUTE(SUBSTITUTE(SUBSTITUTE(L813,"~","~~"),"*","~*"),"?","~?")))</x:f>
      </x:c>
      <x:c r="H813" s="2" t="str">
        <x:f>IF(COUNTA(A813:F813)=0,"",COUNTIFS('External Data'!$L$2:$L$1001,SUBSTITUTE(SUBSTITUTE(SUBSTITUTE(L813,"~","~~"),"*","~*"),"?","~?")))</x:f>
      </x:c>
      <x:c r="I813" s="13" t="str">
        <x:f>IF(OR(H813&lt;&gt;1,G813&lt;&gt;1),"",SUMIFS('External Data'!$E$2:$E$1001,'External Data'!$L$2:$L$1001,SUBSTITUTE(SUBSTITUTE(SUBSTITUTE(L813,"~","~~"),"*","~*"),"?","~?")))</x:f>
      </x:c>
      <x:c r="J813" s="13" t="str">
        <x:f>IF(OR(NOT(ISNUMBER(E813)),NOT(ISNUMBER(I813))),"",ROUND(E813-I813,2))</x:f>
      </x:c>
      <x:c r="K813" s="2" t="str">
        <x:f>IF(COUNTA(A813:F813)=0,"",IF(OR(A813="",B813="",C813="",D813="",NOT(ISNUMBER(E813))),"Missing / invalid input",IF(G813&gt;1,"Duplicate key in this source",IF(H813=0,"Missing in other source",IF(H813&gt;1,"Duplicate in other source",IF(SUMIFS('External Data'!$M$2:$M$1001,'External Data'!$L$2:$L$1001,SUBSTITUTE(SUBSTITUTE(SUBSTITUTE(L813,"~","~~"),"*","~*"),"?","~?"))&lt;&gt;1,"Other amount is invalid",IF(J813&lt;&gt;0,"Amount differs","Matched")))))))</x:f>
      </x:c>
      <x:c r="L813" t="str">
        <x:f>IF(COUNTA(A813:F813)=0,"",LEN(A813)&amp;":"&amp;A813&amp;LEN(B813)&amp;":"&amp;B813&amp;LEN(C813)&amp;":"&amp;C813&amp;LEN(D813)&amp;":"&amp;D813)</x:f>
      </x:c>
      <x:c r="M813" t="str">
        <x:f>IF(COUNTA(A813:F813)=0,"",IF(ISNUMBER(E813),1,0))</x:f>
      </x:c>
    </x:row>
    <x:row r="814">
      <x:c r="A814" s="11"/>
      <x:c r="B814" s="11"/>
      <x:c r="C814" s="11"/>
      <x:c r="D814" s="11"/>
      <x:c r="E814" s="12"/>
      <x:c r="F814" s="10"/>
      <x:c r="G814" s="2" t="str">
        <x:f>IF(COUNTA(A814:F814)=0,"",COUNTIFS('App Data'!$L$2:$L$1001,SUBSTITUTE(SUBSTITUTE(SUBSTITUTE(L814,"~","~~"),"*","~*"),"?","~?")))</x:f>
      </x:c>
      <x:c r="H814" s="2" t="str">
        <x:f>IF(COUNTA(A814:F814)=0,"",COUNTIFS('External Data'!$L$2:$L$1001,SUBSTITUTE(SUBSTITUTE(SUBSTITUTE(L814,"~","~~"),"*","~*"),"?","~?")))</x:f>
      </x:c>
      <x:c r="I814" s="13" t="str">
        <x:f>IF(OR(H814&lt;&gt;1,G814&lt;&gt;1),"",SUMIFS('External Data'!$E$2:$E$1001,'External Data'!$L$2:$L$1001,SUBSTITUTE(SUBSTITUTE(SUBSTITUTE(L814,"~","~~"),"*","~*"),"?","~?")))</x:f>
      </x:c>
      <x:c r="J814" s="13" t="str">
        <x:f>IF(OR(NOT(ISNUMBER(E814)),NOT(ISNUMBER(I814))),"",ROUND(E814-I814,2))</x:f>
      </x:c>
      <x:c r="K814" s="2" t="str">
        <x:f>IF(COUNTA(A814:F814)=0,"",IF(OR(A814="",B814="",C814="",D814="",NOT(ISNUMBER(E814))),"Missing / invalid input",IF(G814&gt;1,"Duplicate key in this source",IF(H814=0,"Missing in other source",IF(H814&gt;1,"Duplicate in other source",IF(SUMIFS('External Data'!$M$2:$M$1001,'External Data'!$L$2:$L$1001,SUBSTITUTE(SUBSTITUTE(SUBSTITUTE(L814,"~","~~"),"*","~*"),"?","~?"))&lt;&gt;1,"Other amount is invalid",IF(J814&lt;&gt;0,"Amount differs","Matched")))))))</x:f>
      </x:c>
      <x:c r="L814" t="str">
        <x:f>IF(COUNTA(A814:F814)=0,"",LEN(A814)&amp;":"&amp;A814&amp;LEN(B814)&amp;":"&amp;B814&amp;LEN(C814)&amp;":"&amp;C814&amp;LEN(D814)&amp;":"&amp;D814)</x:f>
      </x:c>
      <x:c r="M814" t="str">
        <x:f>IF(COUNTA(A814:F814)=0,"",IF(ISNUMBER(E814),1,0))</x:f>
      </x:c>
    </x:row>
    <x:row r="815">
      <x:c r="A815" s="11"/>
      <x:c r="B815" s="11"/>
      <x:c r="C815" s="11"/>
      <x:c r="D815" s="11"/>
      <x:c r="E815" s="12"/>
      <x:c r="F815" s="10"/>
      <x:c r="G815" s="2" t="str">
        <x:f>IF(COUNTA(A815:F815)=0,"",COUNTIFS('App Data'!$L$2:$L$1001,SUBSTITUTE(SUBSTITUTE(SUBSTITUTE(L815,"~","~~"),"*","~*"),"?","~?")))</x:f>
      </x:c>
      <x:c r="H815" s="2" t="str">
        <x:f>IF(COUNTA(A815:F815)=0,"",COUNTIFS('External Data'!$L$2:$L$1001,SUBSTITUTE(SUBSTITUTE(SUBSTITUTE(L815,"~","~~"),"*","~*"),"?","~?")))</x:f>
      </x:c>
      <x:c r="I815" s="13" t="str">
        <x:f>IF(OR(H815&lt;&gt;1,G815&lt;&gt;1),"",SUMIFS('External Data'!$E$2:$E$1001,'External Data'!$L$2:$L$1001,SUBSTITUTE(SUBSTITUTE(SUBSTITUTE(L815,"~","~~"),"*","~*"),"?","~?")))</x:f>
      </x:c>
      <x:c r="J815" s="13" t="str">
        <x:f>IF(OR(NOT(ISNUMBER(E815)),NOT(ISNUMBER(I815))),"",ROUND(E815-I815,2))</x:f>
      </x:c>
      <x:c r="K815" s="2" t="str">
        <x:f>IF(COUNTA(A815:F815)=0,"",IF(OR(A815="",B815="",C815="",D815="",NOT(ISNUMBER(E815))),"Missing / invalid input",IF(G815&gt;1,"Duplicate key in this source",IF(H815=0,"Missing in other source",IF(H815&gt;1,"Duplicate in other source",IF(SUMIFS('External Data'!$M$2:$M$1001,'External Data'!$L$2:$L$1001,SUBSTITUTE(SUBSTITUTE(SUBSTITUTE(L815,"~","~~"),"*","~*"),"?","~?"))&lt;&gt;1,"Other amount is invalid",IF(J815&lt;&gt;0,"Amount differs","Matched")))))))</x:f>
      </x:c>
      <x:c r="L815" t="str">
        <x:f>IF(COUNTA(A815:F815)=0,"",LEN(A815)&amp;":"&amp;A815&amp;LEN(B815)&amp;":"&amp;B815&amp;LEN(C815)&amp;":"&amp;C815&amp;LEN(D815)&amp;":"&amp;D815)</x:f>
      </x:c>
      <x:c r="M815" t="str">
        <x:f>IF(COUNTA(A815:F815)=0,"",IF(ISNUMBER(E815),1,0))</x:f>
      </x:c>
    </x:row>
    <x:row r="816">
      <x:c r="A816" s="11"/>
      <x:c r="B816" s="11"/>
      <x:c r="C816" s="11"/>
      <x:c r="D816" s="11"/>
      <x:c r="E816" s="12"/>
      <x:c r="F816" s="10"/>
      <x:c r="G816" s="2" t="str">
        <x:f>IF(COUNTA(A816:F816)=0,"",COUNTIFS('App Data'!$L$2:$L$1001,SUBSTITUTE(SUBSTITUTE(SUBSTITUTE(L816,"~","~~"),"*","~*"),"?","~?")))</x:f>
      </x:c>
      <x:c r="H816" s="2" t="str">
        <x:f>IF(COUNTA(A816:F816)=0,"",COUNTIFS('External Data'!$L$2:$L$1001,SUBSTITUTE(SUBSTITUTE(SUBSTITUTE(L816,"~","~~"),"*","~*"),"?","~?")))</x:f>
      </x:c>
      <x:c r="I816" s="13" t="str">
        <x:f>IF(OR(H816&lt;&gt;1,G816&lt;&gt;1),"",SUMIFS('External Data'!$E$2:$E$1001,'External Data'!$L$2:$L$1001,SUBSTITUTE(SUBSTITUTE(SUBSTITUTE(L816,"~","~~"),"*","~*"),"?","~?")))</x:f>
      </x:c>
      <x:c r="J816" s="13" t="str">
        <x:f>IF(OR(NOT(ISNUMBER(E816)),NOT(ISNUMBER(I816))),"",ROUND(E816-I816,2))</x:f>
      </x:c>
      <x:c r="K816" s="2" t="str">
        <x:f>IF(COUNTA(A816:F816)=0,"",IF(OR(A816="",B816="",C816="",D816="",NOT(ISNUMBER(E816))),"Missing / invalid input",IF(G816&gt;1,"Duplicate key in this source",IF(H816=0,"Missing in other source",IF(H816&gt;1,"Duplicate in other source",IF(SUMIFS('External Data'!$M$2:$M$1001,'External Data'!$L$2:$L$1001,SUBSTITUTE(SUBSTITUTE(SUBSTITUTE(L816,"~","~~"),"*","~*"),"?","~?"))&lt;&gt;1,"Other amount is invalid",IF(J816&lt;&gt;0,"Amount differs","Matched")))))))</x:f>
      </x:c>
      <x:c r="L816" t="str">
        <x:f>IF(COUNTA(A816:F816)=0,"",LEN(A816)&amp;":"&amp;A816&amp;LEN(B816)&amp;":"&amp;B816&amp;LEN(C816)&amp;":"&amp;C816&amp;LEN(D816)&amp;":"&amp;D816)</x:f>
      </x:c>
      <x:c r="M816" t="str">
        <x:f>IF(COUNTA(A816:F816)=0,"",IF(ISNUMBER(E816),1,0))</x:f>
      </x:c>
    </x:row>
    <x:row r="817">
      <x:c r="A817" s="11"/>
      <x:c r="B817" s="11"/>
      <x:c r="C817" s="11"/>
      <x:c r="D817" s="11"/>
      <x:c r="E817" s="12"/>
      <x:c r="F817" s="10"/>
      <x:c r="G817" s="2" t="str">
        <x:f>IF(COUNTA(A817:F817)=0,"",COUNTIFS('App Data'!$L$2:$L$1001,SUBSTITUTE(SUBSTITUTE(SUBSTITUTE(L817,"~","~~"),"*","~*"),"?","~?")))</x:f>
      </x:c>
      <x:c r="H817" s="2" t="str">
        <x:f>IF(COUNTA(A817:F817)=0,"",COUNTIFS('External Data'!$L$2:$L$1001,SUBSTITUTE(SUBSTITUTE(SUBSTITUTE(L817,"~","~~"),"*","~*"),"?","~?")))</x:f>
      </x:c>
      <x:c r="I817" s="13" t="str">
        <x:f>IF(OR(H817&lt;&gt;1,G817&lt;&gt;1),"",SUMIFS('External Data'!$E$2:$E$1001,'External Data'!$L$2:$L$1001,SUBSTITUTE(SUBSTITUTE(SUBSTITUTE(L817,"~","~~"),"*","~*"),"?","~?")))</x:f>
      </x:c>
      <x:c r="J817" s="13" t="str">
        <x:f>IF(OR(NOT(ISNUMBER(E817)),NOT(ISNUMBER(I817))),"",ROUND(E817-I817,2))</x:f>
      </x:c>
      <x:c r="K817" s="2" t="str">
        <x:f>IF(COUNTA(A817:F817)=0,"",IF(OR(A817="",B817="",C817="",D817="",NOT(ISNUMBER(E817))),"Missing / invalid input",IF(G817&gt;1,"Duplicate key in this source",IF(H817=0,"Missing in other source",IF(H817&gt;1,"Duplicate in other source",IF(SUMIFS('External Data'!$M$2:$M$1001,'External Data'!$L$2:$L$1001,SUBSTITUTE(SUBSTITUTE(SUBSTITUTE(L817,"~","~~"),"*","~*"),"?","~?"))&lt;&gt;1,"Other amount is invalid",IF(J817&lt;&gt;0,"Amount differs","Matched")))))))</x:f>
      </x:c>
      <x:c r="L817" t="str">
        <x:f>IF(COUNTA(A817:F817)=0,"",LEN(A817)&amp;":"&amp;A817&amp;LEN(B817)&amp;":"&amp;B817&amp;LEN(C817)&amp;":"&amp;C817&amp;LEN(D817)&amp;":"&amp;D817)</x:f>
      </x:c>
      <x:c r="M817" t="str">
        <x:f>IF(COUNTA(A817:F817)=0,"",IF(ISNUMBER(E817),1,0))</x:f>
      </x:c>
    </x:row>
    <x:row r="818">
      <x:c r="A818" s="11"/>
      <x:c r="B818" s="11"/>
      <x:c r="C818" s="11"/>
      <x:c r="D818" s="11"/>
      <x:c r="E818" s="12"/>
      <x:c r="F818" s="10"/>
      <x:c r="G818" s="2" t="str">
        <x:f>IF(COUNTA(A818:F818)=0,"",COUNTIFS('App Data'!$L$2:$L$1001,SUBSTITUTE(SUBSTITUTE(SUBSTITUTE(L818,"~","~~"),"*","~*"),"?","~?")))</x:f>
      </x:c>
      <x:c r="H818" s="2" t="str">
        <x:f>IF(COUNTA(A818:F818)=0,"",COUNTIFS('External Data'!$L$2:$L$1001,SUBSTITUTE(SUBSTITUTE(SUBSTITUTE(L818,"~","~~"),"*","~*"),"?","~?")))</x:f>
      </x:c>
      <x:c r="I818" s="13" t="str">
        <x:f>IF(OR(H818&lt;&gt;1,G818&lt;&gt;1),"",SUMIFS('External Data'!$E$2:$E$1001,'External Data'!$L$2:$L$1001,SUBSTITUTE(SUBSTITUTE(SUBSTITUTE(L818,"~","~~"),"*","~*"),"?","~?")))</x:f>
      </x:c>
      <x:c r="J818" s="13" t="str">
        <x:f>IF(OR(NOT(ISNUMBER(E818)),NOT(ISNUMBER(I818))),"",ROUND(E818-I818,2))</x:f>
      </x:c>
      <x:c r="K818" s="2" t="str">
        <x:f>IF(COUNTA(A818:F818)=0,"",IF(OR(A818="",B818="",C818="",D818="",NOT(ISNUMBER(E818))),"Missing / invalid input",IF(G818&gt;1,"Duplicate key in this source",IF(H818=0,"Missing in other source",IF(H818&gt;1,"Duplicate in other source",IF(SUMIFS('External Data'!$M$2:$M$1001,'External Data'!$L$2:$L$1001,SUBSTITUTE(SUBSTITUTE(SUBSTITUTE(L818,"~","~~"),"*","~*"),"?","~?"))&lt;&gt;1,"Other amount is invalid",IF(J818&lt;&gt;0,"Amount differs","Matched")))))))</x:f>
      </x:c>
      <x:c r="L818" t="str">
        <x:f>IF(COUNTA(A818:F818)=0,"",LEN(A818)&amp;":"&amp;A818&amp;LEN(B818)&amp;":"&amp;B818&amp;LEN(C818)&amp;":"&amp;C818&amp;LEN(D818)&amp;":"&amp;D818)</x:f>
      </x:c>
      <x:c r="M818" t="str">
        <x:f>IF(COUNTA(A818:F818)=0,"",IF(ISNUMBER(E818),1,0))</x:f>
      </x:c>
    </x:row>
    <x:row r="819">
      <x:c r="A819" s="11"/>
      <x:c r="B819" s="11"/>
      <x:c r="C819" s="11"/>
      <x:c r="D819" s="11"/>
      <x:c r="E819" s="12"/>
      <x:c r="F819" s="10"/>
      <x:c r="G819" s="2" t="str">
        <x:f>IF(COUNTA(A819:F819)=0,"",COUNTIFS('App Data'!$L$2:$L$1001,SUBSTITUTE(SUBSTITUTE(SUBSTITUTE(L819,"~","~~"),"*","~*"),"?","~?")))</x:f>
      </x:c>
      <x:c r="H819" s="2" t="str">
        <x:f>IF(COUNTA(A819:F819)=0,"",COUNTIFS('External Data'!$L$2:$L$1001,SUBSTITUTE(SUBSTITUTE(SUBSTITUTE(L819,"~","~~"),"*","~*"),"?","~?")))</x:f>
      </x:c>
      <x:c r="I819" s="13" t="str">
        <x:f>IF(OR(H819&lt;&gt;1,G819&lt;&gt;1),"",SUMIFS('External Data'!$E$2:$E$1001,'External Data'!$L$2:$L$1001,SUBSTITUTE(SUBSTITUTE(SUBSTITUTE(L819,"~","~~"),"*","~*"),"?","~?")))</x:f>
      </x:c>
      <x:c r="J819" s="13" t="str">
        <x:f>IF(OR(NOT(ISNUMBER(E819)),NOT(ISNUMBER(I819))),"",ROUND(E819-I819,2))</x:f>
      </x:c>
      <x:c r="K819" s="2" t="str">
        <x:f>IF(COUNTA(A819:F819)=0,"",IF(OR(A819="",B819="",C819="",D819="",NOT(ISNUMBER(E819))),"Missing / invalid input",IF(G819&gt;1,"Duplicate key in this source",IF(H819=0,"Missing in other source",IF(H819&gt;1,"Duplicate in other source",IF(SUMIFS('External Data'!$M$2:$M$1001,'External Data'!$L$2:$L$1001,SUBSTITUTE(SUBSTITUTE(SUBSTITUTE(L819,"~","~~"),"*","~*"),"?","~?"))&lt;&gt;1,"Other amount is invalid",IF(J819&lt;&gt;0,"Amount differs","Matched")))))))</x:f>
      </x:c>
      <x:c r="L819" t="str">
        <x:f>IF(COUNTA(A819:F819)=0,"",LEN(A819)&amp;":"&amp;A819&amp;LEN(B819)&amp;":"&amp;B819&amp;LEN(C819)&amp;":"&amp;C819&amp;LEN(D819)&amp;":"&amp;D819)</x:f>
      </x:c>
      <x:c r="M819" t="str">
        <x:f>IF(COUNTA(A819:F819)=0,"",IF(ISNUMBER(E819),1,0))</x:f>
      </x:c>
    </x:row>
    <x:row r="820">
      <x:c r="A820" s="11"/>
      <x:c r="B820" s="11"/>
      <x:c r="C820" s="11"/>
      <x:c r="D820" s="11"/>
      <x:c r="E820" s="12"/>
      <x:c r="F820" s="10"/>
      <x:c r="G820" s="2" t="str">
        <x:f>IF(COUNTA(A820:F820)=0,"",COUNTIFS('App Data'!$L$2:$L$1001,SUBSTITUTE(SUBSTITUTE(SUBSTITUTE(L820,"~","~~"),"*","~*"),"?","~?")))</x:f>
      </x:c>
      <x:c r="H820" s="2" t="str">
        <x:f>IF(COUNTA(A820:F820)=0,"",COUNTIFS('External Data'!$L$2:$L$1001,SUBSTITUTE(SUBSTITUTE(SUBSTITUTE(L820,"~","~~"),"*","~*"),"?","~?")))</x:f>
      </x:c>
      <x:c r="I820" s="13" t="str">
        <x:f>IF(OR(H820&lt;&gt;1,G820&lt;&gt;1),"",SUMIFS('External Data'!$E$2:$E$1001,'External Data'!$L$2:$L$1001,SUBSTITUTE(SUBSTITUTE(SUBSTITUTE(L820,"~","~~"),"*","~*"),"?","~?")))</x:f>
      </x:c>
      <x:c r="J820" s="13" t="str">
        <x:f>IF(OR(NOT(ISNUMBER(E820)),NOT(ISNUMBER(I820))),"",ROUND(E820-I820,2))</x:f>
      </x:c>
      <x:c r="K820" s="2" t="str">
        <x:f>IF(COUNTA(A820:F820)=0,"",IF(OR(A820="",B820="",C820="",D820="",NOT(ISNUMBER(E820))),"Missing / invalid input",IF(G820&gt;1,"Duplicate key in this source",IF(H820=0,"Missing in other source",IF(H820&gt;1,"Duplicate in other source",IF(SUMIFS('External Data'!$M$2:$M$1001,'External Data'!$L$2:$L$1001,SUBSTITUTE(SUBSTITUTE(SUBSTITUTE(L820,"~","~~"),"*","~*"),"?","~?"))&lt;&gt;1,"Other amount is invalid",IF(J820&lt;&gt;0,"Amount differs","Matched")))))))</x:f>
      </x:c>
      <x:c r="L820" t="str">
        <x:f>IF(COUNTA(A820:F820)=0,"",LEN(A820)&amp;":"&amp;A820&amp;LEN(B820)&amp;":"&amp;B820&amp;LEN(C820)&amp;":"&amp;C820&amp;LEN(D820)&amp;":"&amp;D820)</x:f>
      </x:c>
      <x:c r="M820" t="str">
        <x:f>IF(COUNTA(A820:F820)=0,"",IF(ISNUMBER(E820),1,0))</x:f>
      </x:c>
    </x:row>
    <x:row r="821">
      <x:c r="A821" s="11"/>
      <x:c r="B821" s="11"/>
      <x:c r="C821" s="11"/>
      <x:c r="D821" s="11"/>
      <x:c r="E821" s="12"/>
      <x:c r="F821" s="10"/>
      <x:c r="G821" s="2" t="str">
        <x:f>IF(COUNTA(A821:F821)=0,"",COUNTIFS('App Data'!$L$2:$L$1001,SUBSTITUTE(SUBSTITUTE(SUBSTITUTE(L821,"~","~~"),"*","~*"),"?","~?")))</x:f>
      </x:c>
      <x:c r="H821" s="2" t="str">
        <x:f>IF(COUNTA(A821:F821)=0,"",COUNTIFS('External Data'!$L$2:$L$1001,SUBSTITUTE(SUBSTITUTE(SUBSTITUTE(L821,"~","~~"),"*","~*"),"?","~?")))</x:f>
      </x:c>
      <x:c r="I821" s="13" t="str">
        <x:f>IF(OR(H821&lt;&gt;1,G821&lt;&gt;1),"",SUMIFS('External Data'!$E$2:$E$1001,'External Data'!$L$2:$L$1001,SUBSTITUTE(SUBSTITUTE(SUBSTITUTE(L821,"~","~~"),"*","~*"),"?","~?")))</x:f>
      </x:c>
      <x:c r="J821" s="13" t="str">
        <x:f>IF(OR(NOT(ISNUMBER(E821)),NOT(ISNUMBER(I821))),"",ROUND(E821-I821,2))</x:f>
      </x:c>
      <x:c r="K821" s="2" t="str">
        <x:f>IF(COUNTA(A821:F821)=0,"",IF(OR(A821="",B821="",C821="",D821="",NOT(ISNUMBER(E821))),"Missing / invalid input",IF(G821&gt;1,"Duplicate key in this source",IF(H821=0,"Missing in other source",IF(H821&gt;1,"Duplicate in other source",IF(SUMIFS('External Data'!$M$2:$M$1001,'External Data'!$L$2:$L$1001,SUBSTITUTE(SUBSTITUTE(SUBSTITUTE(L821,"~","~~"),"*","~*"),"?","~?"))&lt;&gt;1,"Other amount is invalid",IF(J821&lt;&gt;0,"Amount differs","Matched")))))))</x:f>
      </x:c>
      <x:c r="L821" t="str">
        <x:f>IF(COUNTA(A821:F821)=0,"",LEN(A821)&amp;":"&amp;A821&amp;LEN(B821)&amp;":"&amp;B821&amp;LEN(C821)&amp;":"&amp;C821&amp;LEN(D821)&amp;":"&amp;D821)</x:f>
      </x:c>
      <x:c r="M821" t="str">
        <x:f>IF(COUNTA(A821:F821)=0,"",IF(ISNUMBER(E821),1,0))</x:f>
      </x:c>
    </x:row>
    <x:row r="822">
      <x:c r="A822" s="11"/>
      <x:c r="B822" s="11"/>
      <x:c r="C822" s="11"/>
      <x:c r="D822" s="11"/>
      <x:c r="E822" s="12"/>
      <x:c r="F822" s="10"/>
      <x:c r="G822" s="2" t="str">
        <x:f>IF(COUNTA(A822:F822)=0,"",COUNTIFS('App Data'!$L$2:$L$1001,SUBSTITUTE(SUBSTITUTE(SUBSTITUTE(L822,"~","~~"),"*","~*"),"?","~?")))</x:f>
      </x:c>
      <x:c r="H822" s="2" t="str">
        <x:f>IF(COUNTA(A822:F822)=0,"",COUNTIFS('External Data'!$L$2:$L$1001,SUBSTITUTE(SUBSTITUTE(SUBSTITUTE(L822,"~","~~"),"*","~*"),"?","~?")))</x:f>
      </x:c>
      <x:c r="I822" s="13" t="str">
        <x:f>IF(OR(H822&lt;&gt;1,G822&lt;&gt;1),"",SUMIFS('External Data'!$E$2:$E$1001,'External Data'!$L$2:$L$1001,SUBSTITUTE(SUBSTITUTE(SUBSTITUTE(L822,"~","~~"),"*","~*"),"?","~?")))</x:f>
      </x:c>
      <x:c r="J822" s="13" t="str">
        <x:f>IF(OR(NOT(ISNUMBER(E822)),NOT(ISNUMBER(I822))),"",ROUND(E822-I822,2))</x:f>
      </x:c>
      <x:c r="K822" s="2" t="str">
        <x:f>IF(COUNTA(A822:F822)=0,"",IF(OR(A822="",B822="",C822="",D822="",NOT(ISNUMBER(E822))),"Missing / invalid input",IF(G822&gt;1,"Duplicate key in this source",IF(H822=0,"Missing in other source",IF(H822&gt;1,"Duplicate in other source",IF(SUMIFS('External Data'!$M$2:$M$1001,'External Data'!$L$2:$L$1001,SUBSTITUTE(SUBSTITUTE(SUBSTITUTE(L822,"~","~~"),"*","~*"),"?","~?"))&lt;&gt;1,"Other amount is invalid",IF(J822&lt;&gt;0,"Amount differs","Matched")))))))</x:f>
      </x:c>
      <x:c r="L822" t="str">
        <x:f>IF(COUNTA(A822:F822)=0,"",LEN(A822)&amp;":"&amp;A822&amp;LEN(B822)&amp;":"&amp;B822&amp;LEN(C822)&amp;":"&amp;C822&amp;LEN(D822)&amp;":"&amp;D822)</x:f>
      </x:c>
      <x:c r="M822" t="str">
        <x:f>IF(COUNTA(A822:F822)=0,"",IF(ISNUMBER(E822),1,0))</x:f>
      </x:c>
    </x:row>
    <x:row r="823">
      <x:c r="A823" s="11"/>
      <x:c r="B823" s="11"/>
      <x:c r="C823" s="11"/>
      <x:c r="D823" s="11"/>
      <x:c r="E823" s="12"/>
      <x:c r="F823" s="10"/>
      <x:c r="G823" s="2" t="str">
        <x:f>IF(COUNTA(A823:F823)=0,"",COUNTIFS('App Data'!$L$2:$L$1001,SUBSTITUTE(SUBSTITUTE(SUBSTITUTE(L823,"~","~~"),"*","~*"),"?","~?")))</x:f>
      </x:c>
      <x:c r="H823" s="2" t="str">
        <x:f>IF(COUNTA(A823:F823)=0,"",COUNTIFS('External Data'!$L$2:$L$1001,SUBSTITUTE(SUBSTITUTE(SUBSTITUTE(L823,"~","~~"),"*","~*"),"?","~?")))</x:f>
      </x:c>
      <x:c r="I823" s="13" t="str">
        <x:f>IF(OR(H823&lt;&gt;1,G823&lt;&gt;1),"",SUMIFS('External Data'!$E$2:$E$1001,'External Data'!$L$2:$L$1001,SUBSTITUTE(SUBSTITUTE(SUBSTITUTE(L823,"~","~~"),"*","~*"),"?","~?")))</x:f>
      </x:c>
      <x:c r="J823" s="13" t="str">
        <x:f>IF(OR(NOT(ISNUMBER(E823)),NOT(ISNUMBER(I823))),"",ROUND(E823-I823,2))</x:f>
      </x:c>
      <x:c r="K823" s="2" t="str">
        <x:f>IF(COUNTA(A823:F823)=0,"",IF(OR(A823="",B823="",C823="",D823="",NOT(ISNUMBER(E823))),"Missing / invalid input",IF(G823&gt;1,"Duplicate key in this source",IF(H823=0,"Missing in other source",IF(H823&gt;1,"Duplicate in other source",IF(SUMIFS('External Data'!$M$2:$M$1001,'External Data'!$L$2:$L$1001,SUBSTITUTE(SUBSTITUTE(SUBSTITUTE(L823,"~","~~"),"*","~*"),"?","~?"))&lt;&gt;1,"Other amount is invalid",IF(J823&lt;&gt;0,"Amount differs","Matched")))))))</x:f>
      </x:c>
      <x:c r="L823" t="str">
        <x:f>IF(COUNTA(A823:F823)=0,"",LEN(A823)&amp;":"&amp;A823&amp;LEN(B823)&amp;":"&amp;B823&amp;LEN(C823)&amp;":"&amp;C823&amp;LEN(D823)&amp;":"&amp;D823)</x:f>
      </x:c>
      <x:c r="M823" t="str">
        <x:f>IF(COUNTA(A823:F823)=0,"",IF(ISNUMBER(E823),1,0))</x:f>
      </x:c>
    </x:row>
    <x:row r="824">
      <x:c r="A824" s="11"/>
      <x:c r="B824" s="11"/>
      <x:c r="C824" s="11"/>
      <x:c r="D824" s="11"/>
      <x:c r="E824" s="12"/>
      <x:c r="F824" s="10"/>
      <x:c r="G824" s="2" t="str">
        <x:f>IF(COUNTA(A824:F824)=0,"",COUNTIFS('App Data'!$L$2:$L$1001,SUBSTITUTE(SUBSTITUTE(SUBSTITUTE(L824,"~","~~"),"*","~*"),"?","~?")))</x:f>
      </x:c>
      <x:c r="H824" s="2" t="str">
        <x:f>IF(COUNTA(A824:F824)=0,"",COUNTIFS('External Data'!$L$2:$L$1001,SUBSTITUTE(SUBSTITUTE(SUBSTITUTE(L824,"~","~~"),"*","~*"),"?","~?")))</x:f>
      </x:c>
      <x:c r="I824" s="13" t="str">
        <x:f>IF(OR(H824&lt;&gt;1,G824&lt;&gt;1),"",SUMIFS('External Data'!$E$2:$E$1001,'External Data'!$L$2:$L$1001,SUBSTITUTE(SUBSTITUTE(SUBSTITUTE(L824,"~","~~"),"*","~*"),"?","~?")))</x:f>
      </x:c>
      <x:c r="J824" s="13" t="str">
        <x:f>IF(OR(NOT(ISNUMBER(E824)),NOT(ISNUMBER(I824))),"",ROUND(E824-I824,2))</x:f>
      </x:c>
      <x:c r="K824" s="2" t="str">
        <x:f>IF(COUNTA(A824:F824)=0,"",IF(OR(A824="",B824="",C824="",D824="",NOT(ISNUMBER(E824))),"Missing / invalid input",IF(G824&gt;1,"Duplicate key in this source",IF(H824=0,"Missing in other source",IF(H824&gt;1,"Duplicate in other source",IF(SUMIFS('External Data'!$M$2:$M$1001,'External Data'!$L$2:$L$1001,SUBSTITUTE(SUBSTITUTE(SUBSTITUTE(L824,"~","~~"),"*","~*"),"?","~?"))&lt;&gt;1,"Other amount is invalid",IF(J824&lt;&gt;0,"Amount differs","Matched")))))))</x:f>
      </x:c>
      <x:c r="L824" t="str">
        <x:f>IF(COUNTA(A824:F824)=0,"",LEN(A824)&amp;":"&amp;A824&amp;LEN(B824)&amp;":"&amp;B824&amp;LEN(C824)&amp;":"&amp;C824&amp;LEN(D824)&amp;":"&amp;D824)</x:f>
      </x:c>
      <x:c r="M824" t="str">
        <x:f>IF(COUNTA(A824:F824)=0,"",IF(ISNUMBER(E824),1,0))</x:f>
      </x:c>
    </x:row>
    <x:row r="825">
      <x:c r="A825" s="11"/>
      <x:c r="B825" s="11"/>
      <x:c r="C825" s="11"/>
      <x:c r="D825" s="11"/>
      <x:c r="E825" s="12"/>
      <x:c r="F825" s="10"/>
      <x:c r="G825" s="2" t="str">
        <x:f>IF(COUNTA(A825:F825)=0,"",COUNTIFS('App Data'!$L$2:$L$1001,SUBSTITUTE(SUBSTITUTE(SUBSTITUTE(L825,"~","~~"),"*","~*"),"?","~?")))</x:f>
      </x:c>
      <x:c r="H825" s="2" t="str">
        <x:f>IF(COUNTA(A825:F825)=0,"",COUNTIFS('External Data'!$L$2:$L$1001,SUBSTITUTE(SUBSTITUTE(SUBSTITUTE(L825,"~","~~"),"*","~*"),"?","~?")))</x:f>
      </x:c>
      <x:c r="I825" s="13" t="str">
        <x:f>IF(OR(H825&lt;&gt;1,G825&lt;&gt;1),"",SUMIFS('External Data'!$E$2:$E$1001,'External Data'!$L$2:$L$1001,SUBSTITUTE(SUBSTITUTE(SUBSTITUTE(L825,"~","~~"),"*","~*"),"?","~?")))</x:f>
      </x:c>
      <x:c r="J825" s="13" t="str">
        <x:f>IF(OR(NOT(ISNUMBER(E825)),NOT(ISNUMBER(I825))),"",ROUND(E825-I825,2))</x:f>
      </x:c>
      <x:c r="K825" s="2" t="str">
        <x:f>IF(COUNTA(A825:F825)=0,"",IF(OR(A825="",B825="",C825="",D825="",NOT(ISNUMBER(E825))),"Missing / invalid input",IF(G825&gt;1,"Duplicate key in this source",IF(H825=0,"Missing in other source",IF(H825&gt;1,"Duplicate in other source",IF(SUMIFS('External Data'!$M$2:$M$1001,'External Data'!$L$2:$L$1001,SUBSTITUTE(SUBSTITUTE(SUBSTITUTE(L825,"~","~~"),"*","~*"),"?","~?"))&lt;&gt;1,"Other amount is invalid",IF(J825&lt;&gt;0,"Amount differs","Matched")))))))</x:f>
      </x:c>
      <x:c r="L825" t="str">
        <x:f>IF(COUNTA(A825:F825)=0,"",LEN(A825)&amp;":"&amp;A825&amp;LEN(B825)&amp;":"&amp;B825&amp;LEN(C825)&amp;":"&amp;C825&amp;LEN(D825)&amp;":"&amp;D825)</x:f>
      </x:c>
      <x:c r="M825" t="str">
        <x:f>IF(COUNTA(A825:F825)=0,"",IF(ISNUMBER(E825),1,0))</x:f>
      </x:c>
    </x:row>
    <x:row r="826">
      <x:c r="A826" s="11"/>
      <x:c r="B826" s="11"/>
      <x:c r="C826" s="11"/>
      <x:c r="D826" s="11"/>
      <x:c r="E826" s="12"/>
      <x:c r="F826" s="10"/>
      <x:c r="G826" s="2" t="str">
        <x:f>IF(COUNTA(A826:F826)=0,"",COUNTIFS('App Data'!$L$2:$L$1001,SUBSTITUTE(SUBSTITUTE(SUBSTITUTE(L826,"~","~~"),"*","~*"),"?","~?")))</x:f>
      </x:c>
      <x:c r="H826" s="2" t="str">
        <x:f>IF(COUNTA(A826:F826)=0,"",COUNTIFS('External Data'!$L$2:$L$1001,SUBSTITUTE(SUBSTITUTE(SUBSTITUTE(L826,"~","~~"),"*","~*"),"?","~?")))</x:f>
      </x:c>
      <x:c r="I826" s="13" t="str">
        <x:f>IF(OR(H826&lt;&gt;1,G826&lt;&gt;1),"",SUMIFS('External Data'!$E$2:$E$1001,'External Data'!$L$2:$L$1001,SUBSTITUTE(SUBSTITUTE(SUBSTITUTE(L826,"~","~~"),"*","~*"),"?","~?")))</x:f>
      </x:c>
      <x:c r="J826" s="13" t="str">
        <x:f>IF(OR(NOT(ISNUMBER(E826)),NOT(ISNUMBER(I826))),"",ROUND(E826-I826,2))</x:f>
      </x:c>
      <x:c r="K826" s="2" t="str">
        <x:f>IF(COUNTA(A826:F826)=0,"",IF(OR(A826="",B826="",C826="",D826="",NOT(ISNUMBER(E826))),"Missing / invalid input",IF(G826&gt;1,"Duplicate key in this source",IF(H826=0,"Missing in other source",IF(H826&gt;1,"Duplicate in other source",IF(SUMIFS('External Data'!$M$2:$M$1001,'External Data'!$L$2:$L$1001,SUBSTITUTE(SUBSTITUTE(SUBSTITUTE(L826,"~","~~"),"*","~*"),"?","~?"))&lt;&gt;1,"Other amount is invalid",IF(J826&lt;&gt;0,"Amount differs","Matched")))))))</x:f>
      </x:c>
      <x:c r="L826" t="str">
        <x:f>IF(COUNTA(A826:F826)=0,"",LEN(A826)&amp;":"&amp;A826&amp;LEN(B826)&amp;":"&amp;B826&amp;LEN(C826)&amp;":"&amp;C826&amp;LEN(D826)&amp;":"&amp;D826)</x:f>
      </x:c>
      <x:c r="M826" t="str">
        <x:f>IF(COUNTA(A826:F826)=0,"",IF(ISNUMBER(E826),1,0))</x:f>
      </x:c>
    </x:row>
    <x:row r="827">
      <x:c r="A827" s="11"/>
      <x:c r="B827" s="11"/>
      <x:c r="C827" s="11"/>
      <x:c r="D827" s="11"/>
      <x:c r="E827" s="12"/>
      <x:c r="F827" s="10"/>
      <x:c r="G827" s="2" t="str">
        <x:f>IF(COUNTA(A827:F827)=0,"",COUNTIFS('App Data'!$L$2:$L$1001,SUBSTITUTE(SUBSTITUTE(SUBSTITUTE(L827,"~","~~"),"*","~*"),"?","~?")))</x:f>
      </x:c>
      <x:c r="H827" s="2" t="str">
        <x:f>IF(COUNTA(A827:F827)=0,"",COUNTIFS('External Data'!$L$2:$L$1001,SUBSTITUTE(SUBSTITUTE(SUBSTITUTE(L827,"~","~~"),"*","~*"),"?","~?")))</x:f>
      </x:c>
      <x:c r="I827" s="13" t="str">
        <x:f>IF(OR(H827&lt;&gt;1,G827&lt;&gt;1),"",SUMIFS('External Data'!$E$2:$E$1001,'External Data'!$L$2:$L$1001,SUBSTITUTE(SUBSTITUTE(SUBSTITUTE(L827,"~","~~"),"*","~*"),"?","~?")))</x:f>
      </x:c>
      <x:c r="J827" s="13" t="str">
        <x:f>IF(OR(NOT(ISNUMBER(E827)),NOT(ISNUMBER(I827))),"",ROUND(E827-I827,2))</x:f>
      </x:c>
      <x:c r="K827" s="2" t="str">
        <x:f>IF(COUNTA(A827:F827)=0,"",IF(OR(A827="",B827="",C827="",D827="",NOT(ISNUMBER(E827))),"Missing / invalid input",IF(G827&gt;1,"Duplicate key in this source",IF(H827=0,"Missing in other source",IF(H827&gt;1,"Duplicate in other source",IF(SUMIFS('External Data'!$M$2:$M$1001,'External Data'!$L$2:$L$1001,SUBSTITUTE(SUBSTITUTE(SUBSTITUTE(L827,"~","~~"),"*","~*"),"?","~?"))&lt;&gt;1,"Other amount is invalid",IF(J827&lt;&gt;0,"Amount differs","Matched")))))))</x:f>
      </x:c>
      <x:c r="L827" t="str">
        <x:f>IF(COUNTA(A827:F827)=0,"",LEN(A827)&amp;":"&amp;A827&amp;LEN(B827)&amp;":"&amp;B827&amp;LEN(C827)&amp;":"&amp;C827&amp;LEN(D827)&amp;":"&amp;D827)</x:f>
      </x:c>
      <x:c r="M827" t="str">
        <x:f>IF(COUNTA(A827:F827)=0,"",IF(ISNUMBER(E827),1,0))</x:f>
      </x:c>
    </x:row>
    <x:row r="828">
      <x:c r="A828" s="11"/>
      <x:c r="B828" s="11"/>
      <x:c r="C828" s="11"/>
      <x:c r="D828" s="11"/>
      <x:c r="E828" s="12"/>
      <x:c r="F828" s="10"/>
      <x:c r="G828" s="2" t="str">
        <x:f>IF(COUNTA(A828:F828)=0,"",COUNTIFS('App Data'!$L$2:$L$1001,SUBSTITUTE(SUBSTITUTE(SUBSTITUTE(L828,"~","~~"),"*","~*"),"?","~?")))</x:f>
      </x:c>
      <x:c r="H828" s="2" t="str">
        <x:f>IF(COUNTA(A828:F828)=0,"",COUNTIFS('External Data'!$L$2:$L$1001,SUBSTITUTE(SUBSTITUTE(SUBSTITUTE(L828,"~","~~"),"*","~*"),"?","~?")))</x:f>
      </x:c>
      <x:c r="I828" s="13" t="str">
        <x:f>IF(OR(H828&lt;&gt;1,G828&lt;&gt;1),"",SUMIFS('External Data'!$E$2:$E$1001,'External Data'!$L$2:$L$1001,SUBSTITUTE(SUBSTITUTE(SUBSTITUTE(L828,"~","~~"),"*","~*"),"?","~?")))</x:f>
      </x:c>
      <x:c r="J828" s="13" t="str">
        <x:f>IF(OR(NOT(ISNUMBER(E828)),NOT(ISNUMBER(I828))),"",ROUND(E828-I828,2))</x:f>
      </x:c>
      <x:c r="K828" s="2" t="str">
        <x:f>IF(COUNTA(A828:F828)=0,"",IF(OR(A828="",B828="",C828="",D828="",NOT(ISNUMBER(E828))),"Missing / invalid input",IF(G828&gt;1,"Duplicate key in this source",IF(H828=0,"Missing in other source",IF(H828&gt;1,"Duplicate in other source",IF(SUMIFS('External Data'!$M$2:$M$1001,'External Data'!$L$2:$L$1001,SUBSTITUTE(SUBSTITUTE(SUBSTITUTE(L828,"~","~~"),"*","~*"),"?","~?"))&lt;&gt;1,"Other amount is invalid",IF(J828&lt;&gt;0,"Amount differs","Matched")))))))</x:f>
      </x:c>
      <x:c r="L828" t="str">
        <x:f>IF(COUNTA(A828:F828)=0,"",LEN(A828)&amp;":"&amp;A828&amp;LEN(B828)&amp;":"&amp;B828&amp;LEN(C828)&amp;":"&amp;C828&amp;LEN(D828)&amp;":"&amp;D828)</x:f>
      </x:c>
      <x:c r="M828" t="str">
        <x:f>IF(COUNTA(A828:F828)=0,"",IF(ISNUMBER(E828),1,0))</x:f>
      </x:c>
    </x:row>
    <x:row r="829">
      <x:c r="A829" s="11"/>
      <x:c r="B829" s="11"/>
      <x:c r="C829" s="11"/>
      <x:c r="D829" s="11"/>
      <x:c r="E829" s="12"/>
      <x:c r="F829" s="10"/>
      <x:c r="G829" s="2" t="str">
        <x:f>IF(COUNTA(A829:F829)=0,"",COUNTIFS('App Data'!$L$2:$L$1001,SUBSTITUTE(SUBSTITUTE(SUBSTITUTE(L829,"~","~~"),"*","~*"),"?","~?")))</x:f>
      </x:c>
      <x:c r="H829" s="2" t="str">
        <x:f>IF(COUNTA(A829:F829)=0,"",COUNTIFS('External Data'!$L$2:$L$1001,SUBSTITUTE(SUBSTITUTE(SUBSTITUTE(L829,"~","~~"),"*","~*"),"?","~?")))</x:f>
      </x:c>
      <x:c r="I829" s="13" t="str">
        <x:f>IF(OR(H829&lt;&gt;1,G829&lt;&gt;1),"",SUMIFS('External Data'!$E$2:$E$1001,'External Data'!$L$2:$L$1001,SUBSTITUTE(SUBSTITUTE(SUBSTITUTE(L829,"~","~~"),"*","~*"),"?","~?")))</x:f>
      </x:c>
      <x:c r="J829" s="13" t="str">
        <x:f>IF(OR(NOT(ISNUMBER(E829)),NOT(ISNUMBER(I829))),"",ROUND(E829-I829,2))</x:f>
      </x:c>
      <x:c r="K829" s="2" t="str">
        <x:f>IF(COUNTA(A829:F829)=0,"",IF(OR(A829="",B829="",C829="",D829="",NOT(ISNUMBER(E829))),"Missing / invalid input",IF(G829&gt;1,"Duplicate key in this source",IF(H829=0,"Missing in other source",IF(H829&gt;1,"Duplicate in other source",IF(SUMIFS('External Data'!$M$2:$M$1001,'External Data'!$L$2:$L$1001,SUBSTITUTE(SUBSTITUTE(SUBSTITUTE(L829,"~","~~"),"*","~*"),"?","~?"))&lt;&gt;1,"Other amount is invalid",IF(J829&lt;&gt;0,"Amount differs","Matched")))))))</x:f>
      </x:c>
      <x:c r="L829" t="str">
        <x:f>IF(COUNTA(A829:F829)=0,"",LEN(A829)&amp;":"&amp;A829&amp;LEN(B829)&amp;":"&amp;B829&amp;LEN(C829)&amp;":"&amp;C829&amp;LEN(D829)&amp;":"&amp;D829)</x:f>
      </x:c>
      <x:c r="M829" t="str">
        <x:f>IF(COUNTA(A829:F829)=0,"",IF(ISNUMBER(E829),1,0))</x:f>
      </x:c>
    </x:row>
    <x:row r="830">
      <x:c r="A830" s="11"/>
      <x:c r="B830" s="11"/>
      <x:c r="C830" s="11"/>
      <x:c r="D830" s="11"/>
      <x:c r="E830" s="12"/>
      <x:c r="F830" s="10"/>
      <x:c r="G830" s="2" t="str">
        <x:f>IF(COUNTA(A830:F830)=0,"",COUNTIFS('App Data'!$L$2:$L$1001,SUBSTITUTE(SUBSTITUTE(SUBSTITUTE(L830,"~","~~"),"*","~*"),"?","~?")))</x:f>
      </x:c>
      <x:c r="H830" s="2" t="str">
        <x:f>IF(COUNTA(A830:F830)=0,"",COUNTIFS('External Data'!$L$2:$L$1001,SUBSTITUTE(SUBSTITUTE(SUBSTITUTE(L830,"~","~~"),"*","~*"),"?","~?")))</x:f>
      </x:c>
      <x:c r="I830" s="13" t="str">
        <x:f>IF(OR(H830&lt;&gt;1,G830&lt;&gt;1),"",SUMIFS('External Data'!$E$2:$E$1001,'External Data'!$L$2:$L$1001,SUBSTITUTE(SUBSTITUTE(SUBSTITUTE(L830,"~","~~"),"*","~*"),"?","~?")))</x:f>
      </x:c>
      <x:c r="J830" s="13" t="str">
        <x:f>IF(OR(NOT(ISNUMBER(E830)),NOT(ISNUMBER(I830))),"",ROUND(E830-I830,2))</x:f>
      </x:c>
      <x:c r="K830" s="2" t="str">
        <x:f>IF(COUNTA(A830:F830)=0,"",IF(OR(A830="",B830="",C830="",D830="",NOT(ISNUMBER(E830))),"Missing / invalid input",IF(G830&gt;1,"Duplicate key in this source",IF(H830=0,"Missing in other source",IF(H830&gt;1,"Duplicate in other source",IF(SUMIFS('External Data'!$M$2:$M$1001,'External Data'!$L$2:$L$1001,SUBSTITUTE(SUBSTITUTE(SUBSTITUTE(L830,"~","~~"),"*","~*"),"?","~?"))&lt;&gt;1,"Other amount is invalid",IF(J830&lt;&gt;0,"Amount differs","Matched")))))))</x:f>
      </x:c>
      <x:c r="L830" t="str">
        <x:f>IF(COUNTA(A830:F830)=0,"",LEN(A830)&amp;":"&amp;A830&amp;LEN(B830)&amp;":"&amp;B830&amp;LEN(C830)&amp;":"&amp;C830&amp;LEN(D830)&amp;":"&amp;D830)</x:f>
      </x:c>
      <x:c r="M830" t="str">
        <x:f>IF(COUNTA(A830:F830)=0,"",IF(ISNUMBER(E830),1,0))</x:f>
      </x:c>
    </x:row>
    <x:row r="831">
      <x:c r="A831" s="11"/>
      <x:c r="B831" s="11"/>
      <x:c r="C831" s="11"/>
      <x:c r="D831" s="11"/>
      <x:c r="E831" s="12"/>
      <x:c r="F831" s="10"/>
      <x:c r="G831" s="2" t="str">
        <x:f>IF(COUNTA(A831:F831)=0,"",COUNTIFS('App Data'!$L$2:$L$1001,SUBSTITUTE(SUBSTITUTE(SUBSTITUTE(L831,"~","~~"),"*","~*"),"?","~?")))</x:f>
      </x:c>
      <x:c r="H831" s="2" t="str">
        <x:f>IF(COUNTA(A831:F831)=0,"",COUNTIFS('External Data'!$L$2:$L$1001,SUBSTITUTE(SUBSTITUTE(SUBSTITUTE(L831,"~","~~"),"*","~*"),"?","~?")))</x:f>
      </x:c>
      <x:c r="I831" s="13" t="str">
        <x:f>IF(OR(H831&lt;&gt;1,G831&lt;&gt;1),"",SUMIFS('External Data'!$E$2:$E$1001,'External Data'!$L$2:$L$1001,SUBSTITUTE(SUBSTITUTE(SUBSTITUTE(L831,"~","~~"),"*","~*"),"?","~?")))</x:f>
      </x:c>
      <x:c r="J831" s="13" t="str">
        <x:f>IF(OR(NOT(ISNUMBER(E831)),NOT(ISNUMBER(I831))),"",ROUND(E831-I831,2))</x:f>
      </x:c>
      <x:c r="K831" s="2" t="str">
        <x:f>IF(COUNTA(A831:F831)=0,"",IF(OR(A831="",B831="",C831="",D831="",NOT(ISNUMBER(E831))),"Missing / invalid input",IF(G831&gt;1,"Duplicate key in this source",IF(H831=0,"Missing in other source",IF(H831&gt;1,"Duplicate in other source",IF(SUMIFS('External Data'!$M$2:$M$1001,'External Data'!$L$2:$L$1001,SUBSTITUTE(SUBSTITUTE(SUBSTITUTE(L831,"~","~~"),"*","~*"),"?","~?"))&lt;&gt;1,"Other amount is invalid",IF(J831&lt;&gt;0,"Amount differs","Matched")))))))</x:f>
      </x:c>
      <x:c r="L831" t="str">
        <x:f>IF(COUNTA(A831:F831)=0,"",LEN(A831)&amp;":"&amp;A831&amp;LEN(B831)&amp;":"&amp;B831&amp;LEN(C831)&amp;":"&amp;C831&amp;LEN(D831)&amp;":"&amp;D831)</x:f>
      </x:c>
      <x:c r="M831" t="str">
        <x:f>IF(COUNTA(A831:F831)=0,"",IF(ISNUMBER(E831),1,0))</x:f>
      </x:c>
    </x:row>
    <x:row r="832">
      <x:c r="A832" s="11"/>
      <x:c r="B832" s="11"/>
      <x:c r="C832" s="11"/>
      <x:c r="D832" s="11"/>
      <x:c r="E832" s="12"/>
      <x:c r="F832" s="10"/>
      <x:c r="G832" s="2" t="str">
        <x:f>IF(COUNTA(A832:F832)=0,"",COUNTIFS('App Data'!$L$2:$L$1001,SUBSTITUTE(SUBSTITUTE(SUBSTITUTE(L832,"~","~~"),"*","~*"),"?","~?")))</x:f>
      </x:c>
      <x:c r="H832" s="2" t="str">
        <x:f>IF(COUNTA(A832:F832)=0,"",COUNTIFS('External Data'!$L$2:$L$1001,SUBSTITUTE(SUBSTITUTE(SUBSTITUTE(L832,"~","~~"),"*","~*"),"?","~?")))</x:f>
      </x:c>
      <x:c r="I832" s="13" t="str">
        <x:f>IF(OR(H832&lt;&gt;1,G832&lt;&gt;1),"",SUMIFS('External Data'!$E$2:$E$1001,'External Data'!$L$2:$L$1001,SUBSTITUTE(SUBSTITUTE(SUBSTITUTE(L832,"~","~~"),"*","~*"),"?","~?")))</x:f>
      </x:c>
      <x:c r="J832" s="13" t="str">
        <x:f>IF(OR(NOT(ISNUMBER(E832)),NOT(ISNUMBER(I832))),"",ROUND(E832-I832,2))</x:f>
      </x:c>
      <x:c r="K832" s="2" t="str">
        <x:f>IF(COUNTA(A832:F832)=0,"",IF(OR(A832="",B832="",C832="",D832="",NOT(ISNUMBER(E832))),"Missing / invalid input",IF(G832&gt;1,"Duplicate key in this source",IF(H832=0,"Missing in other source",IF(H832&gt;1,"Duplicate in other source",IF(SUMIFS('External Data'!$M$2:$M$1001,'External Data'!$L$2:$L$1001,SUBSTITUTE(SUBSTITUTE(SUBSTITUTE(L832,"~","~~"),"*","~*"),"?","~?"))&lt;&gt;1,"Other amount is invalid",IF(J832&lt;&gt;0,"Amount differs","Matched")))))))</x:f>
      </x:c>
      <x:c r="L832" t="str">
        <x:f>IF(COUNTA(A832:F832)=0,"",LEN(A832)&amp;":"&amp;A832&amp;LEN(B832)&amp;":"&amp;B832&amp;LEN(C832)&amp;":"&amp;C832&amp;LEN(D832)&amp;":"&amp;D832)</x:f>
      </x:c>
      <x:c r="M832" t="str">
        <x:f>IF(COUNTA(A832:F832)=0,"",IF(ISNUMBER(E832),1,0))</x:f>
      </x:c>
    </x:row>
    <x:row r="833">
      <x:c r="A833" s="11"/>
      <x:c r="B833" s="11"/>
      <x:c r="C833" s="11"/>
      <x:c r="D833" s="11"/>
      <x:c r="E833" s="12"/>
      <x:c r="F833" s="10"/>
      <x:c r="G833" s="2" t="str">
        <x:f>IF(COUNTA(A833:F833)=0,"",COUNTIFS('App Data'!$L$2:$L$1001,SUBSTITUTE(SUBSTITUTE(SUBSTITUTE(L833,"~","~~"),"*","~*"),"?","~?")))</x:f>
      </x:c>
      <x:c r="H833" s="2" t="str">
        <x:f>IF(COUNTA(A833:F833)=0,"",COUNTIFS('External Data'!$L$2:$L$1001,SUBSTITUTE(SUBSTITUTE(SUBSTITUTE(L833,"~","~~"),"*","~*"),"?","~?")))</x:f>
      </x:c>
      <x:c r="I833" s="13" t="str">
        <x:f>IF(OR(H833&lt;&gt;1,G833&lt;&gt;1),"",SUMIFS('External Data'!$E$2:$E$1001,'External Data'!$L$2:$L$1001,SUBSTITUTE(SUBSTITUTE(SUBSTITUTE(L833,"~","~~"),"*","~*"),"?","~?")))</x:f>
      </x:c>
      <x:c r="J833" s="13" t="str">
        <x:f>IF(OR(NOT(ISNUMBER(E833)),NOT(ISNUMBER(I833))),"",ROUND(E833-I833,2))</x:f>
      </x:c>
      <x:c r="K833" s="2" t="str">
        <x:f>IF(COUNTA(A833:F833)=0,"",IF(OR(A833="",B833="",C833="",D833="",NOT(ISNUMBER(E833))),"Missing / invalid input",IF(G833&gt;1,"Duplicate key in this source",IF(H833=0,"Missing in other source",IF(H833&gt;1,"Duplicate in other source",IF(SUMIFS('External Data'!$M$2:$M$1001,'External Data'!$L$2:$L$1001,SUBSTITUTE(SUBSTITUTE(SUBSTITUTE(L833,"~","~~"),"*","~*"),"?","~?"))&lt;&gt;1,"Other amount is invalid",IF(J833&lt;&gt;0,"Amount differs","Matched")))))))</x:f>
      </x:c>
      <x:c r="L833" t="str">
        <x:f>IF(COUNTA(A833:F833)=0,"",LEN(A833)&amp;":"&amp;A833&amp;LEN(B833)&amp;":"&amp;B833&amp;LEN(C833)&amp;":"&amp;C833&amp;LEN(D833)&amp;":"&amp;D833)</x:f>
      </x:c>
      <x:c r="M833" t="str">
        <x:f>IF(COUNTA(A833:F833)=0,"",IF(ISNUMBER(E833),1,0))</x:f>
      </x:c>
    </x:row>
    <x:row r="834">
      <x:c r="A834" s="11"/>
      <x:c r="B834" s="11"/>
      <x:c r="C834" s="11"/>
      <x:c r="D834" s="11"/>
      <x:c r="E834" s="12"/>
      <x:c r="F834" s="10"/>
      <x:c r="G834" s="2" t="str">
        <x:f>IF(COUNTA(A834:F834)=0,"",COUNTIFS('App Data'!$L$2:$L$1001,SUBSTITUTE(SUBSTITUTE(SUBSTITUTE(L834,"~","~~"),"*","~*"),"?","~?")))</x:f>
      </x:c>
      <x:c r="H834" s="2" t="str">
        <x:f>IF(COUNTA(A834:F834)=0,"",COUNTIFS('External Data'!$L$2:$L$1001,SUBSTITUTE(SUBSTITUTE(SUBSTITUTE(L834,"~","~~"),"*","~*"),"?","~?")))</x:f>
      </x:c>
      <x:c r="I834" s="13" t="str">
        <x:f>IF(OR(H834&lt;&gt;1,G834&lt;&gt;1),"",SUMIFS('External Data'!$E$2:$E$1001,'External Data'!$L$2:$L$1001,SUBSTITUTE(SUBSTITUTE(SUBSTITUTE(L834,"~","~~"),"*","~*"),"?","~?")))</x:f>
      </x:c>
      <x:c r="J834" s="13" t="str">
        <x:f>IF(OR(NOT(ISNUMBER(E834)),NOT(ISNUMBER(I834))),"",ROUND(E834-I834,2))</x:f>
      </x:c>
      <x:c r="K834" s="2" t="str">
        <x:f>IF(COUNTA(A834:F834)=0,"",IF(OR(A834="",B834="",C834="",D834="",NOT(ISNUMBER(E834))),"Missing / invalid input",IF(G834&gt;1,"Duplicate key in this source",IF(H834=0,"Missing in other source",IF(H834&gt;1,"Duplicate in other source",IF(SUMIFS('External Data'!$M$2:$M$1001,'External Data'!$L$2:$L$1001,SUBSTITUTE(SUBSTITUTE(SUBSTITUTE(L834,"~","~~"),"*","~*"),"?","~?"))&lt;&gt;1,"Other amount is invalid",IF(J834&lt;&gt;0,"Amount differs","Matched")))))))</x:f>
      </x:c>
      <x:c r="L834" t="str">
        <x:f>IF(COUNTA(A834:F834)=0,"",LEN(A834)&amp;":"&amp;A834&amp;LEN(B834)&amp;":"&amp;B834&amp;LEN(C834)&amp;":"&amp;C834&amp;LEN(D834)&amp;":"&amp;D834)</x:f>
      </x:c>
      <x:c r="M834" t="str">
        <x:f>IF(COUNTA(A834:F834)=0,"",IF(ISNUMBER(E834),1,0))</x:f>
      </x:c>
    </x:row>
    <x:row r="835">
      <x:c r="A835" s="11"/>
      <x:c r="B835" s="11"/>
      <x:c r="C835" s="11"/>
      <x:c r="D835" s="11"/>
      <x:c r="E835" s="12"/>
      <x:c r="F835" s="10"/>
      <x:c r="G835" s="2" t="str">
        <x:f>IF(COUNTA(A835:F835)=0,"",COUNTIFS('App Data'!$L$2:$L$1001,SUBSTITUTE(SUBSTITUTE(SUBSTITUTE(L835,"~","~~"),"*","~*"),"?","~?")))</x:f>
      </x:c>
      <x:c r="H835" s="2" t="str">
        <x:f>IF(COUNTA(A835:F835)=0,"",COUNTIFS('External Data'!$L$2:$L$1001,SUBSTITUTE(SUBSTITUTE(SUBSTITUTE(L835,"~","~~"),"*","~*"),"?","~?")))</x:f>
      </x:c>
      <x:c r="I835" s="13" t="str">
        <x:f>IF(OR(H835&lt;&gt;1,G835&lt;&gt;1),"",SUMIFS('External Data'!$E$2:$E$1001,'External Data'!$L$2:$L$1001,SUBSTITUTE(SUBSTITUTE(SUBSTITUTE(L835,"~","~~"),"*","~*"),"?","~?")))</x:f>
      </x:c>
      <x:c r="J835" s="13" t="str">
        <x:f>IF(OR(NOT(ISNUMBER(E835)),NOT(ISNUMBER(I835))),"",ROUND(E835-I835,2))</x:f>
      </x:c>
      <x:c r="K835" s="2" t="str">
        <x:f>IF(COUNTA(A835:F835)=0,"",IF(OR(A835="",B835="",C835="",D835="",NOT(ISNUMBER(E835))),"Missing / invalid input",IF(G835&gt;1,"Duplicate key in this source",IF(H835=0,"Missing in other source",IF(H835&gt;1,"Duplicate in other source",IF(SUMIFS('External Data'!$M$2:$M$1001,'External Data'!$L$2:$L$1001,SUBSTITUTE(SUBSTITUTE(SUBSTITUTE(L835,"~","~~"),"*","~*"),"?","~?"))&lt;&gt;1,"Other amount is invalid",IF(J835&lt;&gt;0,"Amount differs","Matched")))))))</x:f>
      </x:c>
      <x:c r="L835" t="str">
        <x:f>IF(COUNTA(A835:F835)=0,"",LEN(A835)&amp;":"&amp;A835&amp;LEN(B835)&amp;":"&amp;B835&amp;LEN(C835)&amp;":"&amp;C835&amp;LEN(D835)&amp;":"&amp;D835)</x:f>
      </x:c>
      <x:c r="M835" t="str">
        <x:f>IF(COUNTA(A835:F835)=0,"",IF(ISNUMBER(E835),1,0))</x:f>
      </x:c>
    </x:row>
    <x:row r="836">
      <x:c r="A836" s="11"/>
      <x:c r="B836" s="11"/>
      <x:c r="C836" s="11"/>
      <x:c r="D836" s="11"/>
      <x:c r="E836" s="12"/>
      <x:c r="F836" s="10"/>
      <x:c r="G836" s="2" t="str">
        <x:f>IF(COUNTA(A836:F836)=0,"",COUNTIFS('App Data'!$L$2:$L$1001,SUBSTITUTE(SUBSTITUTE(SUBSTITUTE(L836,"~","~~"),"*","~*"),"?","~?")))</x:f>
      </x:c>
      <x:c r="H836" s="2" t="str">
        <x:f>IF(COUNTA(A836:F836)=0,"",COUNTIFS('External Data'!$L$2:$L$1001,SUBSTITUTE(SUBSTITUTE(SUBSTITUTE(L836,"~","~~"),"*","~*"),"?","~?")))</x:f>
      </x:c>
      <x:c r="I836" s="13" t="str">
        <x:f>IF(OR(H836&lt;&gt;1,G836&lt;&gt;1),"",SUMIFS('External Data'!$E$2:$E$1001,'External Data'!$L$2:$L$1001,SUBSTITUTE(SUBSTITUTE(SUBSTITUTE(L836,"~","~~"),"*","~*"),"?","~?")))</x:f>
      </x:c>
      <x:c r="J836" s="13" t="str">
        <x:f>IF(OR(NOT(ISNUMBER(E836)),NOT(ISNUMBER(I836))),"",ROUND(E836-I836,2))</x:f>
      </x:c>
      <x:c r="K836" s="2" t="str">
        <x:f>IF(COUNTA(A836:F836)=0,"",IF(OR(A836="",B836="",C836="",D836="",NOT(ISNUMBER(E836))),"Missing / invalid input",IF(G836&gt;1,"Duplicate key in this source",IF(H836=0,"Missing in other source",IF(H836&gt;1,"Duplicate in other source",IF(SUMIFS('External Data'!$M$2:$M$1001,'External Data'!$L$2:$L$1001,SUBSTITUTE(SUBSTITUTE(SUBSTITUTE(L836,"~","~~"),"*","~*"),"?","~?"))&lt;&gt;1,"Other amount is invalid",IF(J836&lt;&gt;0,"Amount differs","Matched")))))))</x:f>
      </x:c>
      <x:c r="L836" t="str">
        <x:f>IF(COUNTA(A836:F836)=0,"",LEN(A836)&amp;":"&amp;A836&amp;LEN(B836)&amp;":"&amp;B836&amp;LEN(C836)&amp;":"&amp;C836&amp;LEN(D836)&amp;":"&amp;D836)</x:f>
      </x:c>
      <x:c r="M836" t="str">
        <x:f>IF(COUNTA(A836:F836)=0,"",IF(ISNUMBER(E836),1,0))</x:f>
      </x:c>
    </x:row>
    <x:row r="837">
      <x:c r="A837" s="11"/>
      <x:c r="B837" s="11"/>
      <x:c r="C837" s="11"/>
      <x:c r="D837" s="11"/>
      <x:c r="E837" s="12"/>
      <x:c r="F837" s="10"/>
      <x:c r="G837" s="2" t="str">
        <x:f>IF(COUNTA(A837:F837)=0,"",COUNTIFS('App Data'!$L$2:$L$1001,SUBSTITUTE(SUBSTITUTE(SUBSTITUTE(L837,"~","~~"),"*","~*"),"?","~?")))</x:f>
      </x:c>
      <x:c r="H837" s="2" t="str">
        <x:f>IF(COUNTA(A837:F837)=0,"",COUNTIFS('External Data'!$L$2:$L$1001,SUBSTITUTE(SUBSTITUTE(SUBSTITUTE(L837,"~","~~"),"*","~*"),"?","~?")))</x:f>
      </x:c>
      <x:c r="I837" s="13" t="str">
        <x:f>IF(OR(H837&lt;&gt;1,G837&lt;&gt;1),"",SUMIFS('External Data'!$E$2:$E$1001,'External Data'!$L$2:$L$1001,SUBSTITUTE(SUBSTITUTE(SUBSTITUTE(L837,"~","~~"),"*","~*"),"?","~?")))</x:f>
      </x:c>
      <x:c r="J837" s="13" t="str">
        <x:f>IF(OR(NOT(ISNUMBER(E837)),NOT(ISNUMBER(I837))),"",ROUND(E837-I837,2))</x:f>
      </x:c>
      <x:c r="K837" s="2" t="str">
        <x:f>IF(COUNTA(A837:F837)=0,"",IF(OR(A837="",B837="",C837="",D837="",NOT(ISNUMBER(E837))),"Missing / invalid input",IF(G837&gt;1,"Duplicate key in this source",IF(H837=0,"Missing in other source",IF(H837&gt;1,"Duplicate in other source",IF(SUMIFS('External Data'!$M$2:$M$1001,'External Data'!$L$2:$L$1001,SUBSTITUTE(SUBSTITUTE(SUBSTITUTE(L837,"~","~~"),"*","~*"),"?","~?"))&lt;&gt;1,"Other amount is invalid",IF(J837&lt;&gt;0,"Amount differs","Matched")))))))</x:f>
      </x:c>
      <x:c r="L837" t="str">
        <x:f>IF(COUNTA(A837:F837)=0,"",LEN(A837)&amp;":"&amp;A837&amp;LEN(B837)&amp;":"&amp;B837&amp;LEN(C837)&amp;":"&amp;C837&amp;LEN(D837)&amp;":"&amp;D837)</x:f>
      </x:c>
      <x:c r="M837" t="str">
        <x:f>IF(COUNTA(A837:F837)=0,"",IF(ISNUMBER(E837),1,0))</x:f>
      </x:c>
    </x:row>
    <x:row r="838">
      <x:c r="A838" s="11"/>
      <x:c r="B838" s="11"/>
      <x:c r="C838" s="11"/>
      <x:c r="D838" s="11"/>
      <x:c r="E838" s="12"/>
      <x:c r="F838" s="10"/>
      <x:c r="G838" s="2" t="str">
        <x:f>IF(COUNTA(A838:F838)=0,"",COUNTIFS('App Data'!$L$2:$L$1001,SUBSTITUTE(SUBSTITUTE(SUBSTITUTE(L838,"~","~~"),"*","~*"),"?","~?")))</x:f>
      </x:c>
      <x:c r="H838" s="2" t="str">
        <x:f>IF(COUNTA(A838:F838)=0,"",COUNTIFS('External Data'!$L$2:$L$1001,SUBSTITUTE(SUBSTITUTE(SUBSTITUTE(L838,"~","~~"),"*","~*"),"?","~?")))</x:f>
      </x:c>
      <x:c r="I838" s="13" t="str">
        <x:f>IF(OR(H838&lt;&gt;1,G838&lt;&gt;1),"",SUMIFS('External Data'!$E$2:$E$1001,'External Data'!$L$2:$L$1001,SUBSTITUTE(SUBSTITUTE(SUBSTITUTE(L838,"~","~~"),"*","~*"),"?","~?")))</x:f>
      </x:c>
      <x:c r="J838" s="13" t="str">
        <x:f>IF(OR(NOT(ISNUMBER(E838)),NOT(ISNUMBER(I838))),"",ROUND(E838-I838,2))</x:f>
      </x:c>
      <x:c r="K838" s="2" t="str">
        <x:f>IF(COUNTA(A838:F838)=0,"",IF(OR(A838="",B838="",C838="",D838="",NOT(ISNUMBER(E838))),"Missing / invalid input",IF(G838&gt;1,"Duplicate key in this source",IF(H838=0,"Missing in other source",IF(H838&gt;1,"Duplicate in other source",IF(SUMIFS('External Data'!$M$2:$M$1001,'External Data'!$L$2:$L$1001,SUBSTITUTE(SUBSTITUTE(SUBSTITUTE(L838,"~","~~"),"*","~*"),"?","~?"))&lt;&gt;1,"Other amount is invalid",IF(J838&lt;&gt;0,"Amount differs","Matched")))))))</x:f>
      </x:c>
      <x:c r="L838" t="str">
        <x:f>IF(COUNTA(A838:F838)=0,"",LEN(A838)&amp;":"&amp;A838&amp;LEN(B838)&amp;":"&amp;B838&amp;LEN(C838)&amp;":"&amp;C838&amp;LEN(D838)&amp;":"&amp;D838)</x:f>
      </x:c>
      <x:c r="M838" t="str">
        <x:f>IF(COUNTA(A838:F838)=0,"",IF(ISNUMBER(E838),1,0))</x:f>
      </x:c>
    </x:row>
    <x:row r="839">
      <x:c r="A839" s="11"/>
      <x:c r="B839" s="11"/>
      <x:c r="C839" s="11"/>
      <x:c r="D839" s="11"/>
      <x:c r="E839" s="12"/>
      <x:c r="F839" s="10"/>
      <x:c r="G839" s="2" t="str">
        <x:f>IF(COUNTA(A839:F839)=0,"",COUNTIFS('App Data'!$L$2:$L$1001,SUBSTITUTE(SUBSTITUTE(SUBSTITUTE(L839,"~","~~"),"*","~*"),"?","~?")))</x:f>
      </x:c>
      <x:c r="H839" s="2" t="str">
        <x:f>IF(COUNTA(A839:F839)=0,"",COUNTIFS('External Data'!$L$2:$L$1001,SUBSTITUTE(SUBSTITUTE(SUBSTITUTE(L839,"~","~~"),"*","~*"),"?","~?")))</x:f>
      </x:c>
      <x:c r="I839" s="13" t="str">
        <x:f>IF(OR(H839&lt;&gt;1,G839&lt;&gt;1),"",SUMIFS('External Data'!$E$2:$E$1001,'External Data'!$L$2:$L$1001,SUBSTITUTE(SUBSTITUTE(SUBSTITUTE(L839,"~","~~"),"*","~*"),"?","~?")))</x:f>
      </x:c>
      <x:c r="J839" s="13" t="str">
        <x:f>IF(OR(NOT(ISNUMBER(E839)),NOT(ISNUMBER(I839))),"",ROUND(E839-I839,2))</x:f>
      </x:c>
      <x:c r="K839" s="2" t="str">
        <x:f>IF(COUNTA(A839:F839)=0,"",IF(OR(A839="",B839="",C839="",D839="",NOT(ISNUMBER(E839))),"Missing / invalid input",IF(G839&gt;1,"Duplicate key in this source",IF(H839=0,"Missing in other source",IF(H839&gt;1,"Duplicate in other source",IF(SUMIFS('External Data'!$M$2:$M$1001,'External Data'!$L$2:$L$1001,SUBSTITUTE(SUBSTITUTE(SUBSTITUTE(L839,"~","~~"),"*","~*"),"?","~?"))&lt;&gt;1,"Other amount is invalid",IF(J839&lt;&gt;0,"Amount differs","Matched")))))))</x:f>
      </x:c>
      <x:c r="L839" t="str">
        <x:f>IF(COUNTA(A839:F839)=0,"",LEN(A839)&amp;":"&amp;A839&amp;LEN(B839)&amp;":"&amp;B839&amp;LEN(C839)&amp;":"&amp;C839&amp;LEN(D839)&amp;":"&amp;D839)</x:f>
      </x:c>
      <x:c r="M839" t="str">
        <x:f>IF(COUNTA(A839:F839)=0,"",IF(ISNUMBER(E839),1,0))</x:f>
      </x:c>
    </x:row>
    <x:row r="840">
      <x:c r="A840" s="11"/>
      <x:c r="B840" s="11"/>
      <x:c r="C840" s="11"/>
      <x:c r="D840" s="11"/>
      <x:c r="E840" s="12"/>
      <x:c r="F840" s="10"/>
      <x:c r="G840" s="2" t="str">
        <x:f>IF(COUNTA(A840:F840)=0,"",COUNTIFS('App Data'!$L$2:$L$1001,SUBSTITUTE(SUBSTITUTE(SUBSTITUTE(L840,"~","~~"),"*","~*"),"?","~?")))</x:f>
      </x:c>
      <x:c r="H840" s="2" t="str">
        <x:f>IF(COUNTA(A840:F840)=0,"",COUNTIFS('External Data'!$L$2:$L$1001,SUBSTITUTE(SUBSTITUTE(SUBSTITUTE(L840,"~","~~"),"*","~*"),"?","~?")))</x:f>
      </x:c>
      <x:c r="I840" s="13" t="str">
        <x:f>IF(OR(H840&lt;&gt;1,G840&lt;&gt;1),"",SUMIFS('External Data'!$E$2:$E$1001,'External Data'!$L$2:$L$1001,SUBSTITUTE(SUBSTITUTE(SUBSTITUTE(L840,"~","~~"),"*","~*"),"?","~?")))</x:f>
      </x:c>
      <x:c r="J840" s="13" t="str">
        <x:f>IF(OR(NOT(ISNUMBER(E840)),NOT(ISNUMBER(I840))),"",ROUND(E840-I840,2))</x:f>
      </x:c>
      <x:c r="K840" s="2" t="str">
        <x:f>IF(COUNTA(A840:F840)=0,"",IF(OR(A840="",B840="",C840="",D840="",NOT(ISNUMBER(E840))),"Missing / invalid input",IF(G840&gt;1,"Duplicate key in this source",IF(H840=0,"Missing in other source",IF(H840&gt;1,"Duplicate in other source",IF(SUMIFS('External Data'!$M$2:$M$1001,'External Data'!$L$2:$L$1001,SUBSTITUTE(SUBSTITUTE(SUBSTITUTE(L840,"~","~~"),"*","~*"),"?","~?"))&lt;&gt;1,"Other amount is invalid",IF(J840&lt;&gt;0,"Amount differs","Matched")))))))</x:f>
      </x:c>
      <x:c r="L840" t="str">
        <x:f>IF(COUNTA(A840:F840)=0,"",LEN(A840)&amp;":"&amp;A840&amp;LEN(B840)&amp;":"&amp;B840&amp;LEN(C840)&amp;":"&amp;C840&amp;LEN(D840)&amp;":"&amp;D840)</x:f>
      </x:c>
      <x:c r="M840" t="str">
        <x:f>IF(COUNTA(A840:F840)=0,"",IF(ISNUMBER(E840),1,0))</x:f>
      </x:c>
    </x:row>
    <x:row r="841">
      <x:c r="A841" s="11"/>
      <x:c r="B841" s="11"/>
      <x:c r="C841" s="11"/>
      <x:c r="D841" s="11"/>
      <x:c r="E841" s="12"/>
      <x:c r="F841" s="10"/>
      <x:c r="G841" s="2" t="str">
        <x:f>IF(COUNTA(A841:F841)=0,"",COUNTIFS('App Data'!$L$2:$L$1001,SUBSTITUTE(SUBSTITUTE(SUBSTITUTE(L841,"~","~~"),"*","~*"),"?","~?")))</x:f>
      </x:c>
      <x:c r="H841" s="2" t="str">
        <x:f>IF(COUNTA(A841:F841)=0,"",COUNTIFS('External Data'!$L$2:$L$1001,SUBSTITUTE(SUBSTITUTE(SUBSTITUTE(L841,"~","~~"),"*","~*"),"?","~?")))</x:f>
      </x:c>
      <x:c r="I841" s="13" t="str">
        <x:f>IF(OR(H841&lt;&gt;1,G841&lt;&gt;1),"",SUMIFS('External Data'!$E$2:$E$1001,'External Data'!$L$2:$L$1001,SUBSTITUTE(SUBSTITUTE(SUBSTITUTE(L841,"~","~~"),"*","~*"),"?","~?")))</x:f>
      </x:c>
      <x:c r="J841" s="13" t="str">
        <x:f>IF(OR(NOT(ISNUMBER(E841)),NOT(ISNUMBER(I841))),"",ROUND(E841-I841,2))</x:f>
      </x:c>
      <x:c r="K841" s="2" t="str">
        <x:f>IF(COUNTA(A841:F841)=0,"",IF(OR(A841="",B841="",C841="",D841="",NOT(ISNUMBER(E841))),"Missing / invalid input",IF(G841&gt;1,"Duplicate key in this source",IF(H841=0,"Missing in other source",IF(H841&gt;1,"Duplicate in other source",IF(SUMIFS('External Data'!$M$2:$M$1001,'External Data'!$L$2:$L$1001,SUBSTITUTE(SUBSTITUTE(SUBSTITUTE(L841,"~","~~"),"*","~*"),"?","~?"))&lt;&gt;1,"Other amount is invalid",IF(J841&lt;&gt;0,"Amount differs","Matched")))))))</x:f>
      </x:c>
      <x:c r="L841" t="str">
        <x:f>IF(COUNTA(A841:F841)=0,"",LEN(A841)&amp;":"&amp;A841&amp;LEN(B841)&amp;":"&amp;B841&amp;LEN(C841)&amp;":"&amp;C841&amp;LEN(D841)&amp;":"&amp;D841)</x:f>
      </x:c>
      <x:c r="M841" t="str">
        <x:f>IF(COUNTA(A841:F841)=0,"",IF(ISNUMBER(E841),1,0))</x:f>
      </x:c>
    </x:row>
    <x:row r="842">
      <x:c r="A842" s="11"/>
      <x:c r="B842" s="11"/>
      <x:c r="C842" s="11"/>
      <x:c r="D842" s="11"/>
      <x:c r="E842" s="12"/>
      <x:c r="F842" s="10"/>
      <x:c r="G842" s="2" t="str">
        <x:f>IF(COUNTA(A842:F842)=0,"",COUNTIFS('App Data'!$L$2:$L$1001,SUBSTITUTE(SUBSTITUTE(SUBSTITUTE(L842,"~","~~"),"*","~*"),"?","~?")))</x:f>
      </x:c>
      <x:c r="H842" s="2" t="str">
        <x:f>IF(COUNTA(A842:F842)=0,"",COUNTIFS('External Data'!$L$2:$L$1001,SUBSTITUTE(SUBSTITUTE(SUBSTITUTE(L842,"~","~~"),"*","~*"),"?","~?")))</x:f>
      </x:c>
      <x:c r="I842" s="13" t="str">
        <x:f>IF(OR(H842&lt;&gt;1,G842&lt;&gt;1),"",SUMIFS('External Data'!$E$2:$E$1001,'External Data'!$L$2:$L$1001,SUBSTITUTE(SUBSTITUTE(SUBSTITUTE(L842,"~","~~"),"*","~*"),"?","~?")))</x:f>
      </x:c>
      <x:c r="J842" s="13" t="str">
        <x:f>IF(OR(NOT(ISNUMBER(E842)),NOT(ISNUMBER(I842))),"",ROUND(E842-I842,2))</x:f>
      </x:c>
      <x:c r="K842" s="2" t="str">
        <x:f>IF(COUNTA(A842:F842)=0,"",IF(OR(A842="",B842="",C842="",D842="",NOT(ISNUMBER(E842))),"Missing / invalid input",IF(G842&gt;1,"Duplicate key in this source",IF(H842=0,"Missing in other source",IF(H842&gt;1,"Duplicate in other source",IF(SUMIFS('External Data'!$M$2:$M$1001,'External Data'!$L$2:$L$1001,SUBSTITUTE(SUBSTITUTE(SUBSTITUTE(L842,"~","~~"),"*","~*"),"?","~?"))&lt;&gt;1,"Other amount is invalid",IF(J842&lt;&gt;0,"Amount differs","Matched")))))))</x:f>
      </x:c>
      <x:c r="L842" t="str">
        <x:f>IF(COUNTA(A842:F842)=0,"",LEN(A842)&amp;":"&amp;A842&amp;LEN(B842)&amp;":"&amp;B842&amp;LEN(C842)&amp;":"&amp;C842&amp;LEN(D842)&amp;":"&amp;D842)</x:f>
      </x:c>
      <x:c r="M842" t="str">
        <x:f>IF(COUNTA(A842:F842)=0,"",IF(ISNUMBER(E842),1,0))</x:f>
      </x:c>
    </x:row>
    <x:row r="843">
      <x:c r="A843" s="11"/>
      <x:c r="B843" s="11"/>
      <x:c r="C843" s="11"/>
      <x:c r="D843" s="11"/>
      <x:c r="E843" s="12"/>
      <x:c r="F843" s="10"/>
      <x:c r="G843" s="2" t="str">
        <x:f>IF(COUNTA(A843:F843)=0,"",COUNTIFS('App Data'!$L$2:$L$1001,SUBSTITUTE(SUBSTITUTE(SUBSTITUTE(L843,"~","~~"),"*","~*"),"?","~?")))</x:f>
      </x:c>
      <x:c r="H843" s="2" t="str">
        <x:f>IF(COUNTA(A843:F843)=0,"",COUNTIFS('External Data'!$L$2:$L$1001,SUBSTITUTE(SUBSTITUTE(SUBSTITUTE(L843,"~","~~"),"*","~*"),"?","~?")))</x:f>
      </x:c>
      <x:c r="I843" s="13" t="str">
        <x:f>IF(OR(H843&lt;&gt;1,G843&lt;&gt;1),"",SUMIFS('External Data'!$E$2:$E$1001,'External Data'!$L$2:$L$1001,SUBSTITUTE(SUBSTITUTE(SUBSTITUTE(L843,"~","~~"),"*","~*"),"?","~?")))</x:f>
      </x:c>
      <x:c r="J843" s="13" t="str">
        <x:f>IF(OR(NOT(ISNUMBER(E843)),NOT(ISNUMBER(I843))),"",ROUND(E843-I843,2))</x:f>
      </x:c>
      <x:c r="K843" s="2" t="str">
        <x:f>IF(COUNTA(A843:F843)=0,"",IF(OR(A843="",B843="",C843="",D843="",NOT(ISNUMBER(E843))),"Missing / invalid input",IF(G843&gt;1,"Duplicate key in this source",IF(H843=0,"Missing in other source",IF(H843&gt;1,"Duplicate in other source",IF(SUMIFS('External Data'!$M$2:$M$1001,'External Data'!$L$2:$L$1001,SUBSTITUTE(SUBSTITUTE(SUBSTITUTE(L843,"~","~~"),"*","~*"),"?","~?"))&lt;&gt;1,"Other amount is invalid",IF(J843&lt;&gt;0,"Amount differs","Matched")))))))</x:f>
      </x:c>
      <x:c r="L843" t="str">
        <x:f>IF(COUNTA(A843:F843)=0,"",LEN(A843)&amp;":"&amp;A843&amp;LEN(B843)&amp;":"&amp;B843&amp;LEN(C843)&amp;":"&amp;C843&amp;LEN(D843)&amp;":"&amp;D843)</x:f>
      </x:c>
      <x:c r="M843" t="str">
        <x:f>IF(COUNTA(A843:F843)=0,"",IF(ISNUMBER(E843),1,0))</x:f>
      </x:c>
    </x:row>
    <x:row r="844">
      <x:c r="A844" s="11"/>
      <x:c r="B844" s="11"/>
      <x:c r="C844" s="11"/>
      <x:c r="D844" s="11"/>
      <x:c r="E844" s="12"/>
      <x:c r="F844" s="10"/>
      <x:c r="G844" s="2" t="str">
        <x:f>IF(COUNTA(A844:F844)=0,"",COUNTIFS('App Data'!$L$2:$L$1001,SUBSTITUTE(SUBSTITUTE(SUBSTITUTE(L844,"~","~~"),"*","~*"),"?","~?")))</x:f>
      </x:c>
      <x:c r="H844" s="2" t="str">
        <x:f>IF(COUNTA(A844:F844)=0,"",COUNTIFS('External Data'!$L$2:$L$1001,SUBSTITUTE(SUBSTITUTE(SUBSTITUTE(L844,"~","~~"),"*","~*"),"?","~?")))</x:f>
      </x:c>
      <x:c r="I844" s="13" t="str">
        <x:f>IF(OR(H844&lt;&gt;1,G844&lt;&gt;1),"",SUMIFS('External Data'!$E$2:$E$1001,'External Data'!$L$2:$L$1001,SUBSTITUTE(SUBSTITUTE(SUBSTITUTE(L844,"~","~~"),"*","~*"),"?","~?")))</x:f>
      </x:c>
      <x:c r="J844" s="13" t="str">
        <x:f>IF(OR(NOT(ISNUMBER(E844)),NOT(ISNUMBER(I844))),"",ROUND(E844-I844,2))</x:f>
      </x:c>
      <x:c r="K844" s="2" t="str">
        <x:f>IF(COUNTA(A844:F844)=0,"",IF(OR(A844="",B844="",C844="",D844="",NOT(ISNUMBER(E844))),"Missing / invalid input",IF(G844&gt;1,"Duplicate key in this source",IF(H844=0,"Missing in other source",IF(H844&gt;1,"Duplicate in other source",IF(SUMIFS('External Data'!$M$2:$M$1001,'External Data'!$L$2:$L$1001,SUBSTITUTE(SUBSTITUTE(SUBSTITUTE(L844,"~","~~"),"*","~*"),"?","~?"))&lt;&gt;1,"Other amount is invalid",IF(J844&lt;&gt;0,"Amount differs","Matched")))))))</x:f>
      </x:c>
      <x:c r="L844" t="str">
        <x:f>IF(COUNTA(A844:F844)=0,"",LEN(A844)&amp;":"&amp;A844&amp;LEN(B844)&amp;":"&amp;B844&amp;LEN(C844)&amp;":"&amp;C844&amp;LEN(D844)&amp;":"&amp;D844)</x:f>
      </x:c>
      <x:c r="M844" t="str">
        <x:f>IF(COUNTA(A844:F844)=0,"",IF(ISNUMBER(E844),1,0))</x:f>
      </x:c>
    </x:row>
    <x:row r="845">
      <x:c r="A845" s="11"/>
      <x:c r="B845" s="11"/>
      <x:c r="C845" s="11"/>
      <x:c r="D845" s="11"/>
      <x:c r="E845" s="12"/>
      <x:c r="F845" s="10"/>
      <x:c r="G845" s="2" t="str">
        <x:f>IF(COUNTA(A845:F845)=0,"",COUNTIFS('App Data'!$L$2:$L$1001,SUBSTITUTE(SUBSTITUTE(SUBSTITUTE(L845,"~","~~"),"*","~*"),"?","~?")))</x:f>
      </x:c>
      <x:c r="H845" s="2" t="str">
        <x:f>IF(COUNTA(A845:F845)=0,"",COUNTIFS('External Data'!$L$2:$L$1001,SUBSTITUTE(SUBSTITUTE(SUBSTITUTE(L845,"~","~~"),"*","~*"),"?","~?")))</x:f>
      </x:c>
      <x:c r="I845" s="13" t="str">
        <x:f>IF(OR(H845&lt;&gt;1,G845&lt;&gt;1),"",SUMIFS('External Data'!$E$2:$E$1001,'External Data'!$L$2:$L$1001,SUBSTITUTE(SUBSTITUTE(SUBSTITUTE(L845,"~","~~"),"*","~*"),"?","~?")))</x:f>
      </x:c>
      <x:c r="J845" s="13" t="str">
        <x:f>IF(OR(NOT(ISNUMBER(E845)),NOT(ISNUMBER(I845))),"",ROUND(E845-I845,2))</x:f>
      </x:c>
      <x:c r="K845" s="2" t="str">
        <x:f>IF(COUNTA(A845:F845)=0,"",IF(OR(A845="",B845="",C845="",D845="",NOT(ISNUMBER(E845))),"Missing / invalid input",IF(G845&gt;1,"Duplicate key in this source",IF(H845=0,"Missing in other source",IF(H845&gt;1,"Duplicate in other source",IF(SUMIFS('External Data'!$M$2:$M$1001,'External Data'!$L$2:$L$1001,SUBSTITUTE(SUBSTITUTE(SUBSTITUTE(L845,"~","~~"),"*","~*"),"?","~?"))&lt;&gt;1,"Other amount is invalid",IF(J845&lt;&gt;0,"Amount differs","Matched")))))))</x:f>
      </x:c>
      <x:c r="L845" t="str">
        <x:f>IF(COUNTA(A845:F845)=0,"",LEN(A845)&amp;":"&amp;A845&amp;LEN(B845)&amp;":"&amp;B845&amp;LEN(C845)&amp;":"&amp;C845&amp;LEN(D845)&amp;":"&amp;D845)</x:f>
      </x:c>
      <x:c r="M845" t="str">
        <x:f>IF(COUNTA(A845:F845)=0,"",IF(ISNUMBER(E845),1,0))</x:f>
      </x:c>
    </x:row>
    <x:row r="846">
      <x:c r="A846" s="11"/>
      <x:c r="B846" s="11"/>
      <x:c r="C846" s="11"/>
      <x:c r="D846" s="11"/>
      <x:c r="E846" s="12"/>
      <x:c r="F846" s="10"/>
      <x:c r="G846" s="2" t="str">
        <x:f>IF(COUNTA(A846:F846)=0,"",COUNTIFS('App Data'!$L$2:$L$1001,SUBSTITUTE(SUBSTITUTE(SUBSTITUTE(L846,"~","~~"),"*","~*"),"?","~?")))</x:f>
      </x:c>
      <x:c r="H846" s="2" t="str">
        <x:f>IF(COUNTA(A846:F846)=0,"",COUNTIFS('External Data'!$L$2:$L$1001,SUBSTITUTE(SUBSTITUTE(SUBSTITUTE(L846,"~","~~"),"*","~*"),"?","~?")))</x:f>
      </x:c>
      <x:c r="I846" s="13" t="str">
        <x:f>IF(OR(H846&lt;&gt;1,G846&lt;&gt;1),"",SUMIFS('External Data'!$E$2:$E$1001,'External Data'!$L$2:$L$1001,SUBSTITUTE(SUBSTITUTE(SUBSTITUTE(L846,"~","~~"),"*","~*"),"?","~?")))</x:f>
      </x:c>
      <x:c r="J846" s="13" t="str">
        <x:f>IF(OR(NOT(ISNUMBER(E846)),NOT(ISNUMBER(I846))),"",ROUND(E846-I846,2))</x:f>
      </x:c>
      <x:c r="K846" s="2" t="str">
        <x:f>IF(COUNTA(A846:F846)=0,"",IF(OR(A846="",B846="",C846="",D846="",NOT(ISNUMBER(E846))),"Missing / invalid input",IF(G846&gt;1,"Duplicate key in this source",IF(H846=0,"Missing in other source",IF(H846&gt;1,"Duplicate in other source",IF(SUMIFS('External Data'!$M$2:$M$1001,'External Data'!$L$2:$L$1001,SUBSTITUTE(SUBSTITUTE(SUBSTITUTE(L846,"~","~~"),"*","~*"),"?","~?"))&lt;&gt;1,"Other amount is invalid",IF(J846&lt;&gt;0,"Amount differs","Matched")))))))</x:f>
      </x:c>
      <x:c r="L846" t="str">
        <x:f>IF(COUNTA(A846:F846)=0,"",LEN(A846)&amp;":"&amp;A846&amp;LEN(B846)&amp;":"&amp;B846&amp;LEN(C846)&amp;":"&amp;C846&amp;LEN(D846)&amp;":"&amp;D846)</x:f>
      </x:c>
      <x:c r="M846" t="str">
        <x:f>IF(COUNTA(A846:F846)=0,"",IF(ISNUMBER(E846),1,0))</x:f>
      </x:c>
    </x:row>
    <x:row r="847">
      <x:c r="A847" s="11"/>
      <x:c r="B847" s="11"/>
      <x:c r="C847" s="11"/>
      <x:c r="D847" s="11"/>
      <x:c r="E847" s="12"/>
      <x:c r="F847" s="10"/>
      <x:c r="G847" s="2" t="str">
        <x:f>IF(COUNTA(A847:F847)=0,"",COUNTIFS('App Data'!$L$2:$L$1001,SUBSTITUTE(SUBSTITUTE(SUBSTITUTE(L847,"~","~~"),"*","~*"),"?","~?")))</x:f>
      </x:c>
      <x:c r="H847" s="2" t="str">
        <x:f>IF(COUNTA(A847:F847)=0,"",COUNTIFS('External Data'!$L$2:$L$1001,SUBSTITUTE(SUBSTITUTE(SUBSTITUTE(L847,"~","~~"),"*","~*"),"?","~?")))</x:f>
      </x:c>
      <x:c r="I847" s="13" t="str">
        <x:f>IF(OR(H847&lt;&gt;1,G847&lt;&gt;1),"",SUMIFS('External Data'!$E$2:$E$1001,'External Data'!$L$2:$L$1001,SUBSTITUTE(SUBSTITUTE(SUBSTITUTE(L847,"~","~~"),"*","~*"),"?","~?")))</x:f>
      </x:c>
      <x:c r="J847" s="13" t="str">
        <x:f>IF(OR(NOT(ISNUMBER(E847)),NOT(ISNUMBER(I847))),"",ROUND(E847-I847,2))</x:f>
      </x:c>
      <x:c r="K847" s="2" t="str">
        <x:f>IF(COUNTA(A847:F847)=0,"",IF(OR(A847="",B847="",C847="",D847="",NOT(ISNUMBER(E847))),"Missing / invalid input",IF(G847&gt;1,"Duplicate key in this source",IF(H847=0,"Missing in other source",IF(H847&gt;1,"Duplicate in other source",IF(SUMIFS('External Data'!$M$2:$M$1001,'External Data'!$L$2:$L$1001,SUBSTITUTE(SUBSTITUTE(SUBSTITUTE(L847,"~","~~"),"*","~*"),"?","~?"))&lt;&gt;1,"Other amount is invalid",IF(J847&lt;&gt;0,"Amount differs","Matched")))))))</x:f>
      </x:c>
      <x:c r="L847" t="str">
        <x:f>IF(COUNTA(A847:F847)=0,"",LEN(A847)&amp;":"&amp;A847&amp;LEN(B847)&amp;":"&amp;B847&amp;LEN(C847)&amp;":"&amp;C847&amp;LEN(D847)&amp;":"&amp;D847)</x:f>
      </x:c>
      <x:c r="M847" t="str">
        <x:f>IF(COUNTA(A847:F847)=0,"",IF(ISNUMBER(E847),1,0))</x:f>
      </x:c>
    </x:row>
    <x:row r="848">
      <x:c r="A848" s="11"/>
      <x:c r="B848" s="11"/>
      <x:c r="C848" s="11"/>
      <x:c r="D848" s="11"/>
      <x:c r="E848" s="12"/>
      <x:c r="F848" s="10"/>
      <x:c r="G848" s="2" t="str">
        <x:f>IF(COUNTA(A848:F848)=0,"",COUNTIFS('App Data'!$L$2:$L$1001,SUBSTITUTE(SUBSTITUTE(SUBSTITUTE(L848,"~","~~"),"*","~*"),"?","~?")))</x:f>
      </x:c>
      <x:c r="H848" s="2" t="str">
        <x:f>IF(COUNTA(A848:F848)=0,"",COUNTIFS('External Data'!$L$2:$L$1001,SUBSTITUTE(SUBSTITUTE(SUBSTITUTE(L848,"~","~~"),"*","~*"),"?","~?")))</x:f>
      </x:c>
      <x:c r="I848" s="13" t="str">
        <x:f>IF(OR(H848&lt;&gt;1,G848&lt;&gt;1),"",SUMIFS('External Data'!$E$2:$E$1001,'External Data'!$L$2:$L$1001,SUBSTITUTE(SUBSTITUTE(SUBSTITUTE(L848,"~","~~"),"*","~*"),"?","~?")))</x:f>
      </x:c>
      <x:c r="J848" s="13" t="str">
        <x:f>IF(OR(NOT(ISNUMBER(E848)),NOT(ISNUMBER(I848))),"",ROUND(E848-I848,2))</x:f>
      </x:c>
      <x:c r="K848" s="2" t="str">
        <x:f>IF(COUNTA(A848:F848)=0,"",IF(OR(A848="",B848="",C848="",D848="",NOT(ISNUMBER(E848))),"Missing / invalid input",IF(G848&gt;1,"Duplicate key in this source",IF(H848=0,"Missing in other source",IF(H848&gt;1,"Duplicate in other source",IF(SUMIFS('External Data'!$M$2:$M$1001,'External Data'!$L$2:$L$1001,SUBSTITUTE(SUBSTITUTE(SUBSTITUTE(L848,"~","~~"),"*","~*"),"?","~?"))&lt;&gt;1,"Other amount is invalid",IF(J848&lt;&gt;0,"Amount differs","Matched")))))))</x:f>
      </x:c>
      <x:c r="L848" t="str">
        <x:f>IF(COUNTA(A848:F848)=0,"",LEN(A848)&amp;":"&amp;A848&amp;LEN(B848)&amp;":"&amp;B848&amp;LEN(C848)&amp;":"&amp;C848&amp;LEN(D848)&amp;":"&amp;D848)</x:f>
      </x:c>
      <x:c r="M848" t="str">
        <x:f>IF(COUNTA(A848:F848)=0,"",IF(ISNUMBER(E848),1,0))</x:f>
      </x:c>
    </x:row>
    <x:row r="849">
      <x:c r="A849" s="11"/>
      <x:c r="B849" s="11"/>
      <x:c r="C849" s="11"/>
      <x:c r="D849" s="11"/>
      <x:c r="E849" s="12"/>
      <x:c r="F849" s="10"/>
      <x:c r="G849" s="2" t="str">
        <x:f>IF(COUNTA(A849:F849)=0,"",COUNTIFS('App Data'!$L$2:$L$1001,SUBSTITUTE(SUBSTITUTE(SUBSTITUTE(L849,"~","~~"),"*","~*"),"?","~?")))</x:f>
      </x:c>
      <x:c r="H849" s="2" t="str">
        <x:f>IF(COUNTA(A849:F849)=0,"",COUNTIFS('External Data'!$L$2:$L$1001,SUBSTITUTE(SUBSTITUTE(SUBSTITUTE(L849,"~","~~"),"*","~*"),"?","~?")))</x:f>
      </x:c>
      <x:c r="I849" s="13" t="str">
        <x:f>IF(OR(H849&lt;&gt;1,G849&lt;&gt;1),"",SUMIFS('External Data'!$E$2:$E$1001,'External Data'!$L$2:$L$1001,SUBSTITUTE(SUBSTITUTE(SUBSTITUTE(L849,"~","~~"),"*","~*"),"?","~?")))</x:f>
      </x:c>
      <x:c r="J849" s="13" t="str">
        <x:f>IF(OR(NOT(ISNUMBER(E849)),NOT(ISNUMBER(I849))),"",ROUND(E849-I849,2))</x:f>
      </x:c>
      <x:c r="K849" s="2" t="str">
        <x:f>IF(COUNTA(A849:F849)=0,"",IF(OR(A849="",B849="",C849="",D849="",NOT(ISNUMBER(E849))),"Missing / invalid input",IF(G849&gt;1,"Duplicate key in this source",IF(H849=0,"Missing in other source",IF(H849&gt;1,"Duplicate in other source",IF(SUMIFS('External Data'!$M$2:$M$1001,'External Data'!$L$2:$L$1001,SUBSTITUTE(SUBSTITUTE(SUBSTITUTE(L849,"~","~~"),"*","~*"),"?","~?"))&lt;&gt;1,"Other amount is invalid",IF(J849&lt;&gt;0,"Amount differs","Matched")))))))</x:f>
      </x:c>
      <x:c r="L849" t="str">
        <x:f>IF(COUNTA(A849:F849)=0,"",LEN(A849)&amp;":"&amp;A849&amp;LEN(B849)&amp;":"&amp;B849&amp;LEN(C849)&amp;":"&amp;C849&amp;LEN(D849)&amp;":"&amp;D849)</x:f>
      </x:c>
      <x:c r="M849" t="str">
        <x:f>IF(COUNTA(A849:F849)=0,"",IF(ISNUMBER(E849),1,0))</x:f>
      </x:c>
    </x:row>
    <x:row r="850">
      <x:c r="A850" s="11"/>
      <x:c r="B850" s="11"/>
      <x:c r="C850" s="11"/>
      <x:c r="D850" s="11"/>
      <x:c r="E850" s="12"/>
      <x:c r="F850" s="10"/>
      <x:c r="G850" s="2" t="str">
        <x:f>IF(COUNTA(A850:F850)=0,"",COUNTIFS('App Data'!$L$2:$L$1001,SUBSTITUTE(SUBSTITUTE(SUBSTITUTE(L850,"~","~~"),"*","~*"),"?","~?")))</x:f>
      </x:c>
      <x:c r="H850" s="2" t="str">
        <x:f>IF(COUNTA(A850:F850)=0,"",COUNTIFS('External Data'!$L$2:$L$1001,SUBSTITUTE(SUBSTITUTE(SUBSTITUTE(L850,"~","~~"),"*","~*"),"?","~?")))</x:f>
      </x:c>
      <x:c r="I850" s="13" t="str">
        <x:f>IF(OR(H850&lt;&gt;1,G850&lt;&gt;1),"",SUMIFS('External Data'!$E$2:$E$1001,'External Data'!$L$2:$L$1001,SUBSTITUTE(SUBSTITUTE(SUBSTITUTE(L850,"~","~~"),"*","~*"),"?","~?")))</x:f>
      </x:c>
      <x:c r="J850" s="13" t="str">
        <x:f>IF(OR(NOT(ISNUMBER(E850)),NOT(ISNUMBER(I850))),"",ROUND(E850-I850,2))</x:f>
      </x:c>
      <x:c r="K850" s="2" t="str">
        <x:f>IF(COUNTA(A850:F850)=0,"",IF(OR(A850="",B850="",C850="",D850="",NOT(ISNUMBER(E850))),"Missing / invalid input",IF(G850&gt;1,"Duplicate key in this source",IF(H850=0,"Missing in other source",IF(H850&gt;1,"Duplicate in other source",IF(SUMIFS('External Data'!$M$2:$M$1001,'External Data'!$L$2:$L$1001,SUBSTITUTE(SUBSTITUTE(SUBSTITUTE(L850,"~","~~"),"*","~*"),"?","~?"))&lt;&gt;1,"Other amount is invalid",IF(J850&lt;&gt;0,"Amount differs","Matched")))))))</x:f>
      </x:c>
      <x:c r="L850" t="str">
        <x:f>IF(COUNTA(A850:F850)=0,"",LEN(A850)&amp;":"&amp;A850&amp;LEN(B850)&amp;":"&amp;B850&amp;LEN(C850)&amp;":"&amp;C850&amp;LEN(D850)&amp;":"&amp;D850)</x:f>
      </x:c>
      <x:c r="M850" t="str">
        <x:f>IF(COUNTA(A850:F850)=0,"",IF(ISNUMBER(E850),1,0))</x:f>
      </x:c>
    </x:row>
    <x:row r="851">
      <x:c r="A851" s="11"/>
      <x:c r="B851" s="11"/>
      <x:c r="C851" s="11"/>
      <x:c r="D851" s="11"/>
      <x:c r="E851" s="12"/>
      <x:c r="F851" s="10"/>
      <x:c r="G851" s="2" t="str">
        <x:f>IF(COUNTA(A851:F851)=0,"",COUNTIFS('App Data'!$L$2:$L$1001,SUBSTITUTE(SUBSTITUTE(SUBSTITUTE(L851,"~","~~"),"*","~*"),"?","~?")))</x:f>
      </x:c>
      <x:c r="H851" s="2" t="str">
        <x:f>IF(COUNTA(A851:F851)=0,"",COUNTIFS('External Data'!$L$2:$L$1001,SUBSTITUTE(SUBSTITUTE(SUBSTITUTE(L851,"~","~~"),"*","~*"),"?","~?")))</x:f>
      </x:c>
      <x:c r="I851" s="13" t="str">
        <x:f>IF(OR(H851&lt;&gt;1,G851&lt;&gt;1),"",SUMIFS('External Data'!$E$2:$E$1001,'External Data'!$L$2:$L$1001,SUBSTITUTE(SUBSTITUTE(SUBSTITUTE(L851,"~","~~"),"*","~*"),"?","~?")))</x:f>
      </x:c>
      <x:c r="J851" s="13" t="str">
        <x:f>IF(OR(NOT(ISNUMBER(E851)),NOT(ISNUMBER(I851))),"",ROUND(E851-I851,2))</x:f>
      </x:c>
      <x:c r="K851" s="2" t="str">
        <x:f>IF(COUNTA(A851:F851)=0,"",IF(OR(A851="",B851="",C851="",D851="",NOT(ISNUMBER(E851))),"Missing / invalid input",IF(G851&gt;1,"Duplicate key in this source",IF(H851=0,"Missing in other source",IF(H851&gt;1,"Duplicate in other source",IF(SUMIFS('External Data'!$M$2:$M$1001,'External Data'!$L$2:$L$1001,SUBSTITUTE(SUBSTITUTE(SUBSTITUTE(L851,"~","~~"),"*","~*"),"?","~?"))&lt;&gt;1,"Other amount is invalid",IF(J851&lt;&gt;0,"Amount differs","Matched")))))))</x:f>
      </x:c>
      <x:c r="L851" t="str">
        <x:f>IF(COUNTA(A851:F851)=0,"",LEN(A851)&amp;":"&amp;A851&amp;LEN(B851)&amp;":"&amp;B851&amp;LEN(C851)&amp;":"&amp;C851&amp;LEN(D851)&amp;":"&amp;D851)</x:f>
      </x:c>
      <x:c r="M851" t="str">
        <x:f>IF(COUNTA(A851:F851)=0,"",IF(ISNUMBER(E851),1,0))</x:f>
      </x:c>
    </x:row>
    <x:row r="852">
      <x:c r="A852" s="11"/>
      <x:c r="B852" s="11"/>
      <x:c r="C852" s="11"/>
      <x:c r="D852" s="11"/>
      <x:c r="E852" s="12"/>
      <x:c r="F852" s="10"/>
      <x:c r="G852" s="2" t="str">
        <x:f>IF(COUNTA(A852:F852)=0,"",COUNTIFS('App Data'!$L$2:$L$1001,SUBSTITUTE(SUBSTITUTE(SUBSTITUTE(L852,"~","~~"),"*","~*"),"?","~?")))</x:f>
      </x:c>
      <x:c r="H852" s="2" t="str">
        <x:f>IF(COUNTA(A852:F852)=0,"",COUNTIFS('External Data'!$L$2:$L$1001,SUBSTITUTE(SUBSTITUTE(SUBSTITUTE(L852,"~","~~"),"*","~*"),"?","~?")))</x:f>
      </x:c>
      <x:c r="I852" s="13" t="str">
        <x:f>IF(OR(H852&lt;&gt;1,G852&lt;&gt;1),"",SUMIFS('External Data'!$E$2:$E$1001,'External Data'!$L$2:$L$1001,SUBSTITUTE(SUBSTITUTE(SUBSTITUTE(L852,"~","~~"),"*","~*"),"?","~?")))</x:f>
      </x:c>
      <x:c r="J852" s="13" t="str">
        <x:f>IF(OR(NOT(ISNUMBER(E852)),NOT(ISNUMBER(I852))),"",ROUND(E852-I852,2))</x:f>
      </x:c>
      <x:c r="K852" s="2" t="str">
        <x:f>IF(COUNTA(A852:F852)=0,"",IF(OR(A852="",B852="",C852="",D852="",NOT(ISNUMBER(E852))),"Missing / invalid input",IF(G852&gt;1,"Duplicate key in this source",IF(H852=0,"Missing in other source",IF(H852&gt;1,"Duplicate in other source",IF(SUMIFS('External Data'!$M$2:$M$1001,'External Data'!$L$2:$L$1001,SUBSTITUTE(SUBSTITUTE(SUBSTITUTE(L852,"~","~~"),"*","~*"),"?","~?"))&lt;&gt;1,"Other amount is invalid",IF(J852&lt;&gt;0,"Amount differs","Matched")))))))</x:f>
      </x:c>
      <x:c r="L852" t="str">
        <x:f>IF(COUNTA(A852:F852)=0,"",LEN(A852)&amp;":"&amp;A852&amp;LEN(B852)&amp;":"&amp;B852&amp;LEN(C852)&amp;":"&amp;C852&amp;LEN(D852)&amp;":"&amp;D852)</x:f>
      </x:c>
      <x:c r="M852" t="str">
        <x:f>IF(COUNTA(A852:F852)=0,"",IF(ISNUMBER(E852),1,0))</x:f>
      </x:c>
    </x:row>
    <x:row r="853">
      <x:c r="A853" s="11"/>
      <x:c r="B853" s="11"/>
      <x:c r="C853" s="11"/>
      <x:c r="D853" s="11"/>
      <x:c r="E853" s="12"/>
      <x:c r="F853" s="10"/>
      <x:c r="G853" s="2" t="str">
        <x:f>IF(COUNTA(A853:F853)=0,"",COUNTIFS('App Data'!$L$2:$L$1001,SUBSTITUTE(SUBSTITUTE(SUBSTITUTE(L853,"~","~~"),"*","~*"),"?","~?")))</x:f>
      </x:c>
      <x:c r="H853" s="2" t="str">
        <x:f>IF(COUNTA(A853:F853)=0,"",COUNTIFS('External Data'!$L$2:$L$1001,SUBSTITUTE(SUBSTITUTE(SUBSTITUTE(L853,"~","~~"),"*","~*"),"?","~?")))</x:f>
      </x:c>
      <x:c r="I853" s="13" t="str">
        <x:f>IF(OR(H853&lt;&gt;1,G853&lt;&gt;1),"",SUMIFS('External Data'!$E$2:$E$1001,'External Data'!$L$2:$L$1001,SUBSTITUTE(SUBSTITUTE(SUBSTITUTE(L853,"~","~~"),"*","~*"),"?","~?")))</x:f>
      </x:c>
      <x:c r="J853" s="13" t="str">
        <x:f>IF(OR(NOT(ISNUMBER(E853)),NOT(ISNUMBER(I853))),"",ROUND(E853-I853,2))</x:f>
      </x:c>
      <x:c r="K853" s="2" t="str">
        <x:f>IF(COUNTA(A853:F853)=0,"",IF(OR(A853="",B853="",C853="",D853="",NOT(ISNUMBER(E853))),"Missing / invalid input",IF(G853&gt;1,"Duplicate key in this source",IF(H853=0,"Missing in other source",IF(H853&gt;1,"Duplicate in other source",IF(SUMIFS('External Data'!$M$2:$M$1001,'External Data'!$L$2:$L$1001,SUBSTITUTE(SUBSTITUTE(SUBSTITUTE(L853,"~","~~"),"*","~*"),"?","~?"))&lt;&gt;1,"Other amount is invalid",IF(J853&lt;&gt;0,"Amount differs","Matched")))))))</x:f>
      </x:c>
      <x:c r="L853" t="str">
        <x:f>IF(COUNTA(A853:F853)=0,"",LEN(A853)&amp;":"&amp;A853&amp;LEN(B853)&amp;":"&amp;B853&amp;LEN(C853)&amp;":"&amp;C853&amp;LEN(D853)&amp;":"&amp;D853)</x:f>
      </x:c>
      <x:c r="M853" t="str">
        <x:f>IF(COUNTA(A853:F853)=0,"",IF(ISNUMBER(E853),1,0))</x:f>
      </x:c>
    </x:row>
    <x:row r="854">
      <x:c r="A854" s="11"/>
      <x:c r="B854" s="11"/>
      <x:c r="C854" s="11"/>
      <x:c r="D854" s="11"/>
      <x:c r="E854" s="12"/>
      <x:c r="F854" s="10"/>
      <x:c r="G854" s="2" t="str">
        <x:f>IF(COUNTA(A854:F854)=0,"",COUNTIFS('App Data'!$L$2:$L$1001,SUBSTITUTE(SUBSTITUTE(SUBSTITUTE(L854,"~","~~"),"*","~*"),"?","~?")))</x:f>
      </x:c>
      <x:c r="H854" s="2" t="str">
        <x:f>IF(COUNTA(A854:F854)=0,"",COUNTIFS('External Data'!$L$2:$L$1001,SUBSTITUTE(SUBSTITUTE(SUBSTITUTE(L854,"~","~~"),"*","~*"),"?","~?")))</x:f>
      </x:c>
      <x:c r="I854" s="13" t="str">
        <x:f>IF(OR(H854&lt;&gt;1,G854&lt;&gt;1),"",SUMIFS('External Data'!$E$2:$E$1001,'External Data'!$L$2:$L$1001,SUBSTITUTE(SUBSTITUTE(SUBSTITUTE(L854,"~","~~"),"*","~*"),"?","~?")))</x:f>
      </x:c>
      <x:c r="J854" s="13" t="str">
        <x:f>IF(OR(NOT(ISNUMBER(E854)),NOT(ISNUMBER(I854))),"",ROUND(E854-I854,2))</x:f>
      </x:c>
      <x:c r="K854" s="2" t="str">
        <x:f>IF(COUNTA(A854:F854)=0,"",IF(OR(A854="",B854="",C854="",D854="",NOT(ISNUMBER(E854))),"Missing / invalid input",IF(G854&gt;1,"Duplicate key in this source",IF(H854=0,"Missing in other source",IF(H854&gt;1,"Duplicate in other source",IF(SUMIFS('External Data'!$M$2:$M$1001,'External Data'!$L$2:$L$1001,SUBSTITUTE(SUBSTITUTE(SUBSTITUTE(L854,"~","~~"),"*","~*"),"?","~?"))&lt;&gt;1,"Other amount is invalid",IF(J854&lt;&gt;0,"Amount differs","Matched")))))))</x:f>
      </x:c>
      <x:c r="L854" t="str">
        <x:f>IF(COUNTA(A854:F854)=0,"",LEN(A854)&amp;":"&amp;A854&amp;LEN(B854)&amp;":"&amp;B854&amp;LEN(C854)&amp;":"&amp;C854&amp;LEN(D854)&amp;":"&amp;D854)</x:f>
      </x:c>
      <x:c r="M854" t="str">
        <x:f>IF(COUNTA(A854:F854)=0,"",IF(ISNUMBER(E854),1,0))</x:f>
      </x:c>
    </x:row>
    <x:row r="855">
      <x:c r="A855" s="11"/>
      <x:c r="B855" s="11"/>
      <x:c r="C855" s="11"/>
      <x:c r="D855" s="11"/>
      <x:c r="E855" s="12"/>
      <x:c r="F855" s="10"/>
      <x:c r="G855" s="2" t="str">
        <x:f>IF(COUNTA(A855:F855)=0,"",COUNTIFS('App Data'!$L$2:$L$1001,SUBSTITUTE(SUBSTITUTE(SUBSTITUTE(L855,"~","~~"),"*","~*"),"?","~?")))</x:f>
      </x:c>
      <x:c r="H855" s="2" t="str">
        <x:f>IF(COUNTA(A855:F855)=0,"",COUNTIFS('External Data'!$L$2:$L$1001,SUBSTITUTE(SUBSTITUTE(SUBSTITUTE(L855,"~","~~"),"*","~*"),"?","~?")))</x:f>
      </x:c>
      <x:c r="I855" s="13" t="str">
        <x:f>IF(OR(H855&lt;&gt;1,G855&lt;&gt;1),"",SUMIFS('External Data'!$E$2:$E$1001,'External Data'!$L$2:$L$1001,SUBSTITUTE(SUBSTITUTE(SUBSTITUTE(L855,"~","~~"),"*","~*"),"?","~?")))</x:f>
      </x:c>
      <x:c r="J855" s="13" t="str">
        <x:f>IF(OR(NOT(ISNUMBER(E855)),NOT(ISNUMBER(I855))),"",ROUND(E855-I855,2))</x:f>
      </x:c>
      <x:c r="K855" s="2" t="str">
        <x:f>IF(COUNTA(A855:F855)=0,"",IF(OR(A855="",B855="",C855="",D855="",NOT(ISNUMBER(E855))),"Missing / invalid input",IF(G855&gt;1,"Duplicate key in this source",IF(H855=0,"Missing in other source",IF(H855&gt;1,"Duplicate in other source",IF(SUMIFS('External Data'!$M$2:$M$1001,'External Data'!$L$2:$L$1001,SUBSTITUTE(SUBSTITUTE(SUBSTITUTE(L855,"~","~~"),"*","~*"),"?","~?"))&lt;&gt;1,"Other amount is invalid",IF(J855&lt;&gt;0,"Amount differs","Matched")))))))</x:f>
      </x:c>
      <x:c r="L855" t="str">
        <x:f>IF(COUNTA(A855:F855)=0,"",LEN(A855)&amp;":"&amp;A855&amp;LEN(B855)&amp;":"&amp;B855&amp;LEN(C855)&amp;":"&amp;C855&amp;LEN(D855)&amp;":"&amp;D855)</x:f>
      </x:c>
      <x:c r="M855" t="str">
        <x:f>IF(COUNTA(A855:F855)=0,"",IF(ISNUMBER(E855),1,0))</x:f>
      </x:c>
    </x:row>
    <x:row r="856">
      <x:c r="A856" s="11"/>
      <x:c r="B856" s="11"/>
      <x:c r="C856" s="11"/>
      <x:c r="D856" s="11"/>
      <x:c r="E856" s="12"/>
      <x:c r="F856" s="10"/>
      <x:c r="G856" s="2" t="str">
        <x:f>IF(COUNTA(A856:F856)=0,"",COUNTIFS('App Data'!$L$2:$L$1001,SUBSTITUTE(SUBSTITUTE(SUBSTITUTE(L856,"~","~~"),"*","~*"),"?","~?")))</x:f>
      </x:c>
      <x:c r="H856" s="2" t="str">
        <x:f>IF(COUNTA(A856:F856)=0,"",COUNTIFS('External Data'!$L$2:$L$1001,SUBSTITUTE(SUBSTITUTE(SUBSTITUTE(L856,"~","~~"),"*","~*"),"?","~?")))</x:f>
      </x:c>
      <x:c r="I856" s="13" t="str">
        <x:f>IF(OR(H856&lt;&gt;1,G856&lt;&gt;1),"",SUMIFS('External Data'!$E$2:$E$1001,'External Data'!$L$2:$L$1001,SUBSTITUTE(SUBSTITUTE(SUBSTITUTE(L856,"~","~~"),"*","~*"),"?","~?")))</x:f>
      </x:c>
      <x:c r="J856" s="13" t="str">
        <x:f>IF(OR(NOT(ISNUMBER(E856)),NOT(ISNUMBER(I856))),"",ROUND(E856-I856,2))</x:f>
      </x:c>
      <x:c r="K856" s="2" t="str">
        <x:f>IF(COUNTA(A856:F856)=0,"",IF(OR(A856="",B856="",C856="",D856="",NOT(ISNUMBER(E856))),"Missing / invalid input",IF(G856&gt;1,"Duplicate key in this source",IF(H856=0,"Missing in other source",IF(H856&gt;1,"Duplicate in other source",IF(SUMIFS('External Data'!$M$2:$M$1001,'External Data'!$L$2:$L$1001,SUBSTITUTE(SUBSTITUTE(SUBSTITUTE(L856,"~","~~"),"*","~*"),"?","~?"))&lt;&gt;1,"Other amount is invalid",IF(J856&lt;&gt;0,"Amount differs","Matched")))))))</x:f>
      </x:c>
      <x:c r="L856" t="str">
        <x:f>IF(COUNTA(A856:F856)=0,"",LEN(A856)&amp;":"&amp;A856&amp;LEN(B856)&amp;":"&amp;B856&amp;LEN(C856)&amp;":"&amp;C856&amp;LEN(D856)&amp;":"&amp;D856)</x:f>
      </x:c>
      <x:c r="M856" t="str">
        <x:f>IF(COUNTA(A856:F856)=0,"",IF(ISNUMBER(E856),1,0))</x:f>
      </x:c>
    </x:row>
    <x:row r="857">
      <x:c r="A857" s="11"/>
      <x:c r="B857" s="11"/>
      <x:c r="C857" s="11"/>
      <x:c r="D857" s="11"/>
      <x:c r="E857" s="12"/>
      <x:c r="F857" s="10"/>
      <x:c r="G857" s="2" t="str">
        <x:f>IF(COUNTA(A857:F857)=0,"",COUNTIFS('App Data'!$L$2:$L$1001,SUBSTITUTE(SUBSTITUTE(SUBSTITUTE(L857,"~","~~"),"*","~*"),"?","~?")))</x:f>
      </x:c>
      <x:c r="H857" s="2" t="str">
        <x:f>IF(COUNTA(A857:F857)=0,"",COUNTIFS('External Data'!$L$2:$L$1001,SUBSTITUTE(SUBSTITUTE(SUBSTITUTE(L857,"~","~~"),"*","~*"),"?","~?")))</x:f>
      </x:c>
      <x:c r="I857" s="13" t="str">
        <x:f>IF(OR(H857&lt;&gt;1,G857&lt;&gt;1),"",SUMIFS('External Data'!$E$2:$E$1001,'External Data'!$L$2:$L$1001,SUBSTITUTE(SUBSTITUTE(SUBSTITUTE(L857,"~","~~"),"*","~*"),"?","~?")))</x:f>
      </x:c>
      <x:c r="J857" s="13" t="str">
        <x:f>IF(OR(NOT(ISNUMBER(E857)),NOT(ISNUMBER(I857))),"",ROUND(E857-I857,2))</x:f>
      </x:c>
      <x:c r="K857" s="2" t="str">
        <x:f>IF(COUNTA(A857:F857)=0,"",IF(OR(A857="",B857="",C857="",D857="",NOT(ISNUMBER(E857))),"Missing / invalid input",IF(G857&gt;1,"Duplicate key in this source",IF(H857=0,"Missing in other source",IF(H857&gt;1,"Duplicate in other source",IF(SUMIFS('External Data'!$M$2:$M$1001,'External Data'!$L$2:$L$1001,SUBSTITUTE(SUBSTITUTE(SUBSTITUTE(L857,"~","~~"),"*","~*"),"?","~?"))&lt;&gt;1,"Other amount is invalid",IF(J857&lt;&gt;0,"Amount differs","Matched")))))))</x:f>
      </x:c>
      <x:c r="L857" t="str">
        <x:f>IF(COUNTA(A857:F857)=0,"",LEN(A857)&amp;":"&amp;A857&amp;LEN(B857)&amp;":"&amp;B857&amp;LEN(C857)&amp;":"&amp;C857&amp;LEN(D857)&amp;":"&amp;D857)</x:f>
      </x:c>
      <x:c r="M857" t="str">
        <x:f>IF(COUNTA(A857:F857)=0,"",IF(ISNUMBER(E857),1,0))</x:f>
      </x:c>
    </x:row>
    <x:row r="858">
      <x:c r="A858" s="11"/>
      <x:c r="B858" s="11"/>
      <x:c r="C858" s="11"/>
      <x:c r="D858" s="11"/>
      <x:c r="E858" s="12"/>
      <x:c r="F858" s="10"/>
      <x:c r="G858" s="2" t="str">
        <x:f>IF(COUNTA(A858:F858)=0,"",COUNTIFS('App Data'!$L$2:$L$1001,SUBSTITUTE(SUBSTITUTE(SUBSTITUTE(L858,"~","~~"),"*","~*"),"?","~?")))</x:f>
      </x:c>
      <x:c r="H858" s="2" t="str">
        <x:f>IF(COUNTA(A858:F858)=0,"",COUNTIFS('External Data'!$L$2:$L$1001,SUBSTITUTE(SUBSTITUTE(SUBSTITUTE(L858,"~","~~"),"*","~*"),"?","~?")))</x:f>
      </x:c>
      <x:c r="I858" s="13" t="str">
        <x:f>IF(OR(H858&lt;&gt;1,G858&lt;&gt;1),"",SUMIFS('External Data'!$E$2:$E$1001,'External Data'!$L$2:$L$1001,SUBSTITUTE(SUBSTITUTE(SUBSTITUTE(L858,"~","~~"),"*","~*"),"?","~?")))</x:f>
      </x:c>
      <x:c r="J858" s="13" t="str">
        <x:f>IF(OR(NOT(ISNUMBER(E858)),NOT(ISNUMBER(I858))),"",ROUND(E858-I858,2))</x:f>
      </x:c>
      <x:c r="K858" s="2" t="str">
        <x:f>IF(COUNTA(A858:F858)=0,"",IF(OR(A858="",B858="",C858="",D858="",NOT(ISNUMBER(E858))),"Missing / invalid input",IF(G858&gt;1,"Duplicate key in this source",IF(H858=0,"Missing in other source",IF(H858&gt;1,"Duplicate in other source",IF(SUMIFS('External Data'!$M$2:$M$1001,'External Data'!$L$2:$L$1001,SUBSTITUTE(SUBSTITUTE(SUBSTITUTE(L858,"~","~~"),"*","~*"),"?","~?"))&lt;&gt;1,"Other amount is invalid",IF(J858&lt;&gt;0,"Amount differs","Matched")))))))</x:f>
      </x:c>
      <x:c r="L858" t="str">
        <x:f>IF(COUNTA(A858:F858)=0,"",LEN(A858)&amp;":"&amp;A858&amp;LEN(B858)&amp;":"&amp;B858&amp;LEN(C858)&amp;":"&amp;C858&amp;LEN(D858)&amp;":"&amp;D858)</x:f>
      </x:c>
      <x:c r="M858" t="str">
        <x:f>IF(COUNTA(A858:F858)=0,"",IF(ISNUMBER(E858),1,0))</x:f>
      </x:c>
    </x:row>
    <x:row r="859">
      <x:c r="A859" s="11"/>
      <x:c r="B859" s="11"/>
      <x:c r="C859" s="11"/>
      <x:c r="D859" s="11"/>
      <x:c r="E859" s="12"/>
      <x:c r="F859" s="10"/>
      <x:c r="G859" s="2" t="str">
        <x:f>IF(COUNTA(A859:F859)=0,"",COUNTIFS('App Data'!$L$2:$L$1001,SUBSTITUTE(SUBSTITUTE(SUBSTITUTE(L859,"~","~~"),"*","~*"),"?","~?")))</x:f>
      </x:c>
      <x:c r="H859" s="2" t="str">
        <x:f>IF(COUNTA(A859:F859)=0,"",COUNTIFS('External Data'!$L$2:$L$1001,SUBSTITUTE(SUBSTITUTE(SUBSTITUTE(L859,"~","~~"),"*","~*"),"?","~?")))</x:f>
      </x:c>
      <x:c r="I859" s="13" t="str">
        <x:f>IF(OR(H859&lt;&gt;1,G859&lt;&gt;1),"",SUMIFS('External Data'!$E$2:$E$1001,'External Data'!$L$2:$L$1001,SUBSTITUTE(SUBSTITUTE(SUBSTITUTE(L859,"~","~~"),"*","~*"),"?","~?")))</x:f>
      </x:c>
      <x:c r="J859" s="13" t="str">
        <x:f>IF(OR(NOT(ISNUMBER(E859)),NOT(ISNUMBER(I859))),"",ROUND(E859-I859,2))</x:f>
      </x:c>
      <x:c r="K859" s="2" t="str">
        <x:f>IF(COUNTA(A859:F859)=0,"",IF(OR(A859="",B859="",C859="",D859="",NOT(ISNUMBER(E859))),"Missing / invalid input",IF(G859&gt;1,"Duplicate key in this source",IF(H859=0,"Missing in other source",IF(H859&gt;1,"Duplicate in other source",IF(SUMIFS('External Data'!$M$2:$M$1001,'External Data'!$L$2:$L$1001,SUBSTITUTE(SUBSTITUTE(SUBSTITUTE(L859,"~","~~"),"*","~*"),"?","~?"))&lt;&gt;1,"Other amount is invalid",IF(J859&lt;&gt;0,"Amount differs","Matched")))))))</x:f>
      </x:c>
      <x:c r="L859" t="str">
        <x:f>IF(COUNTA(A859:F859)=0,"",LEN(A859)&amp;":"&amp;A859&amp;LEN(B859)&amp;":"&amp;B859&amp;LEN(C859)&amp;":"&amp;C859&amp;LEN(D859)&amp;":"&amp;D859)</x:f>
      </x:c>
      <x:c r="M859" t="str">
        <x:f>IF(COUNTA(A859:F859)=0,"",IF(ISNUMBER(E859),1,0))</x:f>
      </x:c>
    </x:row>
    <x:row r="860">
      <x:c r="A860" s="11"/>
      <x:c r="B860" s="11"/>
      <x:c r="C860" s="11"/>
      <x:c r="D860" s="11"/>
      <x:c r="E860" s="12"/>
      <x:c r="F860" s="10"/>
      <x:c r="G860" s="2" t="str">
        <x:f>IF(COUNTA(A860:F860)=0,"",COUNTIFS('App Data'!$L$2:$L$1001,SUBSTITUTE(SUBSTITUTE(SUBSTITUTE(L860,"~","~~"),"*","~*"),"?","~?")))</x:f>
      </x:c>
      <x:c r="H860" s="2" t="str">
        <x:f>IF(COUNTA(A860:F860)=0,"",COUNTIFS('External Data'!$L$2:$L$1001,SUBSTITUTE(SUBSTITUTE(SUBSTITUTE(L860,"~","~~"),"*","~*"),"?","~?")))</x:f>
      </x:c>
      <x:c r="I860" s="13" t="str">
        <x:f>IF(OR(H860&lt;&gt;1,G860&lt;&gt;1),"",SUMIFS('External Data'!$E$2:$E$1001,'External Data'!$L$2:$L$1001,SUBSTITUTE(SUBSTITUTE(SUBSTITUTE(L860,"~","~~"),"*","~*"),"?","~?")))</x:f>
      </x:c>
      <x:c r="J860" s="13" t="str">
        <x:f>IF(OR(NOT(ISNUMBER(E860)),NOT(ISNUMBER(I860))),"",ROUND(E860-I860,2))</x:f>
      </x:c>
      <x:c r="K860" s="2" t="str">
        <x:f>IF(COUNTA(A860:F860)=0,"",IF(OR(A860="",B860="",C860="",D860="",NOT(ISNUMBER(E860))),"Missing / invalid input",IF(G860&gt;1,"Duplicate key in this source",IF(H860=0,"Missing in other source",IF(H860&gt;1,"Duplicate in other source",IF(SUMIFS('External Data'!$M$2:$M$1001,'External Data'!$L$2:$L$1001,SUBSTITUTE(SUBSTITUTE(SUBSTITUTE(L860,"~","~~"),"*","~*"),"?","~?"))&lt;&gt;1,"Other amount is invalid",IF(J860&lt;&gt;0,"Amount differs","Matched")))))))</x:f>
      </x:c>
      <x:c r="L860" t="str">
        <x:f>IF(COUNTA(A860:F860)=0,"",LEN(A860)&amp;":"&amp;A860&amp;LEN(B860)&amp;":"&amp;B860&amp;LEN(C860)&amp;":"&amp;C860&amp;LEN(D860)&amp;":"&amp;D860)</x:f>
      </x:c>
      <x:c r="M860" t="str">
        <x:f>IF(COUNTA(A860:F860)=0,"",IF(ISNUMBER(E860),1,0))</x:f>
      </x:c>
    </x:row>
    <x:row r="861">
      <x:c r="A861" s="11"/>
      <x:c r="B861" s="11"/>
      <x:c r="C861" s="11"/>
      <x:c r="D861" s="11"/>
      <x:c r="E861" s="12"/>
      <x:c r="F861" s="10"/>
      <x:c r="G861" s="2" t="str">
        <x:f>IF(COUNTA(A861:F861)=0,"",COUNTIFS('App Data'!$L$2:$L$1001,SUBSTITUTE(SUBSTITUTE(SUBSTITUTE(L861,"~","~~"),"*","~*"),"?","~?")))</x:f>
      </x:c>
      <x:c r="H861" s="2" t="str">
        <x:f>IF(COUNTA(A861:F861)=0,"",COUNTIFS('External Data'!$L$2:$L$1001,SUBSTITUTE(SUBSTITUTE(SUBSTITUTE(L861,"~","~~"),"*","~*"),"?","~?")))</x:f>
      </x:c>
      <x:c r="I861" s="13" t="str">
        <x:f>IF(OR(H861&lt;&gt;1,G861&lt;&gt;1),"",SUMIFS('External Data'!$E$2:$E$1001,'External Data'!$L$2:$L$1001,SUBSTITUTE(SUBSTITUTE(SUBSTITUTE(L861,"~","~~"),"*","~*"),"?","~?")))</x:f>
      </x:c>
      <x:c r="J861" s="13" t="str">
        <x:f>IF(OR(NOT(ISNUMBER(E861)),NOT(ISNUMBER(I861))),"",ROUND(E861-I861,2))</x:f>
      </x:c>
      <x:c r="K861" s="2" t="str">
        <x:f>IF(COUNTA(A861:F861)=0,"",IF(OR(A861="",B861="",C861="",D861="",NOT(ISNUMBER(E861))),"Missing / invalid input",IF(G861&gt;1,"Duplicate key in this source",IF(H861=0,"Missing in other source",IF(H861&gt;1,"Duplicate in other source",IF(SUMIFS('External Data'!$M$2:$M$1001,'External Data'!$L$2:$L$1001,SUBSTITUTE(SUBSTITUTE(SUBSTITUTE(L861,"~","~~"),"*","~*"),"?","~?"))&lt;&gt;1,"Other amount is invalid",IF(J861&lt;&gt;0,"Amount differs","Matched")))))))</x:f>
      </x:c>
      <x:c r="L861" t="str">
        <x:f>IF(COUNTA(A861:F861)=0,"",LEN(A861)&amp;":"&amp;A861&amp;LEN(B861)&amp;":"&amp;B861&amp;LEN(C861)&amp;":"&amp;C861&amp;LEN(D861)&amp;":"&amp;D861)</x:f>
      </x:c>
      <x:c r="M861" t="str">
        <x:f>IF(COUNTA(A861:F861)=0,"",IF(ISNUMBER(E861),1,0))</x:f>
      </x:c>
    </x:row>
    <x:row r="862">
      <x:c r="A862" s="11"/>
      <x:c r="B862" s="11"/>
      <x:c r="C862" s="11"/>
      <x:c r="D862" s="11"/>
      <x:c r="E862" s="12"/>
      <x:c r="F862" s="10"/>
      <x:c r="G862" s="2" t="str">
        <x:f>IF(COUNTA(A862:F862)=0,"",COUNTIFS('App Data'!$L$2:$L$1001,SUBSTITUTE(SUBSTITUTE(SUBSTITUTE(L862,"~","~~"),"*","~*"),"?","~?")))</x:f>
      </x:c>
      <x:c r="H862" s="2" t="str">
        <x:f>IF(COUNTA(A862:F862)=0,"",COUNTIFS('External Data'!$L$2:$L$1001,SUBSTITUTE(SUBSTITUTE(SUBSTITUTE(L862,"~","~~"),"*","~*"),"?","~?")))</x:f>
      </x:c>
      <x:c r="I862" s="13" t="str">
        <x:f>IF(OR(H862&lt;&gt;1,G862&lt;&gt;1),"",SUMIFS('External Data'!$E$2:$E$1001,'External Data'!$L$2:$L$1001,SUBSTITUTE(SUBSTITUTE(SUBSTITUTE(L862,"~","~~"),"*","~*"),"?","~?")))</x:f>
      </x:c>
      <x:c r="J862" s="13" t="str">
        <x:f>IF(OR(NOT(ISNUMBER(E862)),NOT(ISNUMBER(I862))),"",ROUND(E862-I862,2))</x:f>
      </x:c>
      <x:c r="K862" s="2" t="str">
        <x:f>IF(COUNTA(A862:F862)=0,"",IF(OR(A862="",B862="",C862="",D862="",NOT(ISNUMBER(E862))),"Missing / invalid input",IF(G862&gt;1,"Duplicate key in this source",IF(H862=0,"Missing in other source",IF(H862&gt;1,"Duplicate in other source",IF(SUMIFS('External Data'!$M$2:$M$1001,'External Data'!$L$2:$L$1001,SUBSTITUTE(SUBSTITUTE(SUBSTITUTE(L862,"~","~~"),"*","~*"),"?","~?"))&lt;&gt;1,"Other amount is invalid",IF(J862&lt;&gt;0,"Amount differs","Matched")))))))</x:f>
      </x:c>
      <x:c r="L862" t="str">
        <x:f>IF(COUNTA(A862:F862)=0,"",LEN(A862)&amp;":"&amp;A862&amp;LEN(B862)&amp;":"&amp;B862&amp;LEN(C862)&amp;":"&amp;C862&amp;LEN(D862)&amp;":"&amp;D862)</x:f>
      </x:c>
      <x:c r="M862" t="str">
        <x:f>IF(COUNTA(A862:F862)=0,"",IF(ISNUMBER(E862),1,0))</x:f>
      </x:c>
    </x:row>
    <x:row r="863">
      <x:c r="A863" s="11"/>
      <x:c r="B863" s="11"/>
      <x:c r="C863" s="11"/>
      <x:c r="D863" s="11"/>
      <x:c r="E863" s="12"/>
      <x:c r="F863" s="10"/>
      <x:c r="G863" s="2" t="str">
        <x:f>IF(COUNTA(A863:F863)=0,"",COUNTIFS('App Data'!$L$2:$L$1001,SUBSTITUTE(SUBSTITUTE(SUBSTITUTE(L863,"~","~~"),"*","~*"),"?","~?")))</x:f>
      </x:c>
      <x:c r="H863" s="2" t="str">
        <x:f>IF(COUNTA(A863:F863)=0,"",COUNTIFS('External Data'!$L$2:$L$1001,SUBSTITUTE(SUBSTITUTE(SUBSTITUTE(L863,"~","~~"),"*","~*"),"?","~?")))</x:f>
      </x:c>
      <x:c r="I863" s="13" t="str">
        <x:f>IF(OR(H863&lt;&gt;1,G863&lt;&gt;1),"",SUMIFS('External Data'!$E$2:$E$1001,'External Data'!$L$2:$L$1001,SUBSTITUTE(SUBSTITUTE(SUBSTITUTE(L863,"~","~~"),"*","~*"),"?","~?")))</x:f>
      </x:c>
      <x:c r="J863" s="13" t="str">
        <x:f>IF(OR(NOT(ISNUMBER(E863)),NOT(ISNUMBER(I863))),"",ROUND(E863-I863,2))</x:f>
      </x:c>
      <x:c r="K863" s="2" t="str">
        <x:f>IF(COUNTA(A863:F863)=0,"",IF(OR(A863="",B863="",C863="",D863="",NOT(ISNUMBER(E863))),"Missing / invalid input",IF(G863&gt;1,"Duplicate key in this source",IF(H863=0,"Missing in other source",IF(H863&gt;1,"Duplicate in other source",IF(SUMIFS('External Data'!$M$2:$M$1001,'External Data'!$L$2:$L$1001,SUBSTITUTE(SUBSTITUTE(SUBSTITUTE(L863,"~","~~"),"*","~*"),"?","~?"))&lt;&gt;1,"Other amount is invalid",IF(J863&lt;&gt;0,"Amount differs","Matched")))))))</x:f>
      </x:c>
      <x:c r="L863" t="str">
        <x:f>IF(COUNTA(A863:F863)=0,"",LEN(A863)&amp;":"&amp;A863&amp;LEN(B863)&amp;":"&amp;B863&amp;LEN(C863)&amp;":"&amp;C863&amp;LEN(D863)&amp;":"&amp;D863)</x:f>
      </x:c>
      <x:c r="M863" t="str">
        <x:f>IF(COUNTA(A863:F863)=0,"",IF(ISNUMBER(E863),1,0))</x:f>
      </x:c>
    </x:row>
    <x:row r="864">
      <x:c r="A864" s="11"/>
      <x:c r="B864" s="11"/>
      <x:c r="C864" s="11"/>
      <x:c r="D864" s="11"/>
      <x:c r="E864" s="12"/>
      <x:c r="F864" s="10"/>
      <x:c r="G864" s="2" t="str">
        <x:f>IF(COUNTA(A864:F864)=0,"",COUNTIFS('App Data'!$L$2:$L$1001,SUBSTITUTE(SUBSTITUTE(SUBSTITUTE(L864,"~","~~"),"*","~*"),"?","~?")))</x:f>
      </x:c>
      <x:c r="H864" s="2" t="str">
        <x:f>IF(COUNTA(A864:F864)=0,"",COUNTIFS('External Data'!$L$2:$L$1001,SUBSTITUTE(SUBSTITUTE(SUBSTITUTE(L864,"~","~~"),"*","~*"),"?","~?")))</x:f>
      </x:c>
      <x:c r="I864" s="13" t="str">
        <x:f>IF(OR(H864&lt;&gt;1,G864&lt;&gt;1),"",SUMIFS('External Data'!$E$2:$E$1001,'External Data'!$L$2:$L$1001,SUBSTITUTE(SUBSTITUTE(SUBSTITUTE(L864,"~","~~"),"*","~*"),"?","~?")))</x:f>
      </x:c>
      <x:c r="J864" s="13" t="str">
        <x:f>IF(OR(NOT(ISNUMBER(E864)),NOT(ISNUMBER(I864))),"",ROUND(E864-I864,2))</x:f>
      </x:c>
      <x:c r="K864" s="2" t="str">
        <x:f>IF(COUNTA(A864:F864)=0,"",IF(OR(A864="",B864="",C864="",D864="",NOT(ISNUMBER(E864))),"Missing / invalid input",IF(G864&gt;1,"Duplicate key in this source",IF(H864=0,"Missing in other source",IF(H864&gt;1,"Duplicate in other source",IF(SUMIFS('External Data'!$M$2:$M$1001,'External Data'!$L$2:$L$1001,SUBSTITUTE(SUBSTITUTE(SUBSTITUTE(L864,"~","~~"),"*","~*"),"?","~?"))&lt;&gt;1,"Other amount is invalid",IF(J864&lt;&gt;0,"Amount differs","Matched")))))))</x:f>
      </x:c>
      <x:c r="L864" t="str">
        <x:f>IF(COUNTA(A864:F864)=0,"",LEN(A864)&amp;":"&amp;A864&amp;LEN(B864)&amp;":"&amp;B864&amp;LEN(C864)&amp;":"&amp;C864&amp;LEN(D864)&amp;":"&amp;D864)</x:f>
      </x:c>
      <x:c r="M864" t="str">
        <x:f>IF(COUNTA(A864:F864)=0,"",IF(ISNUMBER(E864),1,0))</x:f>
      </x:c>
    </x:row>
    <x:row r="865">
      <x:c r="A865" s="11"/>
      <x:c r="B865" s="11"/>
      <x:c r="C865" s="11"/>
      <x:c r="D865" s="11"/>
      <x:c r="E865" s="12"/>
      <x:c r="F865" s="10"/>
      <x:c r="G865" s="2" t="str">
        <x:f>IF(COUNTA(A865:F865)=0,"",COUNTIFS('App Data'!$L$2:$L$1001,SUBSTITUTE(SUBSTITUTE(SUBSTITUTE(L865,"~","~~"),"*","~*"),"?","~?")))</x:f>
      </x:c>
      <x:c r="H865" s="2" t="str">
        <x:f>IF(COUNTA(A865:F865)=0,"",COUNTIFS('External Data'!$L$2:$L$1001,SUBSTITUTE(SUBSTITUTE(SUBSTITUTE(L865,"~","~~"),"*","~*"),"?","~?")))</x:f>
      </x:c>
      <x:c r="I865" s="13" t="str">
        <x:f>IF(OR(H865&lt;&gt;1,G865&lt;&gt;1),"",SUMIFS('External Data'!$E$2:$E$1001,'External Data'!$L$2:$L$1001,SUBSTITUTE(SUBSTITUTE(SUBSTITUTE(L865,"~","~~"),"*","~*"),"?","~?")))</x:f>
      </x:c>
      <x:c r="J865" s="13" t="str">
        <x:f>IF(OR(NOT(ISNUMBER(E865)),NOT(ISNUMBER(I865))),"",ROUND(E865-I865,2))</x:f>
      </x:c>
      <x:c r="K865" s="2" t="str">
        <x:f>IF(COUNTA(A865:F865)=0,"",IF(OR(A865="",B865="",C865="",D865="",NOT(ISNUMBER(E865))),"Missing / invalid input",IF(G865&gt;1,"Duplicate key in this source",IF(H865=0,"Missing in other source",IF(H865&gt;1,"Duplicate in other source",IF(SUMIFS('External Data'!$M$2:$M$1001,'External Data'!$L$2:$L$1001,SUBSTITUTE(SUBSTITUTE(SUBSTITUTE(L865,"~","~~"),"*","~*"),"?","~?"))&lt;&gt;1,"Other amount is invalid",IF(J865&lt;&gt;0,"Amount differs","Matched")))))))</x:f>
      </x:c>
      <x:c r="L865" t="str">
        <x:f>IF(COUNTA(A865:F865)=0,"",LEN(A865)&amp;":"&amp;A865&amp;LEN(B865)&amp;":"&amp;B865&amp;LEN(C865)&amp;":"&amp;C865&amp;LEN(D865)&amp;":"&amp;D865)</x:f>
      </x:c>
      <x:c r="M865" t="str">
        <x:f>IF(COUNTA(A865:F865)=0,"",IF(ISNUMBER(E865),1,0))</x:f>
      </x:c>
    </x:row>
    <x:row r="866">
      <x:c r="A866" s="11"/>
      <x:c r="B866" s="11"/>
      <x:c r="C866" s="11"/>
      <x:c r="D866" s="11"/>
      <x:c r="E866" s="12"/>
      <x:c r="F866" s="10"/>
      <x:c r="G866" s="2" t="str">
        <x:f>IF(COUNTA(A866:F866)=0,"",COUNTIFS('App Data'!$L$2:$L$1001,SUBSTITUTE(SUBSTITUTE(SUBSTITUTE(L866,"~","~~"),"*","~*"),"?","~?")))</x:f>
      </x:c>
      <x:c r="H866" s="2" t="str">
        <x:f>IF(COUNTA(A866:F866)=0,"",COUNTIFS('External Data'!$L$2:$L$1001,SUBSTITUTE(SUBSTITUTE(SUBSTITUTE(L866,"~","~~"),"*","~*"),"?","~?")))</x:f>
      </x:c>
      <x:c r="I866" s="13" t="str">
        <x:f>IF(OR(H866&lt;&gt;1,G866&lt;&gt;1),"",SUMIFS('External Data'!$E$2:$E$1001,'External Data'!$L$2:$L$1001,SUBSTITUTE(SUBSTITUTE(SUBSTITUTE(L866,"~","~~"),"*","~*"),"?","~?")))</x:f>
      </x:c>
      <x:c r="J866" s="13" t="str">
        <x:f>IF(OR(NOT(ISNUMBER(E866)),NOT(ISNUMBER(I866))),"",ROUND(E866-I866,2))</x:f>
      </x:c>
      <x:c r="K866" s="2" t="str">
        <x:f>IF(COUNTA(A866:F866)=0,"",IF(OR(A866="",B866="",C866="",D866="",NOT(ISNUMBER(E866))),"Missing / invalid input",IF(G866&gt;1,"Duplicate key in this source",IF(H866=0,"Missing in other source",IF(H866&gt;1,"Duplicate in other source",IF(SUMIFS('External Data'!$M$2:$M$1001,'External Data'!$L$2:$L$1001,SUBSTITUTE(SUBSTITUTE(SUBSTITUTE(L866,"~","~~"),"*","~*"),"?","~?"))&lt;&gt;1,"Other amount is invalid",IF(J866&lt;&gt;0,"Amount differs","Matched")))))))</x:f>
      </x:c>
      <x:c r="L866" t="str">
        <x:f>IF(COUNTA(A866:F866)=0,"",LEN(A866)&amp;":"&amp;A866&amp;LEN(B866)&amp;":"&amp;B866&amp;LEN(C866)&amp;":"&amp;C866&amp;LEN(D866)&amp;":"&amp;D866)</x:f>
      </x:c>
      <x:c r="M866" t="str">
        <x:f>IF(COUNTA(A866:F866)=0,"",IF(ISNUMBER(E866),1,0))</x:f>
      </x:c>
    </x:row>
    <x:row r="867">
      <x:c r="A867" s="11"/>
      <x:c r="B867" s="11"/>
      <x:c r="C867" s="11"/>
      <x:c r="D867" s="11"/>
      <x:c r="E867" s="12"/>
      <x:c r="F867" s="10"/>
      <x:c r="G867" s="2" t="str">
        <x:f>IF(COUNTA(A867:F867)=0,"",COUNTIFS('App Data'!$L$2:$L$1001,SUBSTITUTE(SUBSTITUTE(SUBSTITUTE(L867,"~","~~"),"*","~*"),"?","~?")))</x:f>
      </x:c>
      <x:c r="H867" s="2" t="str">
        <x:f>IF(COUNTA(A867:F867)=0,"",COUNTIFS('External Data'!$L$2:$L$1001,SUBSTITUTE(SUBSTITUTE(SUBSTITUTE(L867,"~","~~"),"*","~*"),"?","~?")))</x:f>
      </x:c>
      <x:c r="I867" s="13" t="str">
        <x:f>IF(OR(H867&lt;&gt;1,G867&lt;&gt;1),"",SUMIFS('External Data'!$E$2:$E$1001,'External Data'!$L$2:$L$1001,SUBSTITUTE(SUBSTITUTE(SUBSTITUTE(L867,"~","~~"),"*","~*"),"?","~?")))</x:f>
      </x:c>
      <x:c r="J867" s="13" t="str">
        <x:f>IF(OR(NOT(ISNUMBER(E867)),NOT(ISNUMBER(I867))),"",ROUND(E867-I867,2))</x:f>
      </x:c>
      <x:c r="K867" s="2" t="str">
        <x:f>IF(COUNTA(A867:F867)=0,"",IF(OR(A867="",B867="",C867="",D867="",NOT(ISNUMBER(E867))),"Missing / invalid input",IF(G867&gt;1,"Duplicate key in this source",IF(H867=0,"Missing in other source",IF(H867&gt;1,"Duplicate in other source",IF(SUMIFS('External Data'!$M$2:$M$1001,'External Data'!$L$2:$L$1001,SUBSTITUTE(SUBSTITUTE(SUBSTITUTE(L867,"~","~~"),"*","~*"),"?","~?"))&lt;&gt;1,"Other amount is invalid",IF(J867&lt;&gt;0,"Amount differs","Matched")))))))</x:f>
      </x:c>
      <x:c r="L867" t="str">
        <x:f>IF(COUNTA(A867:F867)=0,"",LEN(A867)&amp;":"&amp;A867&amp;LEN(B867)&amp;":"&amp;B867&amp;LEN(C867)&amp;":"&amp;C867&amp;LEN(D867)&amp;":"&amp;D867)</x:f>
      </x:c>
      <x:c r="M867" t="str">
        <x:f>IF(COUNTA(A867:F867)=0,"",IF(ISNUMBER(E867),1,0))</x:f>
      </x:c>
    </x:row>
    <x:row r="868">
      <x:c r="A868" s="11"/>
      <x:c r="B868" s="11"/>
      <x:c r="C868" s="11"/>
      <x:c r="D868" s="11"/>
      <x:c r="E868" s="12"/>
      <x:c r="F868" s="10"/>
      <x:c r="G868" s="2" t="str">
        <x:f>IF(COUNTA(A868:F868)=0,"",COUNTIFS('App Data'!$L$2:$L$1001,SUBSTITUTE(SUBSTITUTE(SUBSTITUTE(L868,"~","~~"),"*","~*"),"?","~?")))</x:f>
      </x:c>
      <x:c r="H868" s="2" t="str">
        <x:f>IF(COUNTA(A868:F868)=0,"",COUNTIFS('External Data'!$L$2:$L$1001,SUBSTITUTE(SUBSTITUTE(SUBSTITUTE(L868,"~","~~"),"*","~*"),"?","~?")))</x:f>
      </x:c>
      <x:c r="I868" s="13" t="str">
        <x:f>IF(OR(H868&lt;&gt;1,G868&lt;&gt;1),"",SUMIFS('External Data'!$E$2:$E$1001,'External Data'!$L$2:$L$1001,SUBSTITUTE(SUBSTITUTE(SUBSTITUTE(L868,"~","~~"),"*","~*"),"?","~?")))</x:f>
      </x:c>
      <x:c r="J868" s="13" t="str">
        <x:f>IF(OR(NOT(ISNUMBER(E868)),NOT(ISNUMBER(I868))),"",ROUND(E868-I868,2))</x:f>
      </x:c>
      <x:c r="K868" s="2" t="str">
        <x:f>IF(COUNTA(A868:F868)=0,"",IF(OR(A868="",B868="",C868="",D868="",NOT(ISNUMBER(E868))),"Missing / invalid input",IF(G868&gt;1,"Duplicate key in this source",IF(H868=0,"Missing in other source",IF(H868&gt;1,"Duplicate in other source",IF(SUMIFS('External Data'!$M$2:$M$1001,'External Data'!$L$2:$L$1001,SUBSTITUTE(SUBSTITUTE(SUBSTITUTE(L868,"~","~~"),"*","~*"),"?","~?"))&lt;&gt;1,"Other amount is invalid",IF(J868&lt;&gt;0,"Amount differs","Matched")))))))</x:f>
      </x:c>
      <x:c r="L868" t="str">
        <x:f>IF(COUNTA(A868:F868)=0,"",LEN(A868)&amp;":"&amp;A868&amp;LEN(B868)&amp;":"&amp;B868&amp;LEN(C868)&amp;":"&amp;C868&amp;LEN(D868)&amp;":"&amp;D868)</x:f>
      </x:c>
      <x:c r="M868" t="str">
        <x:f>IF(COUNTA(A868:F868)=0,"",IF(ISNUMBER(E868),1,0))</x:f>
      </x:c>
    </x:row>
    <x:row r="869">
      <x:c r="A869" s="11"/>
      <x:c r="B869" s="11"/>
      <x:c r="C869" s="11"/>
      <x:c r="D869" s="11"/>
      <x:c r="E869" s="12"/>
      <x:c r="F869" s="10"/>
      <x:c r="G869" s="2" t="str">
        <x:f>IF(COUNTA(A869:F869)=0,"",COUNTIFS('App Data'!$L$2:$L$1001,SUBSTITUTE(SUBSTITUTE(SUBSTITUTE(L869,"~","~~"),"*","~*"),"?","~?")))</x:f>
      </x:c>
      <x:c r="H869" s="2" t="str">
        <x:f>IF(COUNTA(A869:F869)=0,"",COUNTIFS('External Data'!$L$2:$L$1001,SUBSTITUTE(SUBSTITUTE(SUBSTITUTE(L869,"~","~~"),"*","~*"),"?","~?")))</x:f>
      </x:c>
      <x:c r="I869" s="13" t="str">
        <x:f>IF(OR(H869&lt;&gt;1,G869&lt;&gt;1),"",SUMIFS('External Data'!$E$2:$E$1001,'External Data'!$L$2:$L$1001,SUBSTITUTE(SUBSTITUTE(SUBSTITUTE(L869,"~","~~"),"*","~*"),"?","~?")))</x:f>
      </x:c>
      <x:c r="J869" s="13" t="str">
        <x:f>IF(OR(NOT(ISNUMBER(E869)),NOT(ISNUMBER(I869))),"",ROUND(E869-I869,2))</x:f>
      </x:c>
      <x:c r="K869" s="2" t="str">
        <x:f>IF(COUNTA(A869:F869)=0,"",IF(OR(A869="",B869="",C869="",D869="",NOT(ISNUMBER(E869))),"Missing / invalid input",IF(G869&gt;1,"Duplicate key in this source",IF(H869=0,"Missing in other source",IF(H869&gt;1,"Duplicate in other source",IF(SUMIFS('External Data'!$M$2:$M$1001,'External Data'!$L$2:$L$1001,SUBSTITUTE(SUBSTITUTE(SUBSTITUTE(L869,"~","~~"),"*","~*"),"?","~?"))&lt;&gt;1,"Other amount is invalid",IF(J869&lt;&gt;0,"Amount differs","Matched")))))))</x:f>
      </x:c>
      <x:c r="L869" t="str">
        <x:f>IF(COUNTA(A869:F869)=0,"",LEN(A869)&amp;":"&amp;A869&amp;LEN(B869)&amp;":"&amp;B869&amp;LEN(C869)&amp;":"&amp;C869&amp;LEN(D869)&amp;":"&amp;D869)</x:f>
      </x:c>
      <x:c r="M869" t="str">
        <x:f>IF(COUNTA(A869:F869)=0,"",IF(ISNUMBER(E869),1,0))</x:f>
      </x:c>
    </x:row>
    <x:row r="870">
      <x:c r="A870" s="11"/>
      <x:c r="B870" s="11"/>
      <x:c r="C870" s="11"/>
      <x:c r="D870" s="11"/>
      <x:c r="E870" s="12"/>
      <x:c r="F870" s="10"/>
      <x:c r="G870" s="2" t="str">
        <x:f>IF(COUNTA(A870:F870)=0,"",COUNTIFS('App Data'!$L$2:$L$1001,SUBSTITUTE(SUBSTITUTE(SUBSTITUTE(L870,"~","~~"),"*","~*"),"?","~?")))</x:f>
      </x:c>
      <x:c r="H870" s="2" t="str">
        <x:f>IF(COUNTA(A870:F870)=0,"",COUNTIFS('External Data'!$L$2:$L$1001,SUBSTITUTE(SUBSTITUTE(SUBSTITUTE(L870,"~","~~"),"*","~*"),"?","~?")))</x:f>
      </x:c>
      <x:c r="I870" s="13" t="str">
        <x:f>IF(OR(H870&lt;&gt;1,G870&lt;&gt;1),"",SUMIFS('External Data'!$E$2:$E$1001,'External Data'!$L$2:$L$1001,SUBSTITUTE(SUBSTITUTE(SUBSTITUTE(L870,"~","~~"),"*","~*"),"?","~?")))</x:f>
      </x:c>
      <x:c r="J870" s="13" t="str">
        <x:f>IF(OR(NOT(ISNUMBER(E870)),NOT(ISNUMBER(I870))),"",ROUND(E870-I870,2))</x:f>
      </x:c>
      <x:c r="K870" s="2" t="str">
        <x:f>IF(COUNTA(A870:F870)=0,"",IF(OR(A870="",B870="",C870="",D870="",NOT(ISNUMBER(E870))),"Missing / invalid input",IF(G870&gt;1,"Duplicate key in this source",IF(H870=0,"Missing in other source",IF(H870&gt;1,"Duplicate in other source",IF(SUMIFS('External Data'!$M$2:$M$1001,'External Data'!$L$2:$L$1001,SUBSTITUTE(SUBSTITUTE(SUBSTITUTE(L870,"~","~~"),"*","~*"),"?","~?"))&lt;&gt;1,"Other amount is invalid",IF(J870&lt;&gt;0,"Amount differs","Matched")))))))</x:f>
      </x:c>
      <x:c r="L870" t="str">
        <x:f>IF(COUNTA(A870:F870)=0,"",LEN(A870)&amp;":"&amp;A870&amp;LEN(B870)&amp;":"&amp;B870&amp;LEN(C870)&amp;":"&amp;C870&amp;LEN(D870)&amp;":"&amp;D870)</x:f>
      </x:c>
      <x:c r="M870" t="str">
        <x:f>IF(COUNTA(A870:F870)=0,"",IF(ISNUMBER(E870),1,0))</x:f>
      </x:c>
    </x:row>
    <x:row r="871">
      <x:c r="A871" s="11"/>
      <x:c r="B871" s="11"/>
      <x:c r="C871" s="11"/>
      <x:c r="D871" s="11"/>
      <x:c r="E871" s="12"/>
      <x:c r="F871" s="10"/>
      <x:c r="G871" s="2" t="str">
        <x:f>IF(COUNTA(A871:F871)=0,"",COUNTIFS('App Data'!$L$2:$L$1001,SUBSTITUTE(SUBSTITUTE(SUBSTITUTE(L871,"~","~~"),"*","~*"),"?","~?")))</x:f>
      </x:c>
      <x:c r="H871" s="2" t="str">
        <x:f>IF(COUNTA(A871:F871)=0,"",COUNTIFS('External Data'!$L$2:$L$1001,SUBSTITUTE(SUBSTITUTE(SUBSTITUTE(L871,"~","~~"),"*","~*"),"?","~?")))</x:f>
      </x:c>
      <x:c r="I871" s="13" t="str">
        <x:f>IF(OR(H871&lt;&gt;1,G871&lt;&gt;1),"",SUMIFS('External Data'!$E$2:$E$1001,'External Data'!$L$2:$L$1001,SUBSTITUTE(SUBSTITUTE(SUBSTITUTE(L871,"~","~~"),"*","~*"),"?","~?")))</x:f>
      </x:c>
      <x:c r="J871" s="13" t="str">
        <x:f>IF(OR(NOT(ISNUMBER(E871)),NOT(ISNUMBER(I871))),"",ROUND(E871-I871,2))</x:f>
      </x:c>
      <x:c r="K871" s="2" t="str">
        <x:f>IF(COUNTA(A871:F871)=0,"",IF(OR(A871="",B871="",C871="",D871="",NOT(ISNUMBER(E871))),"Missing / invalid input",IF(G871&gt;1,"Duplicate key in this source",IF(H871=0,"Missing in other source",IF(H871&gt;1,"Duplicate in other source",IF(SUMIFS('External Data'!$M$2:$M$1001,'External Data'!$L$2:$L$1001,SUBSTITUTE(SUBSTITUTE(SUBSTITUTE(L871,"~","~~"),"*","~*"),"?","~?"))&lt;&gt;1,"Other amount is invalid",IF(J871&lt;&gt;0,"Amount differs","Matched")))))))</x:f>
      </x:c>
      <x:c r="L871" t="str">
        <x:f>IF(COUNTA(A871:F871)=0,"",LEN(A871)&amp;":"&amp;A871&amp;LEN(B871)&amp;":"&amp;B871&amp;LEN(C871)&amp;":"&amp;C871&amp;LEN(D871)&amp;":"&amp;D871)</x:f>
      </x:c>
      <x:c r="M871" t="str">
        <x:f>IF(COUNTA(A871:F871)=0,"",IF(ISNUMBER(E871),1,0))</x:f>
      </x:c>
    </x:row>
    <x:row r="872">
      <x:c r="A872" s="11"/>
      <x:c r="B872" s="11"/>
      <x:c r="C872" s="11"/>
      <x:c r="D872" s="11"/>
      <x:c r="E872" s="12"/>
      <x:c r="F872" s="10"/>
      <x:c r="G872" s="2" t="str">
        <x:f>IF(COUNTA(A872:F872)=0,"",COUNTIFS('App Data'!$L$2:$L$1001,SUBSTITUTE(SUBSTITUTE(SUBSTITUTE(L872,"~","~~"),"*","~*"),"?","~?")))</x:f>
      </x:c>
      <x:c r="H872" s="2" t="str">
        <x:f>IF(COUNTA(A872:F872)=0,"",COUNTIFS('External Data'!$L$2:$L$1001,SUBSTITUTE(SUBSTITUTE(SUBSTITUTE(L872,"~","~~"),"*","~*"),"?","~?")))</x:f>
      </x:c>
      <x:c r="I872" s="13" t="str">
        <x:f>IF(OR(H872&lt;&gt;1,G872&lt;&gt;1),"",SUMIFS('External Data'!$E$2:$E$1001,'External Data'!$L$2:$L$1001,SUBSTITUTE(SUBSTITUTE(SUBSTITUTE(L872,"~","~~"),"*","~*"),"?","~?")))</x:f>
      </x:c>
      <x:c r="J872" s="13" t="str">
        <x:f>IF(OR(NOT(ISNUMBER(E872)),NOT(ISNUMBER(I872))),"",ROUND(E872-I872,2))</x:f>
      </x:c>
      <x:c r="K872" s="2" t="str">
        <x:f>IF(COUNTA(A872:F872)=0,"",IF(OR(A872="",B872="",C872="",D872="",NOT(ISNUMBER(E872))),"Missing / invalid input",IF(G872&gt;1,"Duplicate key in this source",IF(H872=0,"Missing in other source",IF(H872&gt;1,"Duplicate in other source",IF(SUMIFS('External Data'!$M$2:$M$1001,'External Data'!$L$2:$L$1001,SUBSTITUTE(SUBSTITUTE(SUBSTITUTE(L872,"~","~~"),"*","~*"),"?","~?"))&lt;&gt;1,"Other amount is invalid",IF(J872&lt;&gt;0,"Amount differs","Matched")))))))</x:f>
      </x:c>
      <x:c r="L872" t="str">
        <x:f>IF(COUNTA(A872:F872)=0,"",LEN(A872)&amp;":"&amp;A872&amp;LEN(B872)&amp;":"&amp;B872&amp;LEN(C872)&amp;":"&amp;C872&amp;LEN(D872)&amp;":"&amp;D872)</x:f>
      </x:c>
      <x:c r="M872" t="str">
        <x:f>IF(COUNTA(A872:F872)=0,"",IF(ISNUMBER(E872),1,0))</x:f>
      </x:c>
    </x:row>
    <x:row r="873">
      <x:c r="A873" s="11"/>
      <x:c r="B873" s="11"/>
      <x:c r="C873" s="11"/>
      <x:c r="D873" s="11"/>
      <x:c r="E873" s="12"/>
      <x:c r="F873" s="10"/>
      <x:c r="G873" s="2" t="str">
        <x:f>IF(COUNTA(A873:F873)=0,"",COUNTIFS('App Data'!$L$2:$L$1001,SUBSTITUTE(SUBSTITUTE(SUBSTITUTE(L873,"~","~~"),"*","~*"),"?","~?")))</x:f>
      </x:c>
      <x:c r="H873" s="2" t="str">
        <x:f>IF(COUNTA(A873:F873)=0,"",COUNTIFS('External Data'!$L$2:$L$1001,SUBSTITUTE(SUBSTITUTE(SUBSTITUTE(L873,"~","~~"),"*","~*"),"?","~?")))</x:f>
      </x:c>
      <x:c r="I873" s="13" t="str">
        <x:f>IF(OR(H873&lt;&gt;1,G873&lt;&gt;1),"",SUMIFS('External Data'!$E$2:$E$1001,'External Data'!$L$2:$L$1001,SUBSTITUTE(SUBSTITUTE(SUBSTITUTE(L873,"~","~~"),"*","~*"),"?","~?")))</x:f>
      </x:c>
      <x:c r="J873" s="13" t="str">
        <x:f>IF(OR(NOT(ISNUMBER(E873)),NOT(ISNUMBER(I873))),"",ROUND(E873-I873,2))</x:f>
      </x:c>
      <x:c r="K873" s="2" t="str">
        <x:f>IF(COUNTA(A873:F873)=0,"",IF(OR(A873="",B873="",C873="",D873="",NOT(ISNUMBER(E873))),"Missing / invalid input",IF(G873&gt;1,"Duplicate key in this source",IF(H873=0,"Missing in other source",IF(H873&gt;1,"Duplicate in other source",IF(SUMIFS('External Data'!$M$2:$M$1001,'External Data'!$L$2:$L$1001,SUBSTITUTE(SUBSTITUTE(SUBSTITUTE(L873,"~","~~"),"*","~*"),"?","~?"))&lt;&gt;1,"Other amount is invalid",IF(J873&lt;&gt;0,"Amount differs","Matched")))))))</x:f>
      </x:c>
      <x:c r="L873" t="str">
        <x:f>IF(COUNTA(A873:F873)=0,"",LEN(A873)&amp;":"&amp;A873&amp;LEN(B873)&amp;":"&amp;B873&amp;LEN(C873)&amp;":"&amp;C873&amp;LEN(D873)&amp;":"&amp;D873)</x:f>
      </x:c>
      <x:c r="M873" t="str">
        <x:f>IF(COUNTA(A873:F873)=0,"",IF(ISNUMBER(E873),1,0))</x:f>
      </x:c>
    </x:row>
    <x:row r="874">
      <x:c r="A874" s="11"/>
      <x:c r="B874" s="11"/>
      <x:c r="C874" s="11"/>
      <x:c r="D874" s="11"/>
      <x:c r="E874" s="12"/>
      <x:c r="F874" s="10"/>
      <x:c r="G874" s="2" t="str">
        <x:f>IF(COUNTA(A874:F874)=0,"",COUNTIFS('App Data'!$L$2:$L$1001,SUBSTITUTE(SUBSTITUTE(SUBSTITUTE(L874,"~","~~"),"*","~*"),"?","~?")))</x:f>
      </x:c>
      <x:c r="H874" s="2" t="str">
        <x:f>IF(COUNTA(A874:F874)=0,"",COUNTIFS('External Data'!$L$2:$L$1001,SUBSTITUTE(SUBSTITUTE(SUBSTITUTE(L874,"~","~~"),"*","~*"),"?","~?")))</x:f>
      </x:c>
      <x:c r="I874" s="13" t="str">
        <x:f>IF(OR(H874&lt;&gt;1,G874&lt;&gt;1),"",SUMIFS('External Data'!$E$2:$E$1001,'External Data'!$L$2:$L$1001,SUBSTITUTE(SUBSTITUTE(SUBSTITUTE(L874,"~","~~"),"*","~*"),"?","~?")))</x:f>
      </x:c>
      <x:c r="J874" s="13" t="str">
        <x:f>IF(OR(NOT(ISNUMBER(E874)),NOT(ISNUMBER(I874))),"",ROUND(E874-I874,2))</x:f>
      </x:c>
      <x:c r="K874" s="2" t="str">
        <x:f>IF(COUNTA(A874:F874)=0,"",IF(OR(A874="",B874="",C874="",D874="",NOT(ISNUMBER(E874))),"Missing / invalid input",IF(G874&gt;1,"Duplicate key in this source",IF(H874=0,"Missing in other source",IF(H874&gt;1,"Duplicate in other source",IF(SUMIFS('External Data'!$M$2:$M$1001,'External Data'!$L$2:$L$1001,SUBSTITUTE(SUBSTITUTE(SUBSTITUTE(L874,"~","~~"),"*","~*"),"?","~?"))&lt;&gt;1,"Other amount is invalid",IF(J874&lt;&gt;0,"Amount differs","Matched")))))))</x:f>
      </x:c>
      <x:c r="L874" t="str">
        <x:f>IF(COUNTA(A874:F874)=0,"",LEN(A874)&amp;":"&amp;A874&amp;LEN(B874)&amp;":"&amp;B874&amp;LEN(C874)&amp;":"&amp;C874&amp;LEN(D874)&amp;":"&amp;D874)</x:f>
      </x:c>
      <x:c r="M874" t="str">
        <x:f>IF(COUNTA(A874:F874)=0,"",IF(ISNUMBER(E874),1,0))</x:f>
      </x:c>
    </x:row>
    <x:row r="875">
      <x:c r="A875" s="11"/>
      <x:c r="B875" s="11"/>
      <x:c r="C875" s="11"/>
      <x:c r="D875" s="11"/>
      <x:c r="E875" s="12"/>
      <x:c r="F875" s="10"/>
      <x:c r="G875" s="2" t="str">
        <x:f>IF(COUNTA(A875:F875)=0,"",COUNTIFS('App Data'!$L$2:$L$1001,SUBSTITUTE(SUBSTITUTE(SUBSTITUTE(L875,"~","~~"),"*","~*"),"?","~?")))</x:f>
      </x:c>
      <x:c r="H875" s="2" t="str">
        <x:f>IF(COUNTA(A875:F875)=0,"",COUNTIFS('External Data'!$L$2:$L$1001,SUBSTITUTE(SUBSTITUTE(SUBSTITUTE(L875,"~","~~"),"*","~*"),"?","~?")))</x:f>
      </x:c>
      <x:c r="I875" s="13" t="str">
        <x:f>IF(OR(H875&lt;&gt;1,G875&lt;&gt;1),"",SUMIFS('External Data'!$E$2:$E$1001,'External Data'!$L$2:$L$1001,SUBSTITUTE(SUBSTITUTE(SUBSTITUTE(L875,"~","~~"),"*","~*"),"?","~?")))</x:f>
      </x:c>
      <x:c r="J875" s="13" t="str">
        <x:f>IF(OR(NOT(ISNUMBER(E875)),NOT(ISNUMBER(I875))),"",ROUND(E875-I875,2))</x:f>
      </x:c>
      <x:c r="K875" s="2" t="str">
        <x:f>IF(COUNTA(A875:F875)=0,"",IF(OR(A875="",B875="",C875="",D875="",NOT(ISNUMBER(E875))),"Missing / invalid input",IF(G875&gt;1,"Duplicate key in this source",IF(H875=0,"Missing in other source",IF(H875&gt;1,"Duplicate in other source",IF(SUMIFS('External Data'!$M$2:$M$1001,'External Data'!$L$2:$L$1001,SUBSTITUTE(SUBSTITUTE(SUBSTITUTE(L875,"~","~~"),"*","~*"),"?","~?"))&lt;&gt;1,"Other amount is invalid",IF(J875&lt;&gt;0,"Amount differs","Matched")))))))</x:f>
      </x:c>
      <x:c r="L875" t="str">
        <x:f>IF(COUNTA(A875:F875)=0,"",LEN(A875)&amp;":"&amp;A875&amp;LEN(B875)&amp;":"&amp;B875&amp;LEN(C875)&amp;":"&amp;C875&amp;LEN(D875)&amp;":"&amp;D875)</x:f>
      </x:c>
      <x:c r="M875" t="str">
        <x:f>IF(COUNTA(A875:F875)=0,"",IF(ISNUMBER(E875),1,0))</x:f>
      </x:c>
    </x:row>
    <x:row r="876">
      <x:c r="A876" s="11"/>
      <x:c r="B876" s="11"/>
      <x:c r="C876" s="11"/>
      <x:c r="D876" s="11"/>
      <x:c r="E876" s="12"/>
      <x:c r="F876" s="10"/>
      <x:c r="G876" s="2" t="str">
        <x:f>IF(COUNTA(A876:F876)=0,"",COUNTIFS('App Data'!$L$2:$L$1001,SUBSTITUTE(SUBSTITUTE(SUBSTITUTE(L876,"~","~~"),"*","~*"),"?","~?")))</x:f>
      </x:c>
      <x:c r="H876" s="2" t="str">
        <x:f>IF(COUNTA(A876:F876)=0,"",COUNTIFS('External Data'!$L$2:$L$1001,SUBSTITUTE(SUBSTITUTE(SUBSTITUTE(L876,"~","~~"),"*","~*"),"?","~?")))</x:f>
      </x:c>
      <x:c r="I876" s="13" t="str">
        <x:f>IF(OR(H876&lt;&gt;1,G876&lt;&gt;1),"",SUMIFS('External Data'!$E$2:$E$1001,'External Data'!$L$2:$L$1001,SUBSTITUTE(SUBSTITUTE(SUBSTITUTE(L876,"~","~~"),"*","~*"),"?","~?")))</x:f>
      </x:c>
      <x:c r="J876" s="13" t="str">
        <x:f>IF(OR(NOT(ISNUMBER(E876)),NOT(ISNUMBER(I876))),"",ROUND(E876-I876,2))</x:f>
      </x:c>
      <x:c r="K876" s="2" t="str">
        <x:f>IF(COUNTA(A876:F876)=0,"",IF(OR(A876="",B876="",C876="",D876="",NOT(ISNUMBER(E876))),"Missing / invalid input",IF(G876&gt;1,"Duplicate key in this source",IF(H876=0,"Missing in other source",IF(H876&gt;1,"Duplicate in other source",IF(SUMIFS('External Data'!$M$2:$M$1001,'External Data'!$L$2:$L$1001,SUBSTITUTE(SUBSTITUTE(SUBSTITUTE(L876,"~","~~"),"*","~*"),"?","~?"))&lt;&gt;1,"Other amount is invalid",IF(J876&lt;&gt;0,"Amount differs","Matched")))))))</x:f>
      </x:c>
      <x:c r="L876" t="str">
        <x:f>IF(COUNTA(A876:F876)=0,"",LEN(A876)&amp;":"&amp;A876&amp;LEN(B876)&amp;":"&amp;B876&amp;LEN(C876)&amp;":"&amp;C876&amp;LEN(D876)&amp;":"&amp;D876)</x:f>
      </x:c>
      <x:c r="M876" t="str">
        <x:f>IF(COUNTA(A876:F876)=0,"",IF(ISNUMBER(E876),1,0))</x:f>
      </x:c>
    </x:row>
    <x:row r="877">
      <x:c r="A877" s="11"/>
      <x:c r="B877" s="11"/>
      <x:c r="C877" s="11"/>
      <x:c r="D877" s="11"/>
      <x:c r="E877" s="12"/>
      <x:c r="F877" s="10"/>
      <x:c r="G877" s="2" t="str">
        <x:f>IF(COUNTA(A877:F877)=0,"",COUNTIFS('App Data'!$L$2:$L$1001,SUBSTITUTE(SUBSTITUTE(SUBSTITUTE(L877,"~","~~"),"*","~*"),"?","~?")))</x:f>
      </x:c>
      <x:c r="H877" s="2" t="str">
        <x:f>IF(COUNTA(A877:F877)=0,"",COUNTIFS('External Data'!$L$2:$L$1001,SUBSTITUTE(SUBSTITUTE(SUBSTITUTE(L877,"~","~~"),"*","~*"),"?","~?")))</x:f>
      </x:c>
      <x:c r="I877" s="13" t="str">
        <x:f>IF(OR(H877&lt;&gt;1,G877&lt;&gt;1),"",SUMIFS('External Data'!$E$2:$E$1001,'External Data'!$L$2:$L$1001,SUBSTITUTE(SUBSTITUTE(SUBSTITUTE(L877,"~","~~"),"*","~*"),"?","~?")))</x:f>
      </x:c>
      <x:c r="J877" s="13" t="str">
        <x:f>IF(OR(NOT(ISNUMBER(E877)),NOT(ISNUMBER(I877))),"",ROUND(E877-I877,2))</x:f>
      </x:c>
      <x:c r="K877" s="2" t="str">
        <x:f>IF(COUNTA(A877:F877)=0,"",IF(OR(A877="",B877="",C877="",D877="",NOT(ISNUMBER(E877))),"Missing / invalid input",IF(G877&gt;1,"Duplicate key in this source",IF(H877=0,"Missing in other source",IF(H877&gt;1,"Duplicate in other source",IF(SUMIFS('External Data'!$M$2:$M$1001,'External Data'!$L$2:$L$1001,SUBSTITUTE(SUBSTITUTE(SUBSTITUTE(L877,"~","~~"),"*","~*"),"?","~?"))&lt;&gt;1,"Other amount is invalid",IF(J877&lt;&gt;0,"Amount differs","Matched")))))))</x:f>
      </x:c>
      <x:c r="L877" t="str">
        <x:f>IF(COUNTA(A877:F877)=0,"",LEN(A877)&amp;":"&amp;A877&amp;LEN(B877)&amp;":"&amp;B877&amp;LEN(C877)&amp;":"&amp;C877&amp;LEN(D877)&amp;":"&amp;D877)</x:f>
      </x:c>
      <x:c r="M877" t="str">
        <x:f>IF(COUNTA(A877:F877)=0,"",IF(ISNUMBER(E877),1,0))</x:f>
      </x:c>
    </x:row>
    <x:row r="878">
      <x:c r="A878" s="11"/>
      <x:c r="B878" s="11"/>
      <x:c r="C878" s="11"/>
      <x:c r="D878" s="11"/>
      <x:c r="E878" s="12"/>
      <x:c r="F878" s="10"/>
      <x:c r="G878" s="2" t="str">
        <x:f>IF(COUNTA(A878:F878)=0,"",COUNTIFS('App Data'!$L$2:$L$1001,SUBSTITUTE(SUBSTITUTE(SUBSTITUTE(L878,"~","~~"),"*","~*"),"?","~?")))</x:f>
      </x:c>
      <x:c r="H878" s="2" t="str">
        <x:f>IF(COUNTA(A878:F878)=0,"",COUNTIFS('External Data'!$L$2:$L$1001,SUBSTITUTE(SUBSTITUTE(SUBSTITUTE(L878,"~","~~"),"*","~*"),"?","~?")))</x:f>
      </x:c>
      <x:c r="I878" s="13" t="str">
        <x:f>IF(OR(H878&lt;&gt;1,G878&lt;&gt;1),"",SUMIFS('External Data'!$E$2:$E$1001,'External Data'!$L$2:$L$1001,SUBSTITUTE(SUBSTITUTE(SUBSTITUTE(L878,"~","~~"),"*","~*"),"?","~?")))</x:f>
      </x:c>
      <x:c r="J878" s="13" t="str">
        <x:f>IF(OR(NOT(ISNUMBER(E878)),NOT(ISNUMBER(I878))),"",ROUND(E878-I878,2))</x:f>
      </x:c>
      <x:c r="K878" s="2" t="str">
        <x:f>IF(COUNTA(A878:F878)=0,"",IF(OR(A878="",B878="",C878="",D878="",NOT(ISNUMBER(E878))),"Missing / invalid input",IF(G878&gt;1,"Duplicate key in this source",IF(H878=0,"Missing in other source",IF(H878&gt;1,"Duplicate in other source",IF(SUMIFS('External Data'!$M$2:$M$1001,'External Data'!$L$2:$L$1001,SUBSTITUTE(SUBSTITUTE(SUBSTITUTE(L878,"~","~~"),"*","~*"),"?","~?"))&lt;&gt;1,"Other amount is invalid",IF(J878&lt;&gt;0,"Amount differs","Matched")))))))</x:f>
      </x:c>
      <x:c r="L878" t="str">
        <x:f>IF(COUNTA(A878:F878)=0,"",LEN(A878)&amp;":"&amp;A878&amp;LEN(B878)&amp;":"&amp;B878&amp;LEN(C878)&amp;":"&amp;C878&amp;LEN(D878)&amp;":"&amp;D878)</x:f>
      </x:c>
      <x:c r="M878" t="str">
        <x:f>IF(COUNTA(A878:F878)=0,"",IF(ISNUMBER(E878),1,0))</x:f>
      </x:c>
    </x:row>
    <x:row r="879">
      <x:c r="A879" s="11"/>
      <x:c r="B879" s="11"/>
      <x:c r="C879" s="11"/>
      <x:c r="D879" s="11"/>
      <x:c r="E879" s="12"/>
      <x:c r="F879" s="10"/>
      <x:c r="G879" s="2" t="str">
        <x:f>IF(COUNTA(A879:F879)=0,"",COUNTIFS('App Data'!$L$2:$L$1001,SUBSTITUTE(SUBSTITUTE(SUBSTITUTE(L879,"~","~~"),"*","~*"),"?","~?")))</x:f>
      </x:c>
      <x:c r="H879" s="2" t="str">
        <x:f>IF(COUNTA(A879:F879)=0,"",COUNTIFS('External Data'!$L$2:$L$1001,SUBSTITUTE(SUBSTITUTE(SUBSTITUTE(L879,"~","~~"),"*","~*"),"?","~?")))</x:f>
      </x:c>
      <x:c r="I879" s="13" t="str">
        <x:f>IF(OR(H879&lt;&gt;1,G879&lt;&gt;1),"",SUMIFS('External Data'!$E$2:$E$1001,'External Data'!$L$2:$L$1001,SUBSTITUTE(SUBSTITUTE(SUBSTITUTE(L879,"~","~~"),"*","~*"),"?","~?")))</x:f>
      </x:c>
      <x:c r="J879" s="13" t="str">
        <x:f>IF(OR(NOT(ISNUMBER(E879)),NOT(ISNUMBER(I879))),"",ROUND(E879-I879,2))</x:f>
      </x:c>
      <x:c r="K879" s="2" t="str">
        <x:f>IF(COUNTA(A879:F879)=0,"",IF(OR(A879="",B879="",C879="",D879="",NOT(ISNUMBER(E879))),"Missing / invalid input",IF(G879&gt;1,"Duplicate key in this source",IF(H879=0,"Missing in other source",IF(H879&gt;1,"Duplicate in other source",IF(SUMIFS('External Data'!$M$2:$M$1001,'External Data'!$L$2:$L$1001,SUBSTITUTE(SUBSTITUTE(SUBSTITUTE(L879,"~","~~"),"*","~*"),"?","~?"))&lt;&gt;1,"Other amount is invalid",IF(J879&lt;&gt;0,"Amount differs","Matched")))))))</x:f>
      </x:c>
      <x:c r="L879" t="str">
        <x:f>IF(COUNTA(A879:F879)=0,"",LEN(A879)&amp;":"&amp;A879&amp;LEN(B879)&amp;":"&amp;B879&amp;LEN(C879)&amp;":"&amp;C879&amp;LEN(D879)&amp;":"&amp;D879)</x:f>
      </x:c>
      <x:c r="M879" t="str">
        <x:f>IF(COUNTA(A879:F879)=0,"",IF(ISNUMBER(E879),1,0))</x:f>
      </x:c>
    </x:row>
    <x:row r="880">
      <x:c r="A880" s="11"/>
      <x:c r="B880" s="11"/>
      <x:c r="C880" s="11"/>
      <x:c r="D880" s="11"/>
      <x:c r="E880" s="12"/>
      <x:c r="F880" s="10"/>
      <x:c r="G880" s="2" t="str">
        <x:f>IF(COUNTA(A880:F880)=0,"",COUNTIFS('App Data'!$L$2:$L$1001,SUBSTITUTE(SUBSTITUTE(SUBSTITUTE(L880,"~","~~"),"*","~*"),"?","~?")))</x:f>
      </x:c>
      <x:c r="H880" s="2" t="str">
        <x:f>IF(COUNTA(A880:F880)=0,"",COUNTIFS('External Data'!$L$2:$L$1001,SUBSTITUTE(SUBSTITUTE(SUBSTITUTE(L880,"~","~~"),"*","~*"),"?","~?")))</x:f>
      </x:c>
      <x:c r="I880" s="13" t="str">
        <x:f>IF(OR(H880&lt;&gt;1,G880&lt;&gt;1),"",SUMIFS('External Data'!$E$2:$E$1001,'External Data'!$L$2:$L$1001,SUBSTITUTE(SUBSTITUTE(SUBSTITUTE(L880,"~","~~"),"*","~*"),"?","~?")))</x:f>
      </x:c>
      <x:c r="J880" s="13" t="str">
        <x:f>IF(OR(NOT(ISNUMBER(E880)),NOT(ISNUMBER(I880))),"",ROUND(E880-I880,2))</x:f>
      </x:c>
      <x:c r="K880" s="2" t="str">
        <x:f>IF(COUNTA(A880:F880)=0,"",IF(OR(A880="",B880="",C880="",D880="",NOT(ISNUMBER(E880))),"Missing / invalid input",IF(G880&gt;1,"Duplicate key in this source",IF(H880=0,"Missing in other source",IF(H880&gt;1,"Duplicate in other source",IF(SUMIFS('External Data'!$M$2:$M$1001,'External Data'!$L$2:$L$1001,SUBSTITUTE(SUBSTITUTE(SUBSTITUTE(L880,"~","~~"),"*","~*"),"?","~?"))&lt;&gt;1,"Other amount is invalid",IF(J880&lt;&gt;0,"Amount differs","Matched")))))))</x:f>
      </x:c>
      <x:c r="L880" t="str">
        <x:f>IF(COUNTA(A880:F880)=0,"",LEN(A880)&amp;":"&amp;A880&amp;LEN(B880)&amp;":"&amp;B880&amp;LEN(C880)&amp;":"&amp;C880&amp;LEN(D880)&amp;":"&amp;D880)</x:f>
      </x:c>
      <x:c r="M880" t="str">
        <x:f>IF(COUNTA(A880:F880)=0,"",IF(ISNUMBER(E880),1,0))</x:f>
      </x:c>
    </x:row>
    <x:row r="881">
      <x:c r="A881" s="11"/>
      <x:c r="B881" s="11"/>
      <x:c r="C881" s="11"/>
      <x:c r="D881" s="11"/>
      <x:c r="E881" s="12"/>
      <x:c r="F881" s="10"/>
      <x:c r="G881" s="2" t="str">
        <x:f>IF(COUNTA(A881:F881)=0,"",COUNTIFS('App Data'!$L$2:$L$1001,SUBSTITUTE(SUBSTITUTE(SUBSTITUTE(L881,"~","~~"),"*","~*"),"?","~?")))</x:f>
      </x:c>
      <x:c r="H881" s="2" t="str">
        <x:f>IF(COUNTA(A881:F881)=0,"",COUNTIFS('External Data'!$L$2:$L$1001,SUBSTITUTE(SUBSTITUTE(SUBSTITUTE(L881,"~","~~"),"*","~*"),"?","~?")))</x:f>
      </x:c>
      <x:c r="I881" s="13" t="str">
        <x:f>IF(OR(H881&lt;&gt;1,G881&lt;&gt;1),"",SUMIFS('External Data'!$E$2:$E$1001,'External Data'!$L$2:$L$1001,SUBSTITUTE(SUBSTITUTE(SUBSTITUTE(L881,"~","~~"),"*","~*"),"?","~?")))</x:f>
      </x:c>
      <x:c r="J881" s="13" t="str">
        <x:f>IF(OR(NOT(ISNUMBER(E881)),NOT(ISNUMBER(I881))),"",ROUND(E881-I881,2))</x:f>
      </x:c>
      <x:c r="K881" s="2" t="str">
        <x:f>IF(COUNTA(A881:F881)=0,"",IF(OR(A881="",B881="",C881="",D881="",NOT(ISNUMBER(E881))),"Missing / invalid input",IF(G881&gt;1,"Duplicate key in this source",IF(H881=0,"Missing in other source",IF(H881&gt;1,"Duplicate in other source",IF(SUMIFS('External Data'!$M$2:$M$1001,'External Data'!$L$2:$L$1001,SUBSTITUTE(SUBSTITUTE(SUBSTITUTE(L881,"~","~~"),"*","~*"),"?","~?"))&lt;&gt;1,"Other amount is invalid",IF(J881&lt;&gt;0,"Amount differs","Matched")))))))</x:f>
      </x:c>
      <x:c r="L881" t="str">
        <x:f>IF(COUNTA(A881:F881)=0,"",LEN(A881)&amp;":"&amp;A881&amp;LEN(B881)&amp;":"&amp;B881&amp;LEN(C881)&amp;":"&amp;C881&amp;LEN(D881)&amp;":"&amp;D881)</x:f>
      </x:c>
      <x:c r="M881" t="str">
        <x:f>IF(COUNTA(A881:F881)=0,"",IF(ISNUMBER(E881),1,0))</x:f>
      </x:c>
    </x:row>
    <x:row r="882">
      <x:c r="A882" s="11"/>
      <x:c r="B882" s="11"/>
      <x:c r="C882" s="11"/>
      <x:c r="D882" s="11"/>
      <x:c r="E882" s="12"/>
      <x:c r="F882" s="10"/>
      <x:c r="G882" s="2" t="str">
        <x:f>IF(COUNTA(A882:F882)=0,"",COUNTIFS('App Data'!$L$2:$L$1001,SUBSTITUTE(SUBSTITUTE(SUBSTITUTE(L882,"~","~~"),"*","~*"),"?","~?")))</x:f>
      </x:c>
      <x:c r="H882" s="2" t="str">
        <x:f>IF(COUNTA(A882:F882)=0,"",COUNTIFS('External Data'!$L$2:$L$1001,SUBSTITUTE(SUBSTITUTE(SUBSTITUTE(L882,"~","~~"),"*","~*"),"?","~?")))</x:f>
      </x:c>
      <x:c r="I882" s="13" t="str">
        <x:f>IF(OR(H882&lt;&gt;1,G882&lt;&gt;1),"",SUMIFS('External Data'!$E$2:$E$1001,'External Data'!$L$2:$L$1001,SUBSTITUTE(SUBSTITUTE(SUBSTITUTE(L882,"~","~~"),"*","~*"),"?","~?")))</x:f>
      </x:c>
      <x:c r="J882" s="13" t="str">
        <x:f>IF(OR(NOT(ISNUMBER(E882)),NOT(ISNUMBER(I882))),"",ROUND(E882-I882,2))</x:f>
      </x:c>
      <x:c r="K882" s="2" t="str">
        <x:f>IF(COUNTA(A882:F882)=0,"",IF(OR(A882="",B882="",C882="",D882="",NOT(ISNUMBER(E882))),"Missing / invalid input",IF(G882&gt;1,"Duplicate key in this source",IF(H882=0,"Missing in other source",IF(H882&gt;1,"Duplicate in other source",IF(SUMIFS('External Data'!$M$2:$M$1001,'External Data'!$L$2:$L$1001,SUBSTITUTE(SUBSTITUTE(SUBSTITUTE(L882,"~","~~"),"*","~*"),"?","~?"))&lt;&gt;1,"Other amount is invalid",IF(J882&lt;&gt;0,"Amount differs","Matched")))))))</x:f>
      </x:c>
      <x:c r="L882" t="str">
        <x:f>IF(COUNTA(A882:F882)=0,"",LEN(A882)&amp;":"&amp;A882&amp;LEN(B882)&amp;":"&amp;B882&amp;LEN(C882)&amp;":"&amp;C882&amp;LEN(D882)&amp;":"&amp;D882)</x:f>
      </x:c>
      <x:c r="M882" t="str">
        <x:f>IF(COUNTA(A882:F882)=0,"",IF(ISNUMBER(E882),1,0))</x:f>
      </x:c>
    </x:row>
    <x:row r="883">
      <x:c r="A883" s="11"/>
      <x:c r="B883" s="11"/>
      <x:c r="C883" s="11"/>
      <x:c r="D883" s="11"/>
      <x:c r="E883" s="12"/>
      <x:c r="F883" s="10"/>
      <x:c r="G883" s="2" t="str">
        <x:f>IF(COUNTA(A883:F883)=0,"",COUNTIFS('App Data'!$L$2:$L$1001,SUBSTITUTE(SUBSTITUTE(SUBSTITUTE(L883,"~","~~"),"*","~*"),"?","~?")))</x:f>
      </x:c>
      <x:c r="H883" s="2" t="str">
        <x:f>IF(COUNTA(A883:F883)=0,"",COUNTIFS('External Data'!$L$2:$L$1001,SUBSTITUTE(SUBSTITUTE(SUBSTITUTE(L883,"~","~~"),"*","~*"),"?","~?")))</x:f>
      </x:c>
      <x:c r="I883" s="13" t="str">
        <x:f>IF(OR(H883&lt;&gt;1,G883&lt;&gt;1),"",SUMIFS('External Data'!$E$2:$E$1001,'External Data'!$L$2:$L$1001,SUBSTITUTE(SUBSTITUTE(SUBSTITUTE(L883,"~","~~"),"*","~*"),"?","~?")))</x:f>
      </x:c>
      <x:c r="J883" s="13" t="str">
        <x:f>IF(OR(NOT(ISNUMBER(E883)),NOT(ISNUMBER(I883))),"",ROUND(E883-I883,2))</x:f>
      </x:c>
      <x:c r="K883" s="2" t="str">
        <x:f>IF(COUNTA(A883:F883)=0,"",IF(OR(A883="",B883="",C883="",D883="",NOT(ISNUMBER(E883))),"Missing / invalid input",IF(G883&gt;1,"Duplicate key in this source",IF(H883=0,"Missing in other source",IF(H883&gt;1,"Duplicate in other source",IF(SUMIFS('External Data'!$M$2:$M$1001,'External Data'!$L$2:$L$1001,SUBSTITUTE(SUBSTITUTE(SUBSTITUTE(L883,"~","~~"),"*","~*"),"?","~?"))&lt;&gt;1,"Other amount is invalid",IF(J883&lt;&gt;0,"Amount differs","Matched")))))))</x:f>
      </x:c>
      <x:c r="L883" t="str">
        <x:f>IF(COUNTA(A883:F883)=0,"",LEN(A883)&amp;":"&amp;A883&amp;LEN(B883)&amp;":"&amp;B883&amp;LEN(C883)&amp;":"&amp;C883&amp;LEN(D883)&amp;":"&amp;D883)</x:f>
      </x:c>
      <x:c r="M883" t="str">
        <x:f>IF(COUNTA(A883:F883)=0,"",IF(ISNUMBER(E883),1,0))</x:f>
      </x:c>
    </x:row>
    <x:row r="884">
      <x:c r="A884" s="11"/>
      <x:c r="B884" s="11"/>
      <x:c r="C884" s="11"/>
      <x:c r="D884" s="11"/>
      <x:c r="E884" s="12"/>
      <x:c r="F884" s="10"/>
      <x:c r="G884" s="2" t="str">
        <x:f>IF(COUNTA(A884:F884)=0,"",COUNTIFS('App Data'!$L$2:$L$1001,SUBSTITUTE(SUBSTITUTE(SUBSTITUTE(L884,"~","~~"),"*","~*"),"?","~?")))</x:f>
      </x:c>
      <x:c r="H884" s="2" t="str">
        <x:f>IF(COUNTA(A884:F884)=0,"",COUNTIFS('External Data'!$L$2:$L$1001,SUBSTITUTE(SUBSTITUTE(SUBSTITUTE(L884,"~","~~"),"*","~*"),"?","~?")))</x:f>
      </x:c>
      <x:c r="I884" s="13" t="str">
        <x:f>IF(OR(H884&lt;&gt;1,G884&lt;&gt;1),"",SUMIFS('External Data'!$E$2:$E$1001,'External Data'!$L$2:$L$1001,SUBSTITUTE(SUBSTITUTE(SUBSTITUTE(L884,"~","~~"),"*","~*"),"?","~?")))</x:f>
      </x:c>
      <x:c r="J884" s="13" t="str">
        <x:f>IF(OR(NOT(ISNUMBER(E884)),NOT(ISNUMBER(I884))),"",ROUND(E884-I884,2))</x:f>
      </x:c>
      <x:c r="K884" s="2" t="str">
        <x:f>IF(COUNTA(A884:F884)=0,"",IF(OR(A884="",B884="",C884="",D884="",NOT(ISNUMBER(E884))),"Missing / invalid input",IF(G884&gt;1,"Duplicate key in this source",IF(H884=0,"Missing in other source",IF(H884&gt;1,"Duplicate in other source",IF(SUMIFS('External Data'!$M$2:$M$1001,'External Data'!$L$2:$L$1001,SUBSTITUTE(SUBSTITUTE(SUBSTITUTE(L884,"~","~~"),"*","~*"),"?","~?"))&lt;&gt;1,"Other amount is invalid",IF(J884&lt;&gt;0,"Amount differs","Matched")))))))</x:f>
      </x:c>
      <x:c r="L884" t="str">
        <x:f>IF(COUNTA(A884:F884)=0,"",LEN(A884)&amp;":"&amp;A884&amp;LEN(B884)&amp;":"&amp;B884&amp;LEN(C884)&amp;":"&amp;C884&amp;LEN(D884)&amp;":"&amp;D884)</x:f>
      </x:c>
      <x:c r="M884" t="str">
        <x:f>IF(COUNTA(A884:F884)=0,"",IF(ISNUMBER(E884),1,0))</x:f>
      </x:c>
    </x:row>
    <x:row r="885">
      <x:c r="A885" s="11"/>
      <x:c r="B885" s="11"/>
      <x:c r="C885" s="11"/>
      <x:c r="D885" s="11"/>
      <x:c r="E885" s="12"/>
      <x:c r="F885" s="10"/>
      <x:c r="G885" s="2" t="str">
        <x:f>IF(COUNTA(A885:F885)=0,"",COUNTIFS('App Data'!$L$2:$L$1001,SUBSTITUTE(SUBSTITUTE(SUBSTITUTE(L885,"~","~~"),"*","~*"),"?","~?")))</x:f>
      </x:c>
      <x:c r="H885" s="2" t="str">
        <x:f>IF(COUNTA(A885:F885)=0,"",COUNTIFS('External Data'!$L$2:$L$1001,SUBSTITUTE(SUBSTITUTE(SUBSTITUTE(L885,"~","~~"),"*","~*"),"?","~?")))</x:f>
      </x:c>
      <x:c r="I885" s="13" t="str">
        <x:f>IF(OR(H885&lt;&gt;1,G885&lt;&gt;1),"",SUMIFS('External Data'!$E$2:$E$1001,'External Data'!$L$2:$L$1001,SUBSTITUTE(SUBSTITUTE(SUBSTITUTE(L885,"~","~~"),"*","~*"),"?","~?")))</x:f>
      </x:c>
      <x:c r="J885" s="13" t="str">
        <x:f>IF(OR(NOT(ISNUMBER(E885)),NOT(ISNUMBER(I885))),"",ROUND(E885-I885,2))</x:f>
      </x:c>
      <x:c r="K885" s="2" t="str">
        <x:f>IF(COUNTA(A885:F885)=0,"",IF(OR(A885="",B885="",C885="",D885="",NOT(ISNUMBER(E885))),"Missing / invalid input",IF(G885&gt;1,"Duplicate key in this source",IF(H885=0,"Missing in other source",IF(H885&gt;1,"Duplicate in other source",IF(SUMIFS('External Data'!$M$2:$M$1001,'External Data'!$L$2:$L$1001,SUBSTITUTE(SUBSTITUTE(SUBSTITUTE(L885,"~","~~"),"*","~*"),"?","~?"))&lt;&gt;1,"Other amount is invalid",IF(J885&lt;&gt;0,"Amount differs","Matched")))))))</x:f>
      </x:c>
      <x:c r="L885" t="str">
        <x:f>IF(COUNTA(A885:F885)=0,"",LEN(A885)&amp;":"&amp;A885&amp;LEN(B885)&amp;":"&amp;B885&amp;LEN(C885)&amp;":"&amp;C885&amp;LEN(D885)&amp;":"&amp;D885)</x:f>
      </x:c>
      <x:c r="M885" t="str">
        <x:f>IF(COUNTA(A885:F885)=0,"",IF(ISNUMBER(E885),1,0))</x:f>
      </x:c>
    </x:row>
    <x:row r="886">
      <x:c r="A886" s="11"/>
      <x:c r="B886" s="11"/>
      <x:c r="C886" s="11"/>
      <x:c r="D886" s="11"/>
      <x:c r="E886" s="12"/>
      <x:c r="F886" s="10"/>
      <x:c r="G886" s="2" t="str">
        <x:f>IF(COUNTA(A886:F886)=0,"",COUNTIFS('App Data'!$L$2:$L$1001,SUBSTITUTE(SUBSTITUTE(SUBSTITUTE(L886,"~","~~"),"*","~*"),"?","~?")))</x:f>
      </x:c>
      <x:c r="H886" s="2" t="str">
        <x:f>IF(COUNTA(A886:F886)=0,"",COUNTIFS('External Data'!$L$2:$L$1001,SUBSTITUTE(SUBSTITUTE(SUBSTITUTE(L886,"~","~~"),"*","~*"),"?","~?")))</x:f>
      </x:c>
      <x:c r="I886" s="13" t="str">
        <x:f>IF(OR(H886&lt;&gt;1,G886&lt;&gt;1),"",SUMIFS('External Data'!$E$2:$E$1001,'External Data'!$L$2:$L$1001,SUBSTITUTE(SUBSTITUTE(SUBSTITUTE(L886,"~","~~"),"*","~*"),"?","~?")))</x:f>
      </x:c>
      <x:c r="J886" s="13" t="str">
        <x:f>IF(OR(NOT(ISNUMBER(E886)),NOT(ISNUMBER(I886))),"",ROUND(E886-I886,2))</x:f>
      </x:c>
      <x:c r="K886" s="2" t="str">
        <x:f>IF(COUNTA(A886:F886)=0,"",IF(OR(A886="",B886="",C886="",D886="",NOT(ISNUMBER(E886))),"Missing / invalid input",IF(G886&gt;1,"Duplicate key in this source",IF(H886=0,"Missing in other source",IF(H886&gt;1,"Duplicate in other source",IF(SUMIFS('External Data'!$M$2:$M$1001,'External Data'!$L$2:$L$1001,SUBSTITUTE(SUBSTITUTE(SUBSTITUTE(L886,"~","~~"),"*","~*"),"?","~?"))&lt;&gt;1,"Other amount is invalid",IF(J886&lt;&gt;0,"Amount differs","Matched")))))))</x:f>
      </x:c>
      <x:c r="L886" t="str">
        <x:f>IF(COUNTA(A886:F886)=0,"",LEN(A886)&amp;":"&amp;A886&amp;LEN(B886)&amp;":"&amp;B886&amp;LEN(C886)&amp;":"&amp;C886&amp;LEN(D886)&amp;":"&amp;D886)</x:f>
      </x:c>
      <x:c r="M886" t="str">
        <x:f>IF(COUNTA(A886:F886)=0,"",IF(ISNUMBER(E886),1,0))</x:f>
      </x:c>
    </x:row>
    <x:row r="887">
      <x:c r="A887" s="11"/>
      <x:c r="B887" s="11"/>
      <x:c r="C887" s="11"/>
      <x:c r="D887" s="11"/>
      <x:c r="E887" s="12"/>
      <x:c r="F887" s="10"/>
      <x:c r="G887" s="2" t="str">
        <x:f>IF(COUNTA(A887:F887)=0,"",COUNTIFS('App Data'!$L$2:$L$1001,SUBSTITUTE(SUBSTITUTE(SUBSTITUTE(L887,"~","~~"),"*","~*"),"?","~?")))</x:f>
      </x:c>
      <x:c r="H887" s="2" t="str">
        <x:f>IF(COUNTA(A887:F887)=0,"",COUNTIFS('External Data'!$L$2:$L$1001,SUBSTITUTE(SUBSTITUTE(SUBSTITUTE(L887,"~","~~"),"*","~*"),"?","~?")))</x:f>
      </x:c>
      <x:c r="I887" s="13" t="str">
        <x:f>IF(OR(H887&lt;&gt;1,G887&lt;&gt;1),"",SUMIFS('External Data'!$E$2:$E$1001,'External Data'!$L$2:$L$1001,SUBSTITUTE(SUBSTITUTE(SUBSTITUTE(L887,"~","~~"),"*","~*"),"?","~?")))</x:f>
      </x:c>
      <x:c r="J887" s="13" t="str">
        <x:f>IF(OR(NOT(ISNUMBER(E887)),NOT(ISNUMBER(I887))),"",ROUND(E887-I887,2))</x:f>
      </x:c>
      <x:c r="K887" s="2" t="str">
        <x:f>IF(COUNTA(A887:F887)=0,"",IF(OR(A887="",B887="",C887="",D887="",NOT(ISNUMBER(E887))),"Missing / invalid input",IF(G887&gt;1,"Duplicate key in this source",IF(H887=0,"Missing in other source",IF(H887&gt;1,"Duplicate in other source",IF(SUMIFS('External Data'!$M$2:$M$1001,'External Data'!$L$2:$L$1001,SUBSTITUTE(SUBSTITUTE(SUBSTITUTE(L887,"~","~~"),"*","~*"),"?","~?"))&lt;&gt;1,"Other amount is invalid",IF(J887&lt;&gt;0,"Amount differs","Matched")))))))</x:f>
      </x:c>
      <x:c r="L887" t="str">
        <x:f>IF(COUNTA(A887:F887)=0,"",LEN(A887)&amp;":"&amp;A887&amp;LEN(B887)&amp;":"&amp;B887&amp;LEN(C887)&amp;":"&amp;C887&amp;LEN(D887)&amp;":"&amp;D887)</x:f>
      </x:c>
      <x:c r="M887" t="str">
        <x:f>IF(COUNTA(A887:F887)=0,"",IF(ISNUMBER(E887),1,0))</x:f>
      </x:c>
    </x:row>
    <x:row r="888">
      <x:c r="A888" s="11"/>
      <x:c r="B888" s="11"/>
      <x:c r="C888" s="11"/>
      <x:c r="D888" s="11"/>
      <x:c r="E888" s="12"/>
      <x:c r="F888" s="10"/>
      <x:c r="G888" s="2" t="str">
        <x:f>IF(COUNTA(A888:F888)=0,"",COUNTIFS('App Data'!$L$2:$L$1001,SUBSTITUTE(SUBSTITUTE(SUBSTITUTE(L888,"~","~~"),"*","~*"),"?","~?")))</x:f>
      </x:c>
      <x:c r="H888" s="2" t="str">
        <x:f>IF(COUNTA(A888:F888)=0,"",COUNTIFS('External Data'!$L$2:$L$1001,SUBSTITUTE(SUBSTITUTE(SUBSTITUTE(L888,"~","~~"),"*","~*"),"?","~?")))</x:f>
      </x:c>
      <x:c r="I888" s="13" t="str">
        <x:f>IF(OR(H888&lt;&gt;1,G888&lt;&gt;1),"",SUMIFS('External Data'!$E$2:$E$1001,'External Data'!$L$2:$L$1001,SUBSTITUTE(SUBSTITUTE(SUBSTITUTE(L888,"~","~~"),"*","~*"),"?","~?")))</x:f>
      </x:c>
      <x:c r="J888" s="13" t="str">
        <x:f>IF(OR(NOT(ISNUMBER(E888)),NOT(ISNUMBER(I888))),"",ROUND(E888-I888,2))</x:f>
      </x:c>
      <x:c r="K888" s="2" t="str">
        <x:f>IF(COUNTA(A888:F888)=0,"",IF(OR(A888="",B888="",C888="",D888="",NOT(ISNUMBER(E888))),"Missing / invalid input",IF(G888&gt;1,"Duplicate key in this source",IF(H888=0,"Missing in other source",IF(H888&gt;1,"Duplicate in other source",IF(SUMIFS('External Data'!$M$2:$M$1001,'External Data'!$L$2:$L$1001,SUBSTITUTE(SUBSTITUTE(SUBSTITUTE(L888,"~","~~"),"*","~*"),"?","~?"))&lt;&gt;1,"Other amount is invalid",IF(J888&lt;&gt;0,"Amount differs","Matched")))))))</x:f>
      </x:c>
      <x:c r="L888" t="str">
        <x:f>IF(COUNTA(A888:F888)=0,"",LEN(A888)&amp;":"&amp;A888&amp;LEN(B888)&amp;":"&amp;B888&amp;LEN(C888)&amp;":"&amp;C888&amp;LEN(D888)&amp;":"&amp;D888)</x:f>
      </x:c>
      <x:c r="M888" t="str">
        <x:f>IF(COUNTA(A888:F888)=0,"",IF(ISNUMBER(E888),1,0))</x:f>
      </x:c>
    </x:row>
    <x:row r="889">
      <x:c r="A889" s="11"/>
      <x:c r="B889" s="11"/>
      <x:c r="C889" s="11"/>
      <x:c r="D889" s="11"/>
      <x:c r="E889" s="12"/>
      <x:c r="F889" s="10"/>
      <x:c r="G889" s="2" t="str">
        <x:f>IF(COUNTA(A889:F889)=0,"",COUNTIFS('App Data'!$L$2:$L$1001,SUBSTITUTE(SUBSTITUTE(SUBSTITUTE(L889,"~","~~"),"*","~*"),"?","~?")))</x:f>
      </x:c>
      <x:c r="H889" s="2" t="str">
        <x:f>IF(COUNTA(A889:F889)=0,"",COUNTIFS('External Data'!$L$2:$L$1001,SUBSTITUTE(SUBSTITUTE(SUBSTITUTE(L889,"~","~~"),"*","~*"),"?","~?")))</x:f>
      </x:c>
      <x:c r="I889" s="13" t="str">
        <x:f>IF(OR(H889&lt;&gt;1,G889&lt;&gt;1),"",SUMIFS('External Data'!$E$2:$E$1001,'External Data'!$L$2:$L$1001,SUBSTITUTE(SUBSTITUTE(SUBSTITUTE(L889,"~","~~"),"*","~*"),"?","~?")))</x:f>
      </x:c>
      <x:c r="J889" s="13" t="str">
        <x:f>IF(OR(NOT(ISNUMBER(E889)),NOT(ISNUMBER(I889))),"",ROUND(E889-I889,2))</x:f>
      </x:c>
      <x:c r="K889" s="2" t="str">
        <x:f>IF(COUNTA(A889:F889)=0,"",IF(OR(A889="",B889="",C889="",D889="",NOT(ISNUMBER(E889))),"Missing / invalid input",IF(G889&gt;1,"Duplicate key in this source",IF(H889=0,"Missing in other source",IF(H889&gt;1,"Duplicate in other source",IF(SUMIFS('External Data'!$M$2:$M$1001,'External Data'!$L$2:$L$1001,SUBSTITUTE(SUBSTITUTE(SUBSTITUTE(L889,"~","~~"),"*","~*"),"?","~?"))&lt;&gt;1,"Other amount is invalid",IF(J889&lt;&gt;0,"Amount differs","Matched")))))))</x:f>
      </x:c>
      <x:c r="L889" t="str">
        <x:f>IF(COUNTA(A889:F889)=0,"",LEN(A889)&amp;":"&amp;A889&amp;LEN(B889)&amp;":"&amp;B889&amp;LEN(C889)&amp;":"&amp;C889&amp;LEN(D889)&amp;":"&amp;D889)</x:f>
      </x:c>
      <x:c r="M889" t="str">
        <x:f>IF(COUNTA(A889:F889)=0,"",IF(ISNUMBER(E889),1,0))</x:f>
      </x:c>
    </x:row>
    <x:row r="890">
      <x:c r="A890" s="11"/>
      <x:c r="B890" s="11"/>
      <x:c r="C890" s="11"/>
      <x:c r="D890" s="11"/>
      <x:c r="E890" s="12"/>
      <x:c r="F890" s="10"/>
      <x:c r="G890" s="2" t="str">
        <x:f>IF(COUNTA(A890:F890)=0,"",COUNTIFS('App Data'!$L$2:$L$1001,SUBSTITUTE(SUBSTITUTE(SUBSTITUTE(L890,"~","~~"),"*","~*"),"?","~?")))</x:f>
      </x:c>
      <x:c r="H890" s="2" t="str">
        <x:f>IF(COUNTA(A890:F890)=0,"",COUNTIFS('External Data'!$L$2:$L$1001,SUBSTITUTE(SUBSTITUTE(SUBSTITUTE(L890,"~","~~"),"*","~*"),"?","~?")))</x:f>
      </x:c>
      <x:c r="I890" s="13" t="str">
        <x:f>IF(OR(H890&lt;&gt;1,G890&lt;&gt;1),"",SUMIFS('External Data'!$E$2:$E$1001,'External Data'!$L$2:$L$1001,SUBSTITUTE(SUBSTITUTE(SUBSTITUTE(L890,"~","~~"),"*","~*"),"?","~?")))</x:f>
      </x:c>
      <x:c r="J890" s="13" t="str">
        <x:f>IF(OR(NOT(ISNUMBER(E890)),NOT(ISNUMBER(I890))),"",ROUND(E890-I890,2))</x:f>
      </x:c>
      <x:c r="K890" s="2" t="str">
        <x:f>IF(COUNTA(A890:F890)=0,"",IF(OR(A890="",B890="",C890="",D890="",NOT(ISNUMBER(E890))),"Missing / invalid input",IF(G890&gt;1,"Duplicate key in this source",IF(H890=0,"Missing in other source",IF(H890&gt;1,"Duplicate in other source",IF(SUMIFS('External Data'!$M$2:$M$1001,'External Data'!$L$2:$L$1001,SUBSTITUTE(SUBSTITUTE(SUBSTITUTE(L890,"~","~~"),"*","~*"),"?","~?"))&lt;&gt;1,"Other amount is invalid",IF(J890&lt;&gt;0,"Amount differs","Matched")))))))</x:f>
      </x:c>
      <x:c r="L890" t="str">
        <x:f>IF(COUNTA(A890:F890)=0,"",LEN(A890)&amp;":"&amp;A890&amp;LEN(B890)&amp;":"&amp;B890&amp;LEN(C890)&amp;":"&amp;C890&amp;LEN(D890)&amp;":"&amp;D890)</x:f>
      </x:c>
      <x:c r="M890" t="str">
        <x:f>IF(COUNTA(A890:F890)=0,"",IF(ISNUMBER(E890),1,0))</x:f>
      </x:c>
    </x:row>
    <x:row r="891">
      <x:c r="A891" s="11"/>
      <x:c r="B891" s="11"/>
      <x:c r="C891" s="11"/>
      <x:c r="D891" s="11"/>
      <x:c r="E891" s="12"/>
      <x:c r="F891" s="10"/>
      <x:c r="G891" s="2" t="str">
        <x:f>IF(COUNTA(A891:F891)=0,"",COUNTIFS('App Data'!$L$2:$L$1001,SUBSTITUTE(SUBSTITUTE(SUBSTITUTE(L891,"~","~~"),"*","~*"),"?","~?")))</x:f>
      </x:c>
      <x:c r="H891" s="2" t="str">
        <x:f>IF(COUNTA(A891:F891)=0,"",COUNTIFS('External Data'!$L$2:$L$1001,SUBSTITUTE(SUBSTITUTE(SUBSTITUTE(L891,"~","~~"),"*","~*"),"?","~?")))</x:f>
      </x:c>
      <x:c r="I891" s="13" t="str">
        <x:f>IF(OR(H891&lt;&gt;1,G891&lt;&gt;1),"",SUMIFS('External Data'!$E$2:$E$1001,'External Data'!$L$2:$L$1001,SUBSTITUTE(SUBSTITUTE(SUBSTITUTE(L891,"~","~~"),"*","~*"),"?","~?")))</x:f>
      </x:c>
      <x:c r="J891" s="13" t="str">
        <x:f>IF(OR(NOT(ISNUMBER(E891)),NOT(ISNUMBER(I891))),"",ROUND(E891-I891,2))</x:f>
      </x:c>
      <x:c r="K891" s="2" t="str">
        <x:f>IF(COUNTA(A891:F891)=0,"",IF(OR(A891="",B891="",C891="",D891="",NOT(ISNUMBER(E891))),"Missing / invalid input",IF(G891&gt;1,"Duplicate key in this source",IF(H891=0,"Missing in other source",IF(H891&gt;1,"Duplicate in other source",IF(SUMIFS('External Data'!$M$2:$M$1001,'External Data'!$L$2:$L$1001,SUBSTITUTE(SUBSTITUTE(SUBSTITUTE(L891,"~","~~"),"*","~*"),"?","~?"))&lt;&gt;1,"Other amount is invalid",IF(J891&lt;&gt;0,"Amount differs","Matched")))))))</x:f>
      </x:c>
      <x:c r="L891" t="str">
        <x:f>IF(COUNTA(A891:F891)=0,"",LEN(A891)&amp;":"&amp;A891&amp;LEN(B891)&amp;":"&amp;B891&amp;LEN(C891)&amp;":"&amp;C891&amp;LEN(D891)&amp;":"&amp;D891)</x:f>
      </x:c>
      <x:c r="M891" t="str">
        <x:f>IF(COUNTA(A891:F891)=0,"",IF(ISNUMBER(E891),1,0))</x:f>
      </x:c>
    </x:row>
    <x:row r="892">
      <x:c r="A892" s="11"/>
      <x:c r="B892" s="11"/>
      <x:c r="C892" s="11"/>
      <x:c r="D892" s="11"/>
      <x:c r="E892" s="12"/>
      <x:c r="F892" s="10"/>
      <x:c r="G892" s="2" t="str">
        <x:f>IF(COUNTA(A892:F892)=0,"",COUNTIFS('App Data'!$L$2:$L$1001,SUBSTITUTE(SUBSTITUTE(SUBSTITUTE(L892,"~","~~"),"*","~*"),"?","~?")))</x:f>
      </x:c>
      <x:c r="H892" s="2" t="str">
        <x:f>IF(COUNTA(A892:F892)=0,"",COUNTIFS('External Data'!$L$2:$L$1001,SUBSTITUTE(SUBSTITUTE(SUBSTITUTE(L892,"~","~~"),"*","~*"),"?","~?")))</x:f>
      </x:c>
      <x:c r="I892" s="13" t="str">
        <x:f>IF(OR(H892&lt;&gt;1,G892&lt;&gt;1),"",SUMIFS('External Data'!$E$2:$E$1001,'External Data'!$L$2:$L$1001,SUBSTITUTE(SUBSTITUTE(SUBSTITUTE(L892,"~","~~"),"*","~*"),"?","~?")))</x:f>
      </x:c>
      <x:c r="J892" s="13" t="str">
        <x:f>IF(OR(NOT(ISNUMBER(E892)),NOT(ISNUMBER(I892))),"",ROUND(E892-I892,2))</x:f>
      </x:c>
      <x:c r="K892" s="2" t="str">
        <x:f>IF(COUNTA(A892:F892)=0,"",IF(OR(A892="",B892="",C892="",D892="",NOT(ISNUMBER(E892))),"Missing / invalid input",IF(G892&gt;1,"Duplicate key in this source",IF(H892=0,"Missing in other source",IF(H892&gt;1,"Duplicate in other source",IF(SUMIFS('External Data'!$M$2:$M$1001,'External Data'!$L$2:$L$1001,SUBSTITUTE(SUBSTITUTE(SUBSTITUTE(L892,"~","~~"),"*","~*"),"?","~?"))&lt;&gt;1,"Other amount is invalid",IF(J892&lt;&gt;0,"Amount differs","Matched")))))))</x:f>
      </x:c>
      <x:c r="L892" t="str">
        <x:f>IF(COUNTA(A892:F892)=0,"",LEN(A892)&amp;":"&amp;A892&amp;LEN(B892)&amp;":"&amp;B892&amp;LEN(C892)&amp;":"&amp;C892&amp;LEN(D892)&amp;":"&amp;D892)</x:f>
      </x:c>
      <x:c r="M892" t="str">
        <x:f>IF(COUNTA(A892:F892)=0,"",IF(ISNUMBER(E892),1,0))</x:f>
      </x:c>
    </x:row>
    <x:row r="893">
      <x:c r="A893" s="11"/>
      <x:c r="B893" s="11"/>
      <x:c r="C893" s="11"/>
      <x:c r="D893" s="11"/>
      <x:c r="E893" s="12"/>
      <x:c r="F893" s="10"/>
      <x:c r="G893" s="2" t="str">
        <x:f>IF(COUNTA(A893:F893)=0,"",COUNTIFS('App Data'!$L$2:$L$1001,SUBSTITUTE(SUBSTITUTE(SUBSTITUTE(L893,"~","~~"),"*","~*"),"?","~?")))</x:f>
      </x:c>
      <x:c r="H893" s="2" t="str">
        <x:f>IF(COUNTA(A893:F893)=0,"",COUNTIFS('External Data'!$L$2:$L$1001,SUBSTITUTE(SUBSTITUTE(SUBSTITUTE(L893,"~","~~"),"*","~*"),"?","~?")))</x:f>
      </x:c>
      <x:c r="I893" s="13" t="str">
        <x:f>IF(OR(H893&lt;&gt;1,G893&lt;&gt;1),"",SUMIFS('External Data'!$E$2:$E$1001,'External Data'!$L$2:$L$1001,SUBSTITUTE(SUBSTITUTE(SUBSTITUTE(L893,"~","~~"),"*","~*"),"?","~?")))</x:f>
      </x:c>
      <x:c r="J893" s="13" t="str">
        <x:f>IF(OR(NOT(ISNUMBER(E893)),NOT(ISNUMBER(I893))),"",ROUND(E893-I893,2))</x:f>
      </x:c>
      <x:c r="K893" s="2" t="str">
        <x:f>IF(COUNTA(A893:F893)=0,"",IF(OR(A893="",B893="",C893="",D893="",NOT(ISNUMBER(E893))),"Missing / invalid input",IF(G893&gt;1,"Duplicate key in this source",IF(H893=0,"Missing in other source",IF(H893&gt;1,"Duplicate in other source",IF(SUMIFS('External Data'!$M$2:$M$1001,'External Data'!$L$2:$L$1001,SUBSTITUTE(SUBSTITUTE(SUBSTITUTE(L893,"~","~~"),"*","~*"),"?","~?"))&lt;&gt;1,"Other amount is invalid",IF(J893&lt;&gt;0,"Amount differs","Matched")))))))</x:f>
      </x:c>
      <x:c r="L893" t="str">
        <x:f>IF(COUNTA(A893:F893)=0,"",LEN(A893)&amp;":"&amp;A893&amp;LEN(B893)&amp;":"&amp;B893&amp;LEN(C893)&amp;":"&amp;C893&amp;LEN(D893)&amp;":"&amp;D893)</x:f>
      </x:c>
      <x:c r="M893" t="str">
        <x:f>IF(COUNTA(A893:F893)=0,"",IF(ISNUMBER(E893),1,0))</x:f>
      </x:c>
    </x:row>
    <x:row r="894">
      <x:c r="A894" s="11"/>
      <x:c r="B894" s="11"/>
      <x:c r="C894" s="11"/>
      <x:c r="D894" s="11"/>
      <x:c r="E894" s="12"/>
      <x:c r="F894" s="10"/>
      <x:c r="G894" s="2" t="str">
        <x:f>IF(COUNTA(A894:F894)=0,"",COUNTIFS('App Data'!$L$2:$L$1001,SUBSTITUTE(SUBSTITUTE(SUBSTITUTE(L894,"~","~~"),"*","~*"),"?","~?")))</x:f>
      </x:c>
      <x:c r="H894" s="2" t="str">
        <x:f>IF(COUNTA(A894:F894)=0,"",COUNTIFS('External Data'!$L$2:$L$1001,SUBSTITUTE(SUBSTITUTE(SUBSTITUTE(L894,"~","~~"),"*","~*"),"?","~?")))</x:f>
      </x:c>
      <x:c r="I894" s="13" t="str">
        <x:f>IF(OR(H894&lt;&gt;1,G894&lt;&gt;1),"",SUMIFS('External Data'!$E$2:$E$1001,'External Data'!$L$2:$L$1001,SUBSTITUTE(SUBSTITUTE(SUBSTITUTE(L894,"~","~~"),"*","~*"),"?","~?")))</x:f>
      </x:c>
      <x:c r="J894" s="13" t="str">
        <x:f>IF(OR(NOT(ISNUMBER(E894)),NOT(ISNUMBER(I894))),"",ROUND(E894-I894,2))</x:f>
      </x:c>
      <x:c r="K894" s="2" t="str">
        <x:f>IF(COUNTA(A894:F894)=0,"",IF(OR(A894="",B894="",C894="",D894="",NOT(ISNUMBER(E894))),"Missing / invalid input",IF(G894&gt;1,"Duplicate key in this source",IF(H894=0,"Missing in other source",IF(H894&gt;1,"Duplicate in other source",IF(SUMIFS('External Data'!$M$2:$M$1001,'External Data'!$L$2:$L$1001,SUBSTITUTE(SUBSTITUTE(SUBSTITUTE(L894,"~","~~"),"*","~*"),"?","~?"))&lt;&gt;1,"Other amount is invalid",IF(J894&lt;&gt;0,"Amount differs","Matched")))))))</x:f>
      </x:c>
      <x:c r="L894" t="str">
        <x:f>IF(COUNTA(A894:F894)=0,"",LEN(A894)&amp;":"&amp;A894&amp;LEN(B894)&amp;":"&amp;B894&amp;LEN(C894)&amp;":"&amp;C894&amp;LEN(D894)&amp;":"&amp;D894)</x:f>
      </x:c>
      <x:c r="M894" t="str">
        <x:f>IF(COUNTA(A894:F894)=0,"",IF(ISNUMBER(E894),1,0))</x:f>
      </x:c>
    </x:row>
    <x:row r="895">
      <x:c r="A895" s="11"/>
      <x:c r="B895" s="11"/>
      <x:c r="C895" s="11"/>
      <x:c r="D895" s="11"/>
      <x:c r="E895" s="12"/>
      <x:c r="F895" s="10"/>
      <x:c r="G895" s="2" t="str">
        <x:f>IF(COUNTA(A895:F895)=0,"",COUNTIFS('App Data'!$L$2:$L$1001,SUBSTITUTE(SUBSTITUTE(SUBSTITUTE(L895,"~","~~"),"*","~*"),"?","~?")))</x:f>
      </x:c>
      <x:c r="H895" s="2" t="str">
        <x:f>IF(COUNTA(A895:F895)=0,"",COUNTIFS('External Data'!$L$2:$L$1001,SUBSTITUTE(SUBSTITUTE(SUBSTITUTE(L895,"~","~~"),"*","~*"),"?","~?")))</x:f>
      </x:c>
      <x:c r="I895" s="13" t="str">
        <x:f>IF(OR(H895&lt;&gt;1,G895&lt;&gt;1),"",SUMIFS('External Data'!$E$2:$E$1001,'External Data'!$L$2:$L$1001,SUBSTITUTE(SUBSTITUTE(SUBSTITUTE(L895,"~","~~"),"*","~*"),"?","~?")))</x:f>
      </x:c>
      <x:c r="J895" s="13" t="str">
        <x:f>IF(OR(NOT(ISNUMBER(E895)),NOT(ISNUMBER(I895))),"",ROUND(E895-I895,2))</x:f>
      </x:c>
      <x:c r="K895" s="2" t="str">
        <x:f>IF(COUNTA(A895:F895)=0,"",IF(OR(A895="",B895="",C895="",D895="",NOT(ISNUMBER(E895))),"Missing / invalid input",IF(G895&gt;1,"Duplicate key in this source",IF(H895=0,"Missing in other source",IF(H895&gt;1,"Duplicate in other source",IF(SUMIFS('External Data'!$M$2:$M$1001,'External Data'!$L$2:$L$1001,SUBSTITUTE(SUBSTITUTE(SUBSTITUTE(L895,"~","~~"),"*","~*"),"?","~?"))&lt;&gt;1,"Other amount is invalid",IF(J895&lt;&gt;0,"Amount differs","Matched")))))))</x:f>
      </x:c>
      <x:c r="L895" t="str">
        <x:f>IF(COUNTA(A895:F895)=0,"",LEN(A895)&amp;":"&amp;A895&amp;LEN(B895)&amp;":"&amp;B895&amp;LEN(C895)&amp;":"&amp;C895&amp;LEN(D895)&amp;":"&amp;D895)</x:f>
      </x:c>
      <x:c r="M895" t="str">
        <x:f>IF(COUNTA(A895:F895)=0,"",IF(ISNUMBER(E895),1,0))</x:f>
      </x:c>
    </x:row>
    <x:row r="896">
      <x:c r="A896" s="11"/>
      <x:c r="B896" s="11"/>
      <x:c r="C896" s="11"/>
      <x:c r="D896" s="11"/>
      <x:c r="E896" s="12"/>
      <x:c r="F896" s="10"/>
      <x:c r="G896" s="2" t="str">
        <x:f>IF(COUNTA(A896:F896)=0,"",COUNTIFS('App Data'!$L$2:$L$1001,SUBSTITUTE(SUBSTITUTE(SUBSTITUTE(L896,"~","~~"),"*","~*"),"?","~?")))</x:f>
      </x:c>
      <x:c r="H896" s="2" t="str">
        <x:f>IF(COUNTA(A896:F896)=0,"",COUNTIFS('External Data'!$L$2:$L$1001,SUBSTITUTE(SUBSTITUTE(SUBSTITUTE(L896,"~","~~"),"*","~*"),"?","~?")))</x:f>
      </x:c>
      <x:c r="I896" s="13" t="str">
        <x:f>IF(OR(H896&lt;&gt;1,G896&lt;&gt;1),"",SUMIFS('External Data'!$E$2:$E$1001,'External Data'!$L$2:$L$1001,SUBSTITUTE(SUBSTITUTE(SUBSTITUTE(L896,"~","~~"),"*","~*"),"?","~?")))</x:f>
      </x:c>
      <x:c r="J896" s="13" t="str">
        <x:f>IF(OR(NOT(ISNUMBER(E896)),NOT(ISNUMBER(I896))),"",ROUND(E896-I896,2))</x:f>
      </x:c>
      <x:c r="K896" s="2" t="str">
        <x:f>IF(COUNTA(A896:F896)=0,"",IF(OR(A896="",B896="",C896="",D896="",NOT(ISNUMBER(E896))),"Missing / invalid input",IF(G896&gt;1,"Duplicate key in this source",IF(H896=0,"Missing in other source",IF(H896&gt;1,"Duplicate in other source",IF(SUMIFS('External Data'!$M$2:$M$1001,'External Data'!$L$2:$L$1001,SUBSTITUTE(SUBSTITUTE(SUBSTITUTE(L896,"~","~~"),"*","~*"),"?","~?"))&lt;&gt;1,"Other amount is invalid",IF(J896&lt;&gt;0,"Amount differs","Matched")))))))</x:f>
      </x:c>
      <x:c r="L896" t="str">
        <x:f>IF(COUNTA(A896:F896)=0,"",LEN(A896)&amp;":"&amp;A896&amp;LEN(B896)&amp;":"&amp;B896&amp;LEN(C896)&amp;":"&amp;C896&amp;LEN(D896)&amp;":"&amp;D896)</x:f>
      </x:c>
      <x:c r="M896" t="str">
        <x:f>IF(COUNTA(A896:F896)=0,"",IF(ISNUMBER(E896),1,0))</x:f>
      </x:c>
    </x:row>
    <x:row r="897">
      <x:c r="A897" s="11"/>
      <x:c r="B897" s="11"/>
      <x:c r="C897" s="11"/>
      <x:c r="D897" s="11"/>
      <x:c r="E897" s="12"/>
      <x:c r="F897" s="10"/>
      <x:c r="G897" s="2" t="str">
        <x:f>IF(COUNTA(A897:F897)=0,"",COUNTIFS('App Data'!$L$2:$L$1001,SUBSTITUTE(SUBSTITUTE(SUBSTITUTE(L897,"~","~~"),"*","~*"),"?","~?")))</x:f>
      </x:c>
      <x:c r="H897" s="2" t="str">
        <x:f>IF(COUNTA(A897:F897)=0,"",COUNTIFS('External Data'!$L$2:$L$1001,SUBSTITUTE(SUBSTITUTE(SUBSTITUTE(L897,"~","~~"),"*","~*"),"?","~?")))</x:f>
      </x:c>
      <x:c r="I897" s="13" t="str">
        <x:f>IF(OR(H897&lt;&gt;1,G897&lt;&gt;1),"",SUMIFS('External Data'!$E$2:$E$1001,'External Data'!$L$2:$L$1001,SUBSTITUTE(SUBSTITUTE(SUBSTITUTE(L897,"~","~~"),"*","~*"),"?","~?")))</x:f>
      </x:c>
      <x:c r="J897" s="13" t="str">
        <x:f>IF(OR(NOT(ISNUMBER(E897)),NOT(ISNUMBER(I897))),"",ROUND(E897-I897,2))</x:f>
      </x:c>
      <x:c r="K897" s="2" t="str">
        <x:f>IF(COUNTA(A897:F897)=0,"",IF(OR(A897="",B897="",C897="",D897="",NOT(ISNUMBER(E897))),"Missing / invalid input",IF(G897&gt;1,"Duplicate key in this source",IF(H897=0,"Missing in other source",IF(H897&gt;1,"Duplicate in other source",IF(SUMIFS('External Data'!$M$2:$M$1001,'External Data'!$L$2:$L$1001,SUBSTITUTE(SUBSTITUTE(SUBSTITUTE(L897,"~","~~"),"*","~*"),"?","~?"))&lt;&gt;1,"Other amount is invalid",IF(J897&lt;&gt;0,"Amount differs","Matched")))))))</x:f>
      </x:c>
      <x:c r="L897" t="str">
        <x:f>IF(COUNTA(A897:F897)=0,"",LEN(A897)&amp;":"&amp;A897&amp;LEN(B897)&amp;":"&amp;B897&amp;LEN(C897)&amp;":"&amp;C897&amp;LEN(D897)&amp;":"&amp;D897)</x:f>
      </x:c>
      <x:c r="M897" t="str">
        <x:f>IF(COUNTA(A897:F897)=0,"",IF(ISNUMBER(E897),1,0))</x:f>
      </x:c>
    </x:row>
    <x:row r="898">
      <x:c r="A898" s="11"/>
      <x:c r="B898" s="11"/>
      <x:c r="C898" s="11"/>
      <x:c r="D898" s="11"/>
      <x:c r="E898" s="12"/>
      <x:c r="F898" s="10"/>
      <x:c r="G898" s="2" t="str">
        <x:f>IF(COUNTA(A898:F898)=0,"",COUNTIFS('App Data'!$L$2:$L$1001,SUBSTITUTE(SUBSTITUTE(SUBSTITUTE(L898,"~","~~"),"*","~*"),"?","~?")))</x:f>
      </x:c>
      <x:c r="H898" s="2" t="str">
        <x:f>IF(COUNTA(A898:F898)=0,"",COUNTIFS('External Data'!$L$2:$L$1001,SUBSTITUTE(SUBSTITUTE(SUBSTITUTE(L898,"~","~~"),"*","~*"),"?","~?")))</x:f>
      </x:c>
      <x:c r="I898" s="13" t="str">
        <x:f>IF(OR(H898&lt;&gt;1,G898&lt;&gt;1),"",SUMIFS('External Data'!$E$2:$E$1001,'External Data'!$L$2:$L$1001,SUBSTITUTE(SUBSTITUTE(SUBSTITUTE(L898,"~","~~"),"*","~*"),"?","~?")))</x:f>
      </x:c>
      <x:c r="J898" s="13" t="str">
        <x:f>IF(OR(NOT(ISNUMBER(E898)),NOT(ISNUMBER(I898))),"",ROUND(E898-I898,2))</x:f>
      </x:c>
      <x:c r="K898" s="2" t="str">
        <x:f>IF(COUNTA(A898:F898)=0,"",IF(OR(A898="",B898="",C898="",D898="",NOT(ISNUMBER(E898))),"Missing / invalid input",IF(G898&gt;1,"Duplicate key in this source",IF(H898=0,"Missing in other source",IF(H898&gt;1,"Duplicate in other source",IF(SUMIFS('External Data'!$M$2:$M$1001,'External Data'!$L$2:$L$1001,SUBSTITUTE(SUBSTITUTE(SUBSTITUTE(L898,"~","~~"),"*","~*"),"?","~?"))&lt;&gt;1,"Other amount is invalid",IF(J898&lt;&gt;0,"Amount differs","Matched")))))))</x:f>
      </x:c>
      <x:c r="L898" t="str">
        <x:f>IF(COUNTA(A898:F898)=0,"",LEN(A898)&amp;":"&amp;A898&amp;LEN(B898)&amp;":"&amp;B898&amp;LEN(C898)&amp;":"&amp;C898&amp;LEN(D898)&amp;":"&amp;D898)</x:f>
      </x:c>
      <x:c r="M898" t="str">
        <x:f>IF(COUNTA(A898:F898)=0,"",IF(ISNUMBER(E898),1,0))</x:f>
      </x:c>
    </x:row>
    <x:row r="899">
      <x:c r="A899" s="11"/>
      <x:c r="B899" s="11"/>
      <x:c r="C899" s="11"/>
      <x:c r="D899" s="11"/>
      <x:c r="E899" s="12"/>
      <x:c r="F899" s="10"/>
      <x:c r="G899" s="2" t="str">
        <x:f>IF(COUNTA(A899:F899)=0,"",COUNTIFS('App Data'!$L$2:$L$1001,SUBSTITUTE(SUBSTITUTE(SUBSTITUTE(L899,"~","~~"),"*","~*"),"?","~?")))</x:f>
      </x:c>
      <x:c r="H899" s="2" t="str">
        <x:f>IF(COUNTA(A899:F899)=0,"",COUNTIFS('External Data'!$L$2:$L$1001,SUBSTITUTE(SUBSTITUTE(SUBSTITUTE(L899,"~","~~"),"*","~*"),"?","~?")))</x:f>
      </x:c>
      <x:c r="I899" s="13" t="str">
        <x:f>IF(OR(H899&lt;&gt;1,G899&lt;&gt;1),"",SUMIFS('External Data'!$E$2:$E$1001,'External Data'!$L$2:$L$1001,SUBSTITUTE(SUBSTITUTE(SUBSTITUTE(L899,"~","~~"),"*","~*"),"?","~?")))</x:f>
      </x:c>
      <x:c r="J899" s="13" t="str">
        <x:f>IF(OR(NOT(ISNUMBER(E899)),NOT(ISNUMBER(I899))),"",ROUND(E899-I899,2))</x:f>
      </x:c>
      <x:c r="K899" s="2" t="str">
        <x:f>IF(COUNTA(A899:F899)=0,"",IF(OR(A899="",B899="",C899="",D899="",NOT(ISNUMBER(E899))),"Missing / invalid input",IF(G899&gt;1,"Duplicate key in this source",IF(H899=0,"Missing in other source",IF(H899&gt;1,"Duplicate in other source",IF(SUMIFS('External Data'!$M$2:$M$1001,'External Data'!$L$2:$L$1001,SUBSTITUTE(SUBSTITUTE(SUBSTITUTE(L899,"~","~~"),"*","~*"),"?","~?"))&lt;&gt;1,"Other amount is invalid",IF(J899&lt;&gt;0,"Amount differs","Matched")))))))</x:f>
      </x:c>
      <x:c r="L899" t="str">
        <x:f>IF(COUNTA(A899:F899)=0,"",LEN(A899)&amp;":"&amp;A899&amp;LEN(B899)&amp;":"&amp;B899&amp;LEN(C899)&amp;":"&amp;C899&amp;LEN(D899)&amp;":"&amp;D899)</x:f>
      </x:c>
      <x:c r="M899" t="str">
        <x:f>IF(COUNTA(A899:F899)=0,"",IF(ISNUMBER(E899),1,0))</x:f>
      </x:c>
    </x:row>
    <x:row r="900">
      <x:c r="A900" s="11"/>
      <x:c r="B900" s="11"/>
      <x:c r="C900" s="11"/>
      <x:c r="D900" s="11"/>
      <x:c r="E900" s="12"/>
      <x:c r="F900" s="10"/>
      <x:c r="G900" s="2" t="str">
        <x:f>IF(COUNTA(A900:F900)=0,"",COUNTIFS('App Data'!$L$2:$L$1001,SUBSTITUTE(SUBSTITUTE(SUBSTITUTE(L900,"~","~~"),"*","~*"),"?","~?")))</x:f>
      </x:c>
      <x:c r="H900" s="2" t="str">
        <x:f>IF(COUNTA(A900:F900)=0,"",COUNTIFS('External Data'!$L$2:$L$1001,SUBSTITUTE(SUBSTITUTE(SUBSTITUTE(L900,"~","~~"),"*","~*"),"?","~?")))</x:f>
      </x:c>
      <x:c r="I900" s="13" t="str">
        <x:f>IF(OR(H900&lt;&gt;1,G900&lt;&gt;1),"",SUMIFS('External Data'!$E$2:$E$1001,'External Data'!$L$2:$L$1001,SUBSTITUTE(SUBSTITUTE(SUBSTITUTE(L900,"~","~~"),"*","~*"),"?","~?")))</x:f>
      </x:c>
      <x:c r="J900" s="13" t="str">
        <x:f>IF(OR(NOT(ISNUMBER(E900)),NOT(ISNUMBER(I900))),"",ROUND(E900-I900,2))</x:f>
      </x:c>
      <x:c r="K900" s="2" t="str">
        <x:f>IF(COUNTA(A900:F900)=0,"",IF(OR(A900="",B900="",C900="",D900="",NOT(ISNUMBER(E900))),"Missing / invalid input",IF(G900&gt;1,"Duplicate key in this source",IF(H900=0,"Missing in other source",IF(H900&gt;1,"Duplicate in other source",IF(SUMIFS('External Data'!$M$2:$M$1001,'External Data'!$L$2:$L$1001,SUBSTITUTE(SUBSTITUTE(SUBSTITUTE(L900,"~","~~"),"*","~*"),"?","~?"))&lt;&gt;1,"Other amount is invalid",IF(J900&lt;&gt;0,"Amount differs","Matched")))))))</x:f>
      </x:c>
      <x:c r="L900" t="str">
        <x:f>IF(COUNTA(A900:F900)=0,"",LEN(A900)&amp;":"&amp;A900&amp;LEN(B900)&amp;":"&amp;B900&amp;LEN(C900)&amp;":"&amp;C900&amp;LEN(D900)&amp;":"&amp;D900)</x:f>
      </x:c>
      <x:c r="M900" t="str">
        <x:f>IF(COUNTA(A900:F900)=0,"",IF(ISNUMBER(E900),1,0))</x:f>
      </x:c>
    </x:row>
    <x:row r="901">
      <x:c r="A901" s="11"/>
      <x:c r="B901" s="11"/>
      <x:c r="C901" s="11"/>
      <x:c r="D901" s="11"/>
      <x:c r="E901" s="12"/>
      <x:c r="F901" s="10"/>
      <x:c r="G901" s="2" t="str">
        <x:f>IF(COUNTA(A901:F901)=0,"",COUNTIFS('App Data'!$L$2:$L$1001,SUBSTITUTE(SUBSTITUTE(SUBSTITUTE(L901,"~","~~"),"*","~*"),"?","~?")))</x:f>
      </x:c>
      <x:c r="H901" s="2" t="str">
        <x:f>IF(COUNTA(A901:F901)=0,"",COUNTIFS('External Data'!$L$2:$L$1001,SUBSTITUTE(SUBSTITUTE(SUBSTITUTE(L901,"~","~~"),"*","~*"),"?","~?")))</x:f>
      </x:c>
      <x:c r="I901" s="13" t="str">
        <x:f>IF(OR(H901&lt;&gt;1,G901&lt;&gt;1),"",SUMIFS('External Data'!$E$2:$E$1001,'External Data'!$L$2:$L$1001,SUBSTITUTE(SUBSTITUTE(SUBSTITUTE(L901,"~","~~"),"*","~*"),"?","~?")))</x:f>
      </x:c>
      <x:c r="J901" s="13" t="str">
        <x:f>IF(OR(NOT(ISNUMBER(E901)),NOT(ISNUMBER(I901))),"",ROUND(E901-I901,2))</x:f>
      </x:c>
      <x:c r="K901" s="2" t="str">
        <x:f>IF(COUNTA(A901:F901)=0,"",IF(OR(A901="",B901="",C901="",D901="",NOT(ISNUMBER(E901))),"Missing / invalid input",IF(G901&gt;1,"Duplicate key in this source",IF(H901=0,"Missing in other source",IF(H901&gt;1,"Duplicate in other source",IF(SUMIFS('External Data'!$M$2:$M$1001,'External Data'!$L$2:$L$1001,SUBSTITUTE(SUBSTITUTE(SUBSTITUTE(L901,"~","~~"),"*","~*"),"?","~?"))&lt;&gt;1,"Other amount is invalid",IF(J901&lt;&gt;0,"Amount differs","Matched")))))))</x:f>
      </x:c>
      <x:c r="L901" t="str">
        <x:f>IF(COUNTA(A901:F901)=0,"",LEN(A901)&amp;":"&amp;A901&amp;LEN(B901)&amp;":"&amp;B901&amp;LEN(C901)&amp;":"&amp;C901&amp;LEN(D901)&amp;":"&amp;D901)</x:f>
      </x:c>
      <x:c r="M901" t="str">
        <x:f>IF(COUNTA(A901:F901)=0,"",IF(ISNUMBER(E901),1,0))</x:f>
      </x:c>
    </x:row>
    <x:row r="902">
      <x:c r="A902" s="11"/>
      <x:c r="B902" s="11"/>
      <x:c r="C902" s="11"/>
      <x:c r="D902" s="11"/>
      <x:c r="E902" s="12"/>
      <x:c r="F902" s="10"/>
      <x:c r="G902" s="2" t="str">
        <x:f>IF(COUNTA(A902:F902)=0,"",COUNTIFS('App Data'!$L$2:$L$1001,SUBSTITUTE(SUBSTITUTE(SUBSTITUTE(L902,"~","~~"),"*","~*"),"?","~?")))</x:f>
      </x:c>
      <x:c r="H902" s="2" t="str">
        <x:f>IF(COUNTA(A902:F902)=0,"",COUNTIFS('External Data'!$L$2:$L$1001,SUBSTITUTE(SUBSTITUTE(SUBSTITUTE(L902,"~","~~"),"*","~*"),"?","~?")))</x:f>
      </x:c>
      <x:c r="I902" s="13" t="str">
        <x:f>IF(OR(H902&lt;&gt;1,G902&lt;&gt;1),"",SUMIFS('External Data'!$E$2:$E$1001,'External Data'!$L$2:$L$1001,SUBSTITUTE(SUBSTITUTE(SUBSTITUTE(L902,"~","~~"),"*","~*"),"?","~?")))</x:f>
      </x:c>
      <x:c r="J902" s="13" t="str">
        <x:f>IF(OR(NOT(ISNUMBER(E902)),NOT(ISNUMBER(I902))),"",ROUND(E902-I902,2))</x:f>
      </x:c>
      <x:c r="K902" s="2" t="str">
        <x:f>IF(COUNTA(A902:F902)=0,"",IF(OR(A902="",B902="",C902="",D902="",NOT(ISNUMBER(E902))),"Missing / invalid input",IF(G902&gt;1,"Duplicate key in this source",IF(H902=0,"Missing in other source",IF(H902&gt;1,"Duplicate in other source",IF(SUMIFS('External Data'!$M$2:$M$1001,'External Data'!$L$2:$L$1001,SUBSTITUTE(SUBSTITUTE(SUBSTITUTE(L902,"~","~~"),"*","~*"),"?","~?"))&lt;&gt;1,"Other amount is invalid",IF(J902&lt;&gt;0,"Amount differs","Matched")))))))</x:f>
      </x:c>
      <x:c r="L902" t="str">
        <x:f>IF(COUNTA(A902:F902)=0,"",LEN(A902)&amp;":"&amp;A902&amp;LEN(B902)&amp;":"&amp;B902&amp;LEN(C902)&amp;":"&amp;C902&amp;LEN(D902)&amp;":"&amp;D902)</x:f>
      </x:c>
      <x:c r="M902" t="str">
        <x:f>IF(COUNTA(A902:F902)=0,"",IF(ISNUMBER(E902),1,0))</x:f>
      </x:c>
    </x:row>
    <x:row r="903">
      <x:c r="A903" s="11"/>
      <x:c r="B903" s="11"/>
      <x:c r="C903" s="11"/>
      <x:c r="D903" s="11"/>
      <x:c r="E903" s="12"/>
      <x:c r="F903" s="10"/>
      <x:c r="G903" s="2" t="str">
        <x:f>IF(COUNTA(A903:F903)=0,"",COUNTIFS('App Data'!$L$2:$L$1001,SUBSTITUTE(SUBSTITUTE(SUBSTITUTE(L903,"~","~~"),"*","~*"),"?","~?")))</x:f>
      </x:c>
      <x:c r="H903" s="2" t="str">
        <x:f>IF(COUNTA(A903:F903)=0,"",COUNTIFS('External Data'!$L$2:$L$1001,SUBSTITUTE(SUBSTITUTE(SUBSTITUTE(L903,"~","~~"),"*","~*"),"?","~?")))</x:f>
      </x:c>
      <x:c r="I903" s="13" t="str">
        <x:f>IF(OR(H903&lt;&gt;1,G903&lt;&gt;1),"",SUMIFS('External Data'!$E$2:$E$1001,'External Data'!$L$2:$L$1001,SUBSTITUTE(SUBSTITUTE(SUBSTITUTE(L903,"~","~~"),"*","~*"),"?","~?")))</x:f>
      </x:c>
      <x:c r="J903" s="13" t="str">
        <x:f>IF(OR(NOT(ISNUMBER(E903)),NOT(ISNUMBER(I903))),"",ROUND(E903-I903,2))</x:f>
      </x:c>
      <x:c r="K903" s="2" t="str">
        <x:f>IF(COUNTA(A903:F903)=0,"",IF(OR(A903="",B903="",C903="",D903="",NOT(ISNUMBER(E903))),"Missing / invalid input",IF(G903&gt;1,"Duplicate key in this source",IF(H903=0,"Missing in other source",IF(H903&gt;1,"Duplicate in other source",IF(SUMIFS('External Data'!$M$2:$M$1001,'External Data'!$L$2:$L$1001,SUBSTITUTE(SUBSTITUTE(SUBSTITUTE(L903,"~","~~"),"*","~*"),"?","~?"))&lt;&gt;1,"Other amount is invalid",IF(J903&lt;&gt;0,"Amount differs","Matched")))))))</x:f>
      </x:c>
      <x:c r="L903" t="str">
        <x:f>IF(COUNTA(A903:F903)=0,"",LEN(A903)&amp;":"&amp;A903&amp;LEN(B903)&amp;":"&amp;B903&amp;LEN(C903)&amp;":"&amp;C903&amp;LEN(D903)&amp;":"&amp;D903)</x:f>
      </x:c>
      <x:c r="M903" t="str">
        <x:f>IF(COUNTA(A903:F903)=0,"",IF(ISNUMBER(E903),1,0))</x:f>
      </x:c>
    </x:row>
    <x:row r="904">
      <x:c r="A904" s="11"/>
      <x:c r="B904" s="11"/>
      <x:c r="C904" s="11"/>
      <x:c r="D904" s="11"/>
      <x:c r="E904" s="12"/>
      <x:c r="F904" s="10"/>
      <x:c r="G904" s="2" t="str">
        <x:f>IF(COUNTA(A904:F904)=0,"",COUNTIFS('App Data'!$L$2:$L$1001,SUBSTITUTE(SUBSTITUTE(SUBSTITUTE(L904,"~","~~"),"*","~*"),"?","~?")))</x:f>
      </x:c>
      <x:c r="H904" s="2" t="str">
        <x:f>IF(COUNTA(A904:F904)=0,"",COUNTIFS('External Data'!$L$2:$L$1001,SUBSTITUTE(SUBSTITUTE(SUBSTITUTE(L904,"~","~~"),"*","~*"),"?","~?")))</x:f>
      </x:c>
      <x:c r="I904" s="13" t="str">
        <x:f>IF(OR(H904&lt;&gt;1,G904&lt;&gt;1),"",SUMIFS('External Data'!$E$2:$E$1001,'External Data'!$L$2:$L$1001,SUBSTITUTE(SUBSTITUTE(SUBSTITUTE(L904,"~","~~"),"*","~*"),"?","~?")))</x:f>
      </x:c>
      <x:c r="J904" s="13" t="str">
        <x:f>IF(OR(NOT(ISNUMBER(E904)),NOT(ISNUMBER(I904))),"",ROUND(E904-I904,2))</x:f>
      </x:c>
      <x:c r="K904" s="2" t="str">
        <x:f>IF(COUNTA(A904:F904)=0,"",IF(OR(A904="",B904="",C904="",D904="",NOT(ISNUMBER(E904))),"Missing / invalid input",IF(G904&gt;1,"Duplicate key in this source",IF(H904=0,"Missing in other source",IF(H904&gt;1,"Duplicate in other source",IF(SUMIFS('External Data'!$M$2:$M$1001,'External Data'!$L$2:$L$1001,SUBSTITUTE(SUBSTITUTE(SUBSTITUTE(L904,"~","~~"),"*","~*"),"?","~?"))&lt;&gt;1,"Other amount is invalid",IF(J904&lt;&gt;0,"Amount differs","Matched")))))))</x:f>
      </x:c>
      <x:c r="L904" t="str">
        <x:f>IF(COUNTA(A904:F904)=0,"",LEN(A904)&amp;":"&amp;A904&amp;LEN(B904)&amp;":"&amp;B904&amp;LEN(C904)&amp;":"&amp;C904&amp;LEN(D904)&amp;":"&amp;D904)</x:f>
      </x:c>
      <x:c r="M904" t="str">
        <x:f>IF(COUNTA(A904:F904)=0,"",IF(ISNUMBER(E904),1,0))</x:f>
      </x:c>
    </x:row>
    <x:row r="905">
      <x:c r="A905" s="11"/>
      <x:c r="B905" s="11"/>
      <x:c r="C905" s="11"/>
      <x:c r="D905" s="11"/>
      <x:c r="E905" s="12"/>
      <x:c r="F905" s="10"/>
      <x:c r="G905" s="2" t="str">
        <x:f>IF(COUNTA(A905:F905)=0,"",COUNTIFS('App Data'!$L$2:$L$1001,SUBSTITUTE(SUBSTITUTE(SUBSTITUTE(L905,"~","~~"),"*","~*"),"?","~?")))</x:f>
      </x:c>
      <x:c r="H905" s="2" t="str">
        <x:f>IF(COUNTA(A905:F905)=0,"",COUNTIFS('External Data'!$L$2:$L$1001,SUBSTITUTE(SUBSTITUTE(SUBSTITUTE(L905,"~","~~"),"*","~*"),"?","~?")))</x:f>
      </x:c>
      <x:c r="I905" s="13" t="str">
        <x:f>IF(OR(H905&lt;&gt;1,G905&lt;&gt;1),"",SUMIFS('External Data'!$E$2:$E$1001,'External Data'!$L$2:$L$1001,SUBSTITUTE(SUBSTITUTE(SUBSTITUTE(L905,"~","~~"),"*","~*"),"?","~?")))</x:f>
      </x:c>
      <x:c r="J905" s="13" t="str">
        <x:f>IF(OR(NOT(ISNUMBER(E905)),NOT(ISNUMBER(I905))),"",ROUND(E905-I905,2))</x:f>
      </x:c>
      <x:c r="K905" s="2" t="str">
        <x:f>IF(COUNTA(A905:F905)=0,"",IF(OR(A905="",B905="",C905="",D905="",NOT(ISNUMBER(E905))),"Missing / invalid input",IF(G905&gt;1,"Duplicate key in this source",IF(H905=0,"Missing in other source",IF(H905&gt;1,"Duplicate in other source",IF(SUMIFS('External Data'!$M$2:$M$1001,'External Data'!$L$2:$L$1001,SUBSTITUTE(SUBSTITUTE(SUBSTITUTE(L905,"~","~~"),"*","~*"),"?","~?"))&lt;&gt;1,"Other amount is invalid",IF(J905&lt;&gt;0,"Amount differs","Matched")))))))</x:f>
      </x:c>
      <x:c r="L905" t="str">
        <x:f>IF(COUNTA(A905:F905)=0,"",LEN(A905)&amp;":"&amp;A905&amp;LEN(B905)&amp;":"&amp;B905&amp;LEN(C905)&amp;":"&amp;C905&amp;LEN(D905)&amp;":"&amp;D905)</x:f>
      </x:c>
      <x:c r="M905" t="str">
        <x:f>IF(COUNTA(A905:F905)=0,"",IF(ISNUMBER(E905),1,0))</x:f>
      </x:c>
    </x:row>
    <x:row r="906">
      <x:c r="A906" s="11"/>
      <x:c r="B906" s="11"/>
      <x:c r="C906" s="11"/>
      <x:c r="D906" s="11"/>
      <x:c r="E906" s="12"/>
      <x:c r="F906" s="10"/>
      <x:c r="G906" s="2" t="str">
        <x:f>IF(COUNTA(A906:F906)=0,"",COUNTIFS('App Data'!$L$2:$L$1001,SUBSTITUTE(SUBSTITUTE(SUBSTITUTE(L906,"~","~~"),"*","~*"),"?","~?")))</x:f>
      </x:c>
      <x:c r="H906" s="2" t="str">
        <x:f>IF(COUNTA(A906:F906)=0,"",COUNTIFS('External Data'!$L$2:$L$1001,SUBSTITUTE(SUBSTITUTE(SUBSTITUTE(L906,"~","~~"),"*","~*"),"?","~?")))</x:f>
      </x:c>
      <x:c r="I906" s="13" t="str">
        <x:f>IF(OR(H906&lt;&gt;1,G906&lt;&gt;1),"",SUMIFS('External Data'!$E$2:$E$1001,'External Data'!$L$2:$L$1001,SUBSTITUTE(SUBSTITUTE(SUBSTITUTE(L906,"~","~~"),"*","~*"),"?","~?")))</x:f>
      </x:c>
      <x:c r="J906" s="13" t="str">
        <x:f>IF(OR(NOT(ISNUMBER(E906)),NOT(ISNUMBER(I906))),"",ROUND(E906-I906,2))</x:f>
      </x:c>
      <x:c r="K906" s="2" t="str">
        <x:f>IF(COUNTA(A906:F906)=0,"",IF(OR(A906="",B906="",C906="",D906="",NOT(ISNUMBER(E906))),"Missing / invalid input",IF(G906&gt;1,"Duplicate key in this source",IF(H906=0,"Missing in other source",IF(H906&gt;1,"Duplicate in other source",IF(SUMIFS('External Data'!$M$2:$M$1001,'External Data'!$L$2:$L$1001,SUBSTITUTE(SUBSTITUTE(SUBSTITUTE(L906,"~","~~"),"*","~*"),"?","~?"))&lt;&gt;1,"Other amount is invalid",IF(J906&lt;&gt;0,"Amount differs","Matched")))))))</x:f>
      </x:c>
      <x:c r="L906" t="str">
        <x:f>IF(COUNTA(A906:F906)=0,"",LEN(A906)&amp;":"&amp;A906&amp;LEN(B906)&amp;":"&amp;B906&amp;LEN(C906)&amp;":"&amp;C906&amp;LEN(D906)&amp;":"&amp;D906)</x:f>
      </x:c>
      <x:c r="M906" t="str">
        <x:f>IF(COUNTA(A906:F906)=0,"",IF(ISNUMBER(E906),1,0))</x:f>
      </x:c>
    </x:row>
    <x:row r="907">
      <x:c r="A907" s="11"/>
      <x:c r="B907" s="11"/>
      <x:c r="C907" s="11"/>
      <x:c r="D907" s="11"/>
      <x:c r="E907" s="12"/>
      <x:c r="F907" s="10"/>
      <x:c r="G907" s="2" t="str">
        <x:f>IF(COUNTA(A907:F907)=0,"",COUNTIFS('App Data'!$L$2:$L$1001,SUBSTITUTE(SUBSTITUTE(SUBSTITUTE(L907,"~","~~"),"*","~*"),"?","~?")))</x:f>
      </x:c>
      <x:c r="H907" s="2" t="str">
        <x:f>IF(COUNTA(A907:F907)=0,"",COUNTIFS('External Data'!$L$2:$L$1001,SUBSTITUTE(SUBSTITUTE(SUBSTITUTE(L907,"~","~~"),"*","~*"),"?","~?")))</x:f>
      </x:c>
      <x:c r="I907" s="13" t="str">
        <x:f>IF(OR(H907&lt;&gt;1,G907&lt;&gt;1),"",SUMIFS('External Data'!$E$2:$E$1001,'External Data'!$L$2:$L$1001,SUBSTITUTE(SUBSTITUTE(SUBSTITUTE(L907,"~","~~"),"*","~*"),"?","~?")))</x:f>
      </x:c>
      <x:c r="J907" s="13" t="str">
        <x:f>IF(OR(NOT(ISNUMBER(E907)),NOT(ISNUMBER(I907))),"",ROUND(E907-I907,2))</x:f>
      </x:c>
      <x:c r="K907" s="2" t="str">
        <x:f>IF(COUNTA(A907:F907)=0,"",IF(OR(A907="",B907="",C907="",D907="",NOT(ISNUMBER(E907))),"Missing / invalid input",IF(G907&gt;1,"Duplicate key in this source",IF(H907=0,"Missing in other source",IF(H907&gt;1,"Duplicate in other source",IF(SUMIFS('External Data'!$M$2:$M$1001,'External Data'!$L$2:$L$1001,SUBSTITUTE(SUBSTITUTE(SUBSTITUTE(L907,"~","~~"),"*","~*"),"?","~?"))&lt;&gt;1,"Other amount is invalid",IF(J907&lt;&gt;0,"Amount differs","Matched")))))))</x:f>
      </x:c>
      <x:c r="L907" t="str">
        <x:f>IF(COUNTA(A907:F907)=0,"",LEN(A907)&amp;":"&amp;A907&amp;LEN(B907)&amp;":"&amp;B907&amp;LEN(C907)&amp;":"&amp;C907&amp;LEN(D907)&amp;":"&amp;D907)</x:f>
      </x:c>
      <x:c r="M907" t="str">
        <x:f>IF(COUNTA(A907:F907)=0,"",IF(ISNUMBER(E907),1,0))</x:f>
      </x:c>
    </x:row>
    <x:row r="908">
      <x:c r="A908" s="11"/>
      <x:c r="B908" s="11"/>
      <x:c r="C908" s="11"/>
      <x:c r="D908" s="11"/>
      <x:c r="E908" s="12"/>
      <x:c r="F908" s="10"/>
      <x:c r="G908" s="2" t="str">
        <x:f>IF(COUNTA(A908:F908)=0,"",COUNTIFS('App Data'!$L$2:$L$1001,SUBSTITUTE(SUBSTITUTE(SUBSTITUTE(L908,"~","~~"),"*","~*"),"?","~?")))</x:f>
      </x:c>
      <x:c r="H908" s="2" t="str">
        <x:f>IF(COUNTA(A908:F908)=0,"",COUNTIFS('External Data'!$L$2:$L$1001,SUBSTITUTE(SUBSTITUTE(SUBSTITUTE(L908,"~","~~"),"*","~*"),"?","~?")))</x:f>
      </x:c>
      <x:c r="I908" s="13" t="str">
        <x:f>IF(OR(H908&lt;&gt;1,G908&lt;&gt;1),"",SUMIFS('External Data'!$E$2:$E$1001,'External Data'!$L$2:$L$1001,SUBSTITUTE(SUBSTITUTE(SUBSTITUTE(L908,"~","~~"),"*","~*"),"?","~?")))</x:f>
      </x:c>
      <x:c r="J908" s="13" t="str">
        <x:f>IF(OR(NOT(ISNUMBER(E908)),NOT(ISNUMBER(I908))),"",ROUND(E908-I908,2))</x:f>
      </x:c>
      <x:c r="K908" s="2" t="str">
        <x:f>IF(COUNTA(A908:F908)=0,"",IF(OR(A908="",B908="",C908="",D908="",NOT(ISNUMBER(E908))),"Missing / invalid input",IF(G908&gt;1,"Duplicate key in this source",IF(H908=0,"Missing in other source",IF(H908&gt;1,"Duplicate in other source",IF(SUMIFS('External Data'!$M$2:$M$1001,'External Data'!$L$2:$L$1001,SUBSTITUTE(SUBSTITUTE(SUBSTITUTE(L908,"~","~~"),"*","~*"),"?","~?"))&lt;&gt;1,"Other amount is invalid",IF(J908&lt;&gt;0,"Amount differs","Matched")))))))</x:f>
      </x:c>
      <x:c r="L908" t="str">
        <x:f>IF(COUNTA(A908:F908)=0,"",LEN(A908)&amp;":"&amp;A908&amp;LEN(B908)&amp;":"&amp;B908&amp;LEN(C908)&amp;":"&amp;C908&amp;LEN(D908)&amp;":"&amp;D908)</x:f>
      </x:c>
      <x:c r="M908" t="str">
        <x:f>IF(COUNTA(A908:F908)=0,"",IF(ISNUMBER(E908),1,0))</x:f>
      </x:c>
    </x:row>
    <x:row r="909">
      <x:c r="A909" s="11"/>
      <x:c r="B909" s="11"/>
      <x:c r="C909" s="11"/>
      <x:c r="D909" s="11"/>
      <x:c r="E909" s="12"/>
      <x:c r="F909" s="10"/>
      <x:c r="G909" s="2" t="str">
        <x:f>IF(COUNTA(A909:F909)=0,"",COUNTIFS('App Data'!$L$2:$L$1001,SUBSTITUTE(SUBSTITUTE(SUBSTITUTE(L909,"~","~~"),"*","~*"),"?","~?")))</x:f>
      </x:c>
      <x:c r="H909" s="2" t="str">
        <x:f>IF(COUNTA(A909:F909)=0,"",COUNTIFS('External Data'!$L$2:$L$1001,SUBSTITUTE(SUBSTITUTE(SUBSTITUTE(L909,"~","~~"),"*","~*"),"?","~?")))</x:f>
      </x:c>
      <x:c r="I909" s="13" t="str">
        <x:f>IF(OR(H909&lt;&gt;1,G909&lt;&gt;1),"",SUMIFS('External Data'!$E$2:$E$1001,'External Data'!$L$2:$L$1001,SUBSTITUTE(SUBSTITUTE(SUBSTITUTE(L909,"~","~~"),"*","~*"),"?","~?")))</x:f>
      </x:c>
      <x:c r="J909" s="13" t="str">
        <x:f>IF(OR(NOT(ISNUMBER(E909)),NOT(ISNUMBER(I909))),"",ROUND(E909-I909,2))</x:f>
      </x:c>
      <x:c r="K909" s="2" t="str">
        <x:f>IF(COUNTA(A909:F909)=0,"",IF(OR(A909="",B909="",C909="",D909="",NOT(ISNUMBER(E909))),"Missing / invalid input",IF(G909&gt;1,"Duplicate key in this source",IF(H909=0,"Missing in other source",IF(H909&gt;1,"Duplicate in other source",IF(SUMIFS('External Data'!$M$2:$M$1001,'External Data'!$L$2:$L$1001,SUBSTITUTE(SUBSTITUTE(SUBSTITUTE(L909,"~","~~"),"*","~*"),"?","~?"))&lt;&gt;1,"Other amount is invalid",IF(J909&lt;&gt;0,"Amount differs","Matched")))))))</x:f>
      </x:c>
      <x:c r="L909" t="str">
        <x:f>IF(COUNTA(A909:F909)=0,"",LEN(A909)&amp;":"&amp;A909&amp;LEN(B909)&amp;":"&amp;B909&amp;LEN(C909)&amp;":"&amp;C909&amp;LEN(D909)&amp;":"&amp;D909)</x:f>
      </x:c>
      <x:c r="M909" t="str">
        <x:f>IF(COUNTA(A909:F909)=0,"",IF(ISNUMBER(E909),1,0))</x:f>
      </x:c>
    </x:row>
    <x:row r="910">
      <x:c r="A910" s="11"/>
      <x:c r="B910" s="11"/>
      <x:c r="C910" s="11"/>
      <x:c r="D910" s="11"/>
      <x:c r="E910" s="12"/>
      <x:c r="F910" s="10"/>
      <x:c r="G910" s="2" t="str">
        <x:f>IF(COUNTA(A910:F910)=0,"",COUNTIFS('App Data'!$L$2:$L$1001,SUBSTITUTE(SUBSTITUTE(SUBSTITUTE(L910,"~","~~"),"*","~*"),"?","~?")))</x:f>
      </x:c>
      <x:c r="H910" s="2" t="str">
        <x:f>IF(COUNTA(A910:F910)=0,"",COUNTIFS('External Data'!$L$2:$L$1001,SUBSTITUTE(SUBSTITUTE(SUBSTITUTE(L910,"~","~~"),"*","~*"),"?","~?")))</x:f>
      </x:c>
      <x:c r="I910" s="13" t="str">
        <x:f>IF(OR(H910&lt;&gt;1,G910&lt;&gt;1),"",SUMIFS('External Data'!$E$2:$E$1001,'External Data'!$L$2:$L$1001,SUBSTITUTE(SUBSTITUTE(SUBSTITUTE(L910,"~","~~"),"*","~*"),"?","~?")))</x:f>
      </x:c>
      <x:c r="J910" s="13" t="str">
        <x:f>IF(OR(NOT(ISNUMBER(E910)),NOT(ISNUMBER(I910))),"",ROUND(E910-I910,2))</x:f>
      </x:c>
      <x:c r="K910" s="2" t="str">
        <x:f>IF(COUNTA(A910:F910)=0,"",IF(OR(A910="",B910="",C910="",D910="",NOT(ISNUMBER(E910))),"Missing / invalid input",IF(G910&gt;1,"Duplicate key in this source",IF(H910=0,"Missing in other source",IF(H910&gt;1,"Duplicate in other source",IF(SUMIFS('External Data'!$M$2:$M$1001,'External Data'!$L$2:$L$1001,SUBSTITUTE(SUBSTITUTE(SUBSTITUTE(L910,"~","~~"),"*","~*"),"?","~?"))&lt;&gt;1,"Other amount is invalid",IF(J910&lt;&gt;0,"Amount differs","Matched")))))))</x:f>
      </x:c>
      <x:c r="L910" t="str">
        <x:f>IF(COUNTA(A910:F910)=0,"",LEN(A910)&amp;":"&amp;A910&amp;LEN(B910)&amp;":"&amp;B910&amp;LEN(C910)&amp;":"&amp;C910&amp;LEN(D910)&amp;":"&amp;D910)</x:f>
      </x:c>
      <x:c r="M910" t="str">
        <x:f>IF(COUNTA(A910:F910)=0,"",IF(ISNUMBER(E910),1,0))</x:f>
      </x:c>
    </x:row>
    <x:row r="911">
      <x:c r="A911" s="11"/>
      <x:c r="B911" s="11"/>
      <x:c r="C911" s="11"/>
      <x:c r="D911" s="11"/>
      <x:c r="E911" s="12"/>
      <x:c r="F911" s="10"/>
      <x:c r="G911" s="2" t="str">
        <x:f>IF(COUNTA(A911:F911)=0,"",COUNTIFS('App Data'!$L$2:$L$1001,SUBSTITUTE(SUBSTITUTE(SUBSTITUTE(L911,"~","~~"),"*","~*"),"?","~?")))</x:f>
      </x:c>
      <x:c r="H911" s="2" t="str">
        <x:f>IF(COUNTA(A911:F911)=0,"",COUNTIFS('External Data'!$L$2:$L$1001,SUBSTITUTE(SUBSTITUTE(SUBSTITUTE(L911,"~","~~"),"*","~*"),"?","~?")))</x:f>
      </x:c>
      <x:c r="I911" s="13" t="str">
        <x:f>IF(OR(H911&lt;&gt;1,G911&lt;&gt;1),"",SUMIFS('External Data'!$E$2:$E$1001,'External Data'!$L$2:$L$1001,SUBSTITUTE(SUBSTITUTE(SUBSTITUTE(L911,"~","~~"),"*","~*"),"?","~?")))</x:f>
      </x:c>
      <x:c r="J911" s="13" t="str">
        <x:f>IF(OR(NOT(ISNUMBER(E911)),NOT(ISNUMBER(I911))),"",ROUND(E911-I911,2))</x:f>
      </x:c>
      <x:c r="K911" s="2" t="str">
        <x:f>IF(COUNTA(A911:F911)=0,"",IF(OR(A911="",B911="",C911="",D911="",NOT(ISNUMBER(E911))),"Missing / invalid input",IF(G911&gt;1,"Duplicate key in this source",IF(H911=0,"Missing in other source",IF(H911&gt;1,"Duplicate in other source",IF(SUMIFS('External Data'!$M$2:$M$1001,'External Data'!$L$2:$L$1001,SUBSTITUTE(SUBSTITUTE(SUBSTITUTE(L911,"~","~~"),"*","~*"),"?","~?"))&lt;&gt;1,"Other amount is invalid",IF(J911&lt;&gt;0,"Amount differs","Matched")))))))</x:f>
      </x:c>
      <x:c r="L911" t="str">
        <x:f>IF(COUNTA(A911:F911)=0,"",LEN(A911)&amp;":"&amp;A911&amp;LEN(B911)&amp;":"&amp;B911&amp;LEN(C911)&amp;":"&amp;C911&amp;LEN(D911)&amp;":"&amp;D911)</x:f>
      </x:c>
      <x:c r="M911" t="str">
        <x:f>IF(COUNTA(A911:F911)=0,"",IF(ISNUMBER(E911),1,0))</x:f>
      </x:c>
    </x:row>
    <x:row r="912">
      <x:c r="A912" s="11"/>
      <x:c r="B912" s="11"/>
      <x:c r="C912" s="11"/>
      <x:c r="D912" s="11"/>
      <x:c r="E912" s="12"/>
      <x:c r="F912" s="10"/>
      <x:c r="G912" s="2" t="str">
        <x:f>IF(COUNTA(A912:F912)=0,"",COUNTIFS('App Data'!$L$2:$L$1001,SUBSTITUTE(SUBSTITUTE(SUBSTITUTE(L912,"~","~~"),"*","~*"),"?","~?")))</x:f>
      </x:c>
      <x:c r="H912" s="2" t="str">
        <x:f>IF(COUNTA(A912:F912)=0,"",COUNTIFS('External Data'!$L$2:$L$1001,SUBSTITUTE(SUBSTITUTE(SUBSTITUTE(L912,"~","~~"),"*","~*"),"?","~?")))</x:f>
      </x:c>
      <x:c r="I912" s="13" t="str">
        <x:f>IF(OR(H912&lt;&gt;1,G912&lt;&gt;1),"",SUMIFS('External Data'!$E$2:$E$1001,'External Data'!$L$2:$L$1001,SUBSTITUTE(SUBSTITUTE(SUBSTITUTE(L912,"~","~~"),"*","~*"),"?","~?")))</x:f>
      </x:c>
      <x:c r="J912" s="13" t="str">
        <x:f>IF(OR(NOT(ISNUMBER(E912)),NOT(ISNUMBER(I912))),"",ROUND(E912-I912,2))</x:f>
      </x:c>
      <x:c r="K912" s="2" t="str">
        <x:f>IF(COUNTA(A912:F912)=0,"",IF(OR(A912="",B912="",C912="",D912="",NOT(ISNUMBER(E912))),"Missing / invalid input",IF(G912&gt;1,"Duplicate key in this source",IF(H912=0,"Missing in other source",IF(H912&gt;1,"Duplicate in other source",IF(SUMIFS('External Data'!$M$2:$M$1001,'External Data'!$L$2:$L$1001,SUBSTITUTE(SUBSTITUTE(SUBSTITUTE(L912,"~","~~"),"*","~*"),"?","~?"))&lt;&gt;1,"Other amount is invalid",IF(J912&lt;&gt;0,"Amount differs","Matched")))))))</x:f>
      </x:c>
      <x:c r="L912" t="str">
        <x:f>IF(COUNTA(A912:F912)=0,"",LEN(A912)&amp;":"&amp;A912&amp;LEN(B912)&amp;":"&amp;B912&amp;LEN(C912)&amp;":"&amp;C912&amp;LEN(D912)&amp;":"&amp;D912)</x:f>
      </x:c>
      <x:c r="M912" t="str">
        <x:f>IF(COUNTA(A912:F912)=0,"",IF(ISNUMBER(E912),1,0))</x:f>
      </x:c>
    </x:row>
    <x:row r="913">
      <x:c r="A913" s="11"/>
      <x:c r="B913" s="11"/>
      <x:c r="C913" s="11"/>
      <x:c r="D913" s="11"/>
      <x:c r="E913" s="12"/>
      <x:c r="F913" s="10"/>
      <x:c r="G913" s="2" t="str">
        <x:f>IF(COUNTA(A913:F913)=0,"",COUNTIFS('App Data'!$L$2:$L$1001,SUBSTITUTE(SUBSTITUTE(SUBSTITUTE(L913,"~","~~"),"*","~*"),"?","~?")))</x:f>
      </x:c>
      <x:c r="H913" s="2" t="str">
        <x:f>IF(COUNTA(A913:F913)=0,"",COUNTIFS('External Data'!$L$2:$L$1001,SUBSTITUTE(SUBSTITUTE(SUBSTITUTE(L913,"~","~~"),"*","~*"),"?","~?")))</x:f>
      </x:c>
      <x:c r="I913" s="13" t="str">
        <x:f>IF(OR(H913&lt;&gt;1,G913&lt;&gt;1),"",SUMIFS('External Data'!$E$2:$E$1001,'External Data'!$L$2:$L$1001,SUBSTITUTE(SUBSTITUTE(SUBSTITUTE(L913,"~","~~"),"*","~*"),"?","~?")))</x:f>
      </x:c>
      <x:c r="J913" s="13" t="str">
        <x:f>IF(OR(NOT(ISNUMBER(E913)),NOT(ISNUMBER(I913))),"",ROUND(E913-I913,2))</x:f>
      </x:c>
      <x:c r="K913" s="2" t="str">
        <x:f>IF(COUNTA(A913:F913)=0,"",IF(OR(A913="",B913="",C913="",D913="",NOT(ISNUMBER(E913))),"Missing / invalid input",IF(G913&gt;1,"Duplicate key in this source",IF(H913=0,"Missing in other source",IF(H913&gt;1,"Duplicate in other source",IF(SUMIFS('External Data'!$M$2:$M$1001,'External Data'!$L$2:$L$1001,SUBSTITUTE(SUBSTITUTE(SUBSTITUTE(L913,"~","~~"),"*","~*"),"?","~?"))&lt;&gt;1,"Other amount is invalid",IF(J913&lt;&gt;0,"Amount differs","Matched")))))))</x:f>
      </x:c>
      <x:c r="L913" t="str">
        <x:f>IF(COUNTA(A913:F913)=0,"",LEN(A913)&amp;":"&amp;A913&amp;LEN(B913)&amp;":"&amp;B913&amp;LEN(C913)&amp;":"&amp;C913&amp;LEN(D913)&amp;":"&amp;D913)</x:f>
      </x:c>
      <x:c r="M913" t="str">
        <x:f>IF(COUNTA(A913:F913)=0,"",IF(ISNUMBER(E913),1,0))</x:f>
      </x:c>
    </x:row>
    <x:row r="914">
      <x:c r="A914" s="11"/>
      <x:c r="B914" s="11"/>
      <x:c r="C914" s="11"/>
      <x:c r="D914" s="11"/>
      <x:c r="E914" s="12"/>
      <x:c r="F914" s="10"/>
      <x:c r="G914" s="2" t="str">
        <x:f>IF(COUNTA(A914:F914)=0,"",COUNTIFS('App Data'!$L$2:$L$1001,SUBSTITUTE(SUBSTITUTE(SUBSTITUTE(L914,"~","~~"),"*","~*"),"?","~?")))</x:f>
      </x:c>
      <x:c r="H914" s="2" t="str">
        <x:f>IF(COUNTA(A914:F914)=0,"",COUNTIFS('External Data'!$L$2:$L$1001,SUBSTITUTE(SUBSTITUTE(SUBSTITUTE(L914,"~","~~"),"*","~*"),"?","~?")))</x:f>
      </x:c>
      <x:c r="I914" s="13" t="str">
        <x:f>IF(OR(H914&lt;&gt;1,G914&lt;&gt;1),"",SUMIFS('External Data'!$E$2:$E$1001,'External Data'!$L$2:$L$1001,SUBSTITUTE(SUBSTITUTE(SUBSTITUTE(L914,"~","~~"),"*","~*"),"?","~?")))</x:f>
      </x:c>
      <x:c r="J914" s="13" t="str">
        <x:f>IF(OR(NOT(ISNUMBER(E914)),NOT(ISNUMBER(I914))),"",ROUND(E914-I914,2))</x:f>
      </x:c>
      <x:c r="K914" s="2" t="str">
        <x:f>IF(COUNTA(A914:F914)=0,"",IF(OR(A914="",B914="",C914="",D914="",NOT(ISNUMBER(E914))),"Missing / invalid input",IF(G914&gt;1,"Duplicate key in this source",IF(H914=0,"Missing in other source",IF(H914&gt;1,"Duplicate in other source",IF(SUMIFS('External Data'!$M$2:$M$1001,'External Data'!$L$2:$L$1001,SUBSTITUTE(SUBSTITUTE(SUBSTITUTE(L914,"~","~~"),"*","~*"),"?","~?"))&lt;&gt;1,"Other amount is invalid",IF(J914&lt;&gt;0,"Amount differs","Matched")))))))</x:f>
      </x:c>
      <x:c r="L914" t="str">
        <x:f>IF(COUNTA(A914:F914)=0,"",LEN(A914)&amp;":"&amp;A914&amp;LEN(B914)&amp;":"&amp;B914&amp;LEN(C914)&amp;":"&amp;C914&amp;LEN(D914)&amp;":"&amp;D914)</x:f>
      </x:c>
      <x:c r="M914" t="str">
        <x:f>IF(COUNTA(A914:F914)=0,"",IF(ISNUMBER(E914),1,0))</x:f>
      </x:c>
    </x:row>
    <x:row r="915">
      <x:c r="A915" s="11"/>
      <x:c r="B915" s="11"/>
      <x:c r="C915" s="11"/>
      <x:c r="D915" s="11"/>
      <x:c r="E915" s="12"/>
      <x:c r="F915" s="10"/>
      <x:c r="G915" s="2" t="str">
        <x:f>IF(COUNTA(A915:F915)=0,"",COUNTIFS('App Data'!$L$2:$L$1001,SUBSTITUTE(SUBSTITUTE(SUBSTITUTE(L915,"~","~~"),"*","~*"),"?","~?")))</x:f>
      </x:c>
      <x:c r="H915" s="2" t="str">
        <x:f>IF(COUNTA(A915:F915)=0,"",COUNTIFS('External Data'!$L$2:$L$1001,SUBSTITUTE(SUBSTITUTE(SUBSTITUTE(L915,"~","~~"),"*","~*"),"?","~?")))</x:f>
      </x:c>
      <x:c r="I915" s="13" t="str">
        <x:f>IF(OR(H915&lt;&gt;1,G915&lt;&gt;1),"",SUMIFS('External Data'!$E$2:$E$1001,'External Data'!$L$2:$L$1001,SUBSTITUTE(SUBSTITUTE(SUBSTITUTE(L915,"~","~~"),"*","~*"),"?","~?")))</x:f>
      </x:c>
      <x:c r="J915" s="13" t="str">
        <x:f>IF(OR(NOT(ISNUMBER(E915)),NOT(ISNUMBER(I915))),"",ROUND(E915-I915,2))</x:f>
      </x:c>
      <x:c r="K915" s="2" t="str">
        <x:f>IF(COUNTA(A915:F915)=0,"",IF(OR(A915="",B915="",C915="",D915="",NOT(ISNUMBER(E915))),"Missing / invalid input",IF(G915&gt;1,"Duplicate key in this source",IF(H915=0,"Missing in other source",IF(H915&gt;1,"Duplicate in other source",IF(SUMIFS('External Data'!$M$2:$M$1001,'External Data'!$L$2:$L$1001,SUBSTITUTE(SUBSTITUTE(SUBSTITUTE(L915,"~","~~"),"*","~*"),"?","~?"))&lt;&gt;1,"Other amount is invalid",IF(J915&lt;&gt;0,"Amount differs","Matched")))))))</x:f>
      </x:c>
      <x:c r="L915" t="str">
        <x:f>IF(COUNTA(A915:F915)=0,"",LEN(A915)&amp;":"&amp;A915&amp;LEN(B915)&amp;":"&amp;B915&amp;LEN(C915)&amp;":"&amp;C915&amp;LEN(D915)&amp;":"&amp;D915)</x:f>
      </x:c>
      <x:c r="M915" t="str">
        <x:f>IF(COUNTA(A915:F915)=0,"",IF(ISNUMBER(E915),1,0))</x:f>
      </x:c>
    </x:row>
    <x:row r="916">
      <x:c r="A916" s="11"/>
      <x:c r="B916" s="11"/>
      <x:c r="C916" s="11"/>
      <x:c r="D916" s="11"/>
      <x:c r="E916" s="12"/>
      <x:c r="F916" s="10"/>
      <x:c r="G916" s="2" t="str">
        <x:f>IF(COUNTA(A916:F916)=0,"",COUNTIFS('App Data'!$L$2:$L$1001,SUBSTITUTE(SUBSTITUTE(SUBSTITUTE(L916,"~","~~"),"*","~*"),"?","~?")))</x:f>
      </x:c>
      <x:c r="H916" s="2" t="str">
        <x:f>IF(COUNTA(A916:F916)=0,"",COUNTIFS('External Data'!$L$2:$L$1001,SUBSTITUTE(SUBSTITUTE(SUBSTITUTE(L916,"~","~~"),"*","~*"),"?","~?")))</x:f>
      </x:c>
      <x:c r="I916" s="13" t="str">
        <x:f>IF(OR(H916&lt;&gt;1,G916&lt;&gt;1),"",SUMIFS('External Data'!$E$2:$E$1001,'External Data'!$L$2:$L$1001,SUBSTITUTE(SUBSTITUTE(SUBSTITUTE(L916,"~","~~"),"*","~*"),"?","~?")))</x:f>
      </x:c>
      <x:c r="J916" s="13" t="str">
        <x:f>IF(OR(NOT(ISNUMBER(E916)),NOT(ISNUMBER(I916))),"",ROUND(E916-I916,2))</x:f>
      </x:c>
      <x:c r="K916" s="2" t="str">
        <x:f>IF(COUNTA(A916:F916)=0,"",IF(OR(A916="",B916="",C916="",D916="",NOT(ISNUMBER(E916))),"Missing / invalid input",IF(G916&gt;1,"Duplicate key in this source",IF(H916=0,"Missing in other source",IF(H916&gt;1,"Duplicate in other source",IF(SUMIFS('External Data'!$M$2:$M$1001,'External Data'!$L$2:$L$1001,SUBSTITUTE(SUBSTITUTE(SUBSTITUTE(L916,"~","~~"),"*","~*"),"?","~?"))&lt;&gt;1,"Other amount is invalid",IF(J916&lt;&gt;0,"Amount differs","Matched")))))))</x:f>
      </x:c>
      <x:c r="L916" t="str">
        <x:f>IF(COUNTA(A916:F916)=0,"",LEN(A916)&amp;":"&amp;A916&amp;LEN(B916)&amp;":"&amp;B916&amp;LEN(C916)&amp;":"&amp;C916&amp;LEN(D916)&amp;":"&amp;D916)</x:f>
      </x:c>
      <x:c r="M916" t="str">
        <x:f>IF(COUNTA(A916:F916)=0,"",IF(ISNUMBER(E916),1,0))</x:f>
      </x:c>
    </x:row>
    <x:row r="917">
      <x:c r="A917" s="11"/>
      <x:c r="B917" s="11"/>
      <x:c r="C917" s="11"/>
      <x:c r="D917" s="11"/>
      <x:c r="E917" s="12"/>
      <x:c r="F917" s="10"/>
      <x:c r="G917" s="2" t="str">
        <x:f>IF(COUNTA(A917:F917)=0,"",COUNTIFS('App Data'!$L$2:$L$1001,SUBSTITUTE(SUBSTITUTE(SUBSTITUTE(L917,"~","~~"),"*","~*"),"?","~?")))</x:f>
      </x:c>
      <x:c r="H917" s="2" t="str">
        <x:f>IF(COUNTA(A917:F917)=0,"",COUNTIFS('External Data'!$L$2:$L$1001,SUBSTITUTE(SUBSTITUTE(SUBSTITUTE(L917,"~","~~"),"*","~*"),"?","~?")))</x:f>
      </x:c>
      <x:c r="I917" s="13" t="str">
        <x:f>IF(OR(H917&lt;&gt;1,G917&lt;&gt;1),"",SUMIFS('External Data'!$E$2:$E$1001,'External Data'!$L$2:$L$1001,SUBSTITUTE(SUBSTITUTE(SUBSTITUTE(L917,"~","~~"),"*","~*"),"?","~?")))</x:f>
      </x:c>
      <x:c r="J917" s="13" t="str">
        <x:f>IF(OR(NOT(ISNUMBER(E917)),NOT(ISNUMBER(I917))),"",ROUND(E917-I917,2))</x:f>
      </x:c>
      <x:c r="K917" s="2" t="str">
        <x:f>IF(COUNTA(A917:F917)=0,"",IF(OR(A917="",B917="",C917="",D917="",NOT(ISNUMBER(E917))),"Missing / invalid input",IF(G917&gt;1,"Duplicate key in this source",IF(H917=0,"Missing in other source",IF(H917&gt;1,"Duplicate in other source",IF(SUMIFS('External Data'!$M$2:$M$1001,'External Data'!$L$2:$L$1001,SUBSTITUTE(SUBSTITUTE(SUBSTITUTE(L917,"~","~~"),"*","~*"),"?","~?"))&lt;&gt;1,"Other amount is invalid",IF(J917&lt;&gt;0,"Amount differs","Matched")))))))</x:f>
      </x:c>
      <x:c r="L917" t="str">
        <x:f>IF(COUNTA(A917:F917)=0,"",LEN(A917)&amp;":"&amp;A917&amp;LEN(B917)&amp;":"&amp;B917&amp;LEN(C917)&amp;":"&amp;C917&amp;LEN(D917)&amp;":"&amp;D917)</x:f>
      </x:c>
      <x:c r="M917" t="str">
        <x:f>IF(COUNTA(A917:F917)=0,"",IF(ISNUMBER(E917),1,0))</x:f>
      </x:c>
    </x:row>
    <x:row r="918">
      <x:c r="A918" s="11"/>
      <x:c r="B918" s="11"/>
      <x:c r="C918" s="11"/>
      <x:c r="D918" s="11"/>
      <x:c r="E918" s="12"/>
      <x:c r="F918" s="10"/>
      <x:c r="G918" s="2" t="str">
        <x:f>IF(COUNTA(A918:F918)=0,"",COUNTIFS('App Data'!$L$2:$L$1001,SUBSTITUTE(SUBSTITUTE(SUBSTITUTE(L918,"~","~~"),"*","~*"),"?","~?")))</x:f>
      </x:c>
      <x:c r="H918" s="2" t="str">
        <x:f>IF(COUNTA(A918:F918)=0,"",COUNTIFS('External Data'!$L$2:$L$1001,SUBSTITUTE(SUBSTITUTE(SUBSTITUTE(L918,"~","~~"),"*","~*"),"?","~?")))</x:f>
      </x:c>
      <x:c r="I918" s="13" t="str">
        <x:f>IF(OR(H918&lt;&gt;1,G918&lt;&gt;1),"",SUMIFS('External Data'!$E$2:$E$1001,'External Data'!$L$2:$L$1001,SUBSTITUTE(SUBSTITUTE(SUBSTITUTE(L918,"~","~~"),"*","~*"),"?","~?")))</x:f>
      </x:c>
      <x:c r="J918" s="13" t="str">
        <x:f>IF(OR(NOT(ISNUMBER(E918)),NOT(ISNUMBER(I918))),"",ROUND(E918-I918,2))</x:f>
      </x:c>
      <x:c r="K918" s="2" t="str">
        <x:f>IF(COUNTA(A918:F918)=0,"",IF(OR(A918="",B918="",C918="",D918="",NOT(ISNUMBER(E918))),"Missing / invalid input",IF(G918&gt;1,"Duplicate key in this source",IF(H918=0,"Missing in other source",IF(H918&gt;1,"Duplicate in other source",IF(SUMIFS('External Data'!$M$2:$M$1001,'External Data'!$L$2:$L$1001,SUBSTITUTE(SUBSTITUTE(SUBSTITUTE(L918,"~","~~"),"*","~*"),"?","~?"))&lt;&gt;1,"Other amount is invalid",IF(J918&lt;&gt;0,"Amount differs","Matched")))))))</x:f>
      </x:c>
      <x:c r="L918" t="str">
        <x:f>IF(COUNTA(A918:F918)=0,"",LEN(A918)&amp;":"&amp;A918&amp;LEN(B918)&amp;":"&amp;B918&amp;LEN(C918)&amp;":"&amp;C918&amp;LEN(D918)&amp;":"&amp;D918)</x:f>
      </x:c>
      <x:c r="M918" t="str">
        <x:f>IF(COUNTA(A918:F918)=0,"",IF(ISNUMBER(E918),1,0))</x:f>
      </x:c>
    </x:row>
    <x:row r="919">
      <x:c r="A919" s="11"/>
      <x:c r="B919" s="11"/>
      <x:c r="C919" s="11"/>
      <x:c r="D919" s="11"/>
      <x:c r="E919" s="12"/>
      <x:c r="F919" s="10"/>
      <x:c r="G919" s="2" t="str">
        <x:f>IF(COUNTA(A919:F919)=0,"",COUNTIFS('App Data'!$L$2:$L$1001,SUBSTITUTE(SUBSTITUTE(SUBSTITUTE(L919,"~","~~"),"*","~*"),"?","~?")))</x:f>
      </x:c>
      <x:c r="H919" s="2" t="str">
        <x:f>IF(COUNTA(A919:F919)=0,"",COUNTIFS('External Data'!$L$2:$L$1001,SUBSTITUTE(SUBSTITUTE(SUBSTITUTE(L919,"~","~~"),"*","~*"),"?","~?")))</x:f>
      </x:c>
      <x:c r="I919" s="13" t="str">
        <x:f>IF(OR(H919&lt;&gt;1,G919&lt;&gt;1),"",SUMIFS('External Data'!$E$2:$E$1001,'External Data'!$L$2:$L$1001,SUBSTITUTE(SUBSTITUTE(SUBSTITUTE(L919,"~","~~"),"*","~*"),"?","~?")))</x:f>
      </x:c>
      <x:c r="J919" s="13" t="str">
        <x:f>IF(OR(NOT(ISNUMBER(E919)),NOT(ISNUMBER(I919))),"",ROUND(E919-I919,2))</x:f>
      </x:c>
      <x:c r="K919" s="2" t="str">
        <x:f>IF(COUNTA(A919:F919)=0,"",IF(OR(A919="",B919="",C919="",D919="",NOT(ISNUMBER(E919))),"Missing / invalid input",IF(G919&gt;1,"Duplicate key in this source",IF(H919=0,"Missing in other source",IF(H919&gt;1,"Duplicate in other source",IF(SUMIFS('External Data'!$M$2:$M$1001,'External Data'!$L$2:$L$1001,SUBSTITUTE(SUBSTITUTE(SUBSTITUTE(L919,"~","~~"),"*","~*"),"?","~?"))&lt;&gt;1,"Other amount is invalid",IF(J919&lt;&gt;0,"Amount differs","Matched")))))))</x:f>
      </x:c>
      <x:c r="L919" t="str">
        <x:f>IF(COUNTA(A919:F919)=0,"",LEN(A919)&amp;":"&amp;A919&amp;LEN(B919)&amp;":"&amp;B919&amp;LEN(C919)&amp;":"&amp;C919&amp;LEN(D919)&amp;":"&amp;D919)</x:f>
      </x:c>
      <x:c r="M919" t="str">
        <x:f>IF(COUNTA(A919:F919)=0,"",IF(ISNUMBER(E919),1,0))</x:f>
      </x:c>
    </x:row>
    <x:row r="920">
      <x:c r="A920" s="11"/>
      <x:c r="B920" s="11"/>
      <x:c r="C920" s="11"/>
      <x:c r="D920" s="11"/>
      <x:c r="E920" s="12"/>
      <x:c r="F920" s="10"/>
      <x:c r="G920" s="2" t="str">
        <x:f>IF(COUNTA(A920:F920)=0,"",COUNTIFS('App Data'!$L$2:$L$1001,SUBSTITUTE(SUBSTITUTE(SUBSTITUTE(L920,"~","~~"),"*","~*"),"?","~?")))</x:f>
      </x:c>
      <x:c r="H920" s="2" t="str">
        <x:f>IF(COUNTA(A920:F920)=0,"",COUNTIFS('External Data'!$L$2:$L$1001,SUBSTITUTE(SUBSTITUTE(SUBSTITUTE(L920,"~","~~"),"*","~*"),"?","~?")))</x:f>
      </x:c>
      <x:c r="I920" s="13" t="str">
        <x:f>IF(OR(H920&lt;&gt;1,G920&lt;&gt;1),"",SUMIFS('External Data'!$E$2:$E$1001,'External Data'!$L$2:$L$1001,SUBSTITUTE(SUBSTITUTE(SUBSTITUTE(L920,"~","~~"),"*","~*"),"?","~?")))</x:f>
      </x:c>
      <x:c r="J920" s="13" t="str">
        <x:f>IF(OR(NOT(ISNUMBER(E920)),NOT(ISNUMBER(I920))),"",ROUND(E920-I920,2))</x:f>
      </x:c>
      <x:c r="K920" s="2" t="str">
        <x:f>IF(COUNTA(A920:F920)=0,"",IF(OR(A920="",B920="",C920="",D920="",NOT(ISNUMBER(E920))),"Missing / invalid input",IF(G920&gt;1,"Duplicate key in this source",IF(H920=0,"Missing in other source",IF(H920&gt;1,"Duplicate in other source",IF(SUMIFS('External Data'!$M$2:$M$1001,'External Data'!$L$2:$L$1001,SUBSTITUTE(SUBSTITUTE(SUBSTITUTE(L920,"~","~~"),"*","~*"),"?","~?"))&lt;&gt;1,"Other amount is invalid",IF(J920&lt;&gt;0,"Amount differs","Matched")))))))</x:f>
      </x:c>
      <x:c r="L920" t="str">
        <x:f>IF(COUNTA(A920:F920)=0,"",LEN(A920)&amp;":"&amp;A920&amp;LEN(B920)&amp;":"&amp;B920&amp;LEN(C920)&amp;":"&amp;C920&amp;LEN(D920)&amp;":"&amp;D920)</x:f>
      </x:c>
      <x:c r="M920" t="str">
        <x:f>IF(COUNTA(A920:F920)=0,"",IF(ISNUMBER(E920),1,0))</x:f>
      </x:c>
    </x:row>
    <x:row r="921">
      <x:c r="A921" s="11"/>
      <x:c r="B921" s="11"/>
      <x:c r="C921" s="11"/>
      <x:c r="D921" s="11"/>
      <x:c r="E921" s="12"/>
      <x:c r="F921" s="10"/>
      <x:c r="G921" s="2" t="str">
        <x:f>IF(COUNTA(A921:F921)=0,"",COUNTIFS('App Data'!$L$2:$L$1001,SUBSTITUTE(SUBSTITUTE(SUBSTITUTE(L921,"~","~~"),"*","~*"),"?","~?")))</x:f>
      </x:c>
      <x:c r="H921" s="2" t="str">
        <x:f>IF(COUNTA(A921:F921)=0,"",COUNTIFS('External Data'!$L$2:$L$1001,SUBSTITUTE(SUBSTITUTE(SUBSTITUTE(L921,"~","~~"),"*","~*"),"?","~?")))</x:f>
      </x:c>
      <x:c r="I921" s="13" t="str">
        <x:f>IF(OR(H921&lt;&gt;1,G921&lt;&gt;1),"",SUMIFS('External Data'!$E$2:$E$1001,'External Data'!$L$2:$L$1001,SUBSTITUTE(SUBSTITUTE(SUBSTITUTE(L921,"~","~~"),"*","~*"),"?","~?")))</x:f>
      </x:c>
      <x:c r="J921" s="13" t="str">
        <x:f>IF(OR(NOT(ISNUMBER(E921)),NOT(ISNUMBER(I921))),"",ROUND(E921-I921,2))</x:f>
      </x:c>
      <x:c r="K921" s="2" t="str">
        <x:f>IF(COUNTA(A921:F921)=0,"",IF(OR(A921="",B921="",C921="",D921="",NOT(ISNUMBER(E921))),"Missing / invalid input",IF(G921&gt;1,"Duplicate key in this source",IF(H921=0,"Missing in other source",IF(H921&gt;1,"Duplicate in other source",IF(SUMIFS('External Data'!$M$2:$M$1001,'External Data'!$L$2:$L$1001,SUBSTITUTE(SUBSTITUTE(SUBSTITUTE(L921,"~","~~"),"*","~*"),"?","~?"))&lt;&gt;1,"Other amount is invalid",IF(J921&lt;&gt;0,"Amount differs","Matched")))))))</x:f>
      </x:c>
      <x:c r="L921" t="str">
        <x:f>IF(COUNTA(A921:F921)=0,"",LEN(A921)&amp;":"&amp;A921&amp;LEN(B921)&amp;":"&amp;B921&amp;LEN(C921)&amp;":"&amp;C921&amp;LEN(D921)&amp;":"&amp;D921)</x:f>
      </x:c>
      <x:c r="M921" t="str">
        <x:f>IF(COUNTA(A921:F921)=0,"",IF(ISNUMBER(E921),1,0))</x:f>
      </x:c>
    </x:row>
    <x:row r="922">
      <x:c r="A922" s="11"/>
      <x:c r="B922" s="11"/>
      <x:c r="C922" s="11"/>
      <x:c r="D922" s="11"/>
      <x:c r="E922" s="12"/>
      <x:c r="F922" s="10"/>
      <x:c r="G922" s="2" t="str">
        <x:f>IF(COUNTA(A922:F922)=0,"",COUNTIFS('App Data'!$L$2:$L$1001,SUBSTITUTE(SUBSTITUTE(SUBSTITUTE(L922,"~","~~"),"*","~*"),"?","~?")))</x:f>
      </x:c>
      <x:c r="H922" s="2" t="str">
        <x:f>IF(COUNTA(A922:F922)=0,"",COUNTIFS('External Data'!$L$2:$L$1001,SUBSTITUTE(SUBSTITUTE(SUBSTITUTE(L922,"~","~~"),"*","~*"),"?","~?")))</x:f>
      </x:c>
      <x:c r="I922" s="13" t="str">
        <x:f>IF(OR(H922&lt;&gt;1,G922&lt;&gt;1),"",SUMIFS('External Data'!$E$2:$E$1001,'External Data'!$L$2:$L$1001,SUBSTITUTE(SUBSTITUTE(SUBSTITUTE(L922,"~","~~"),"*","~*"),"?","~?")))</x:f>
      </x:c>
      <x:c r="J922" s="13" t="str">
        <x:f>IF(OR(NOT(ISNUMBER(E922)),NOT(ISNUMBER(I922))),"",ROUND(E922-I922,2))</x:f>
      </x:c>
      <x:c r="K922" s="2" t="str">
        <x:f>IF(COUNTA(A922:F922)=0,"",IF(OR(A922="",B922="",C922="",D922="",NOT(ISNUMBER(E922))),"Missing / invalid input",IF(G922&gt;1,"Duplicate key in this source",IF(H922=0,"Missing in other source",IF(H922&gt;1,"Duplicate in other source",IF(SUMIFS('External Data'!$M$2:$M$1001,'External Data'!$L$2:$L$1001,SUBSTITUTE(SUBSTITUTE(SUBSTITUTE(L922,"~","~~"),"*","~*"),"?","~?"))&lt;&gt;1,"Other amount is invalid",IF(J922&lt;&gt;0,"Amount differs","Matched")))))))</x:f>
      </x:c>
      <x:c r="L922" t="str">
        <x:f>IF(COUNTA(A922:F922)=0,"",LEN(A922)&amp;":"&amp;A922&amp;LEN(B922)&amp;":"&amp;B922&amp;LEN(C922)&amp;":"&amp;C922&amp;LEN(D922)&amp;":"&amp;D922)</x:f>
      </x:c>
      <x:c r="M922" t="str">
        <x:f>IF(COUNTA(A922:F922)=0,"",IF(ISNUMBER(E922),1,0))</x:f>
      </x:c>
    </x:row>
    <x:row r="923">
      <x:c r="A923" s="11"/>
      <x:c r="B923" s="11"/>
      <x:c r="C923" s="11"/>
      <x:c r="D923" s="11"/>
      <x:c r="E923" s="12"/>
      <x:c r="F923" s="10"/>
      <x:c r="G923" s="2" t="str">
        <x:f>IF(COUNTA(A923:F923)=0,"",COUNTIFS('App Data'!$L$2:$L$1001,SUBSTITUTE(SUBSTITUTE(SUBSTITUTE(L923,"~","~~"),"*","~*"),"?","~?")))</x:f>
      </x:c>
      <x:c r="H923" s="2" t="str">
        <x:f>IF(COUNTA(A923:F923)=0,"",COUNTIFS('External Data'!$L$2:$L$1001,SUBSTITUTE(SUBSTITUTE(SUBSTITUTE(L923,"~","~~"),"*","~*"),"?","~?")))</x:f>
      </x:c>
      <x:c r="I923" s="13" t="str">
        <x:f>IF(OR(H923&lt;&gt;1,G923&lt;&gt;1),"",SUMIFS('External Data'!$E$2:$E$1001,'External Data'!$L$2:$L$1001,SUBSTITUTE(SUBSTITUTE(SUBSTITUTE(L923,"~","~~"),"*","~*"),"?","~?")))</x:f>
      </x:c>
      <x:c r="J923" s="13" t="str">
        <x:f>IF(OR(NOT(ISNUMBER(E923)),NOT(ISNUMBER(I923))),"",ROUND(E923-I923,2))</x:f>
      </x:c>
      <x:c r="K923" s="2" t="str">
        <x:f>IF(COUNTA(A923:F923)=0,"",IF(OR(A923="",B923="",C923="",D923="",NOT(ISNUMBER(E923))),"Missing / invalid input",IF(G923&gt;1,"Duplicate key in this source",IF(H923=0,"Missing in other source",IF(H923&gt;1,"Duplicate in other source",IF(SUMIFS('External Data'!$M$2:$M$1001,'External Data'!$L$2:$L$1001,SUBSTITUTE(SUBSTITUTE(SUBSTITUTE(L923,"~","~~"),"*","~*"),"?","~?"))&lt;&gt;1,"Other amount is invalid",IF(J923&lt;&gt;0,"Amount differs","Matched")))))))</x:f>
      </x:c>
      <x:c r="L923" t="str">
        <x:f>IF(COUNTA(A923:F923)=0,"",LEN(A923)&amp;":"&amp;A923&amp;LEN(B923)&amp;":"&amp;B923&amp;LEN(C923)&amp;":"&amp;C923&amp;LEN(D923)&amp;":"&amp;D923)</x:f>
      </x:c>
      <x:c r="M923" t="str">
        <x:f>IF(COUNTA(A923:F923)=0,"",IF(ISNUMBER(E923),1,0))</x:f>
      </x:c>
    </x:row>
    <x:row r="924">
      <x:c r="A924" s="11"/>
      <x:c r="B924" s="11"/>
      <x:c r="C924" s="11"/>
      <x:c r="D924" s="11"/>
      <x:c r="E924" s="12"/>
      <x:c r="F924" s="10"/>
      <x:c r="G924" s="2" t="str">
        <x:f>IF(COUNTA(A924:F924)=0,"",COUNTIFS('App Data'!$L$2:$L$1001,SUBSTITUTE(SUBSTITUTE(SUBSTITUTE(L924,"~","~~"),"*","~*"),"?","~?")))</x:f>
      </x:c>
      <x:c r="H924" s="2" t="str">
        <x:f>IF(COUNTA(A924:F924)=0,"",COUNTIFS('External Data'!$L$2:$L$1001,SUBSTITUTE(SUBSTITUTE(SUBSTITUTE(L924,"~","~~"),"*","~*"),"?","~?")))</x:f>
      </x:c>
      <x:c r="I924" s="13" t="str">
        <x:f>IF(OR(H924&lt;&gt;1,G924&lt;&gt;1),"",SUMIFS('External Data'!$E$2:$E$1001,'External Data'!$L$2:$L$1001,SUBSTITUTE(SUBSTITUTE(SUBSTITUTE(L924,"~","~~"),"*","~*"),"?","~?")))</x:f>
      </x:c>
      <x:c r="J924" s="13" t="str">
        <x:f>IF(OR(NOT(ISNUMBER(E924)),NOT(ISNUMBER(I924))),"",ROUND(E924-I924,2))</x:f>
      </x:c>
      <x:c r="K924" s="2" t="str">
        <x:f>IF(COUNTA(A924:F924)=0,"",IF(OR(A924="",B924="",C924="",D924="",NOT(ISNUMBER(E924))),"Missing / invalid input",IF(G924&gt;1,"Duplicate key in this source",IF(H924=0,"Missing in other source",IF(H924&gt;1,"Duplicate in other source",IF(SUMIFS('External Data'!$M$2:$M$1001,'External Data'!$L$2:$L$1001,SUBSTITUTE(SUBSTITUTE(SUBSTITUTE(L924,"~","~~"),"*","~*"),"?","~?"))&lt;&gt;1,"Other amount is invalid",IF(J924&lt;&gt;0,"Amount differs","Matched")))))))</x:f>
      </x:c>
      <x:c r="L924" t="str">
        <x:f>IF(COUNTA(A924:F924)=0,"",LEN(A924)&amp;":"&amp;A924&amp;LEN(B924)&amp;":"&amp;B924&amp;LEN(C924)&amp;":"&amp;C924&amp;LEN(D924)&amp;":"&amp;D924)</x:f>
      </x:c>
      <x:c r="M924" t="str">
        <x:f>IF(COUNTA(A924:F924)=0,"",IF(ISNUMBER(E924),1,0))</x:f>
      </x:c>
    </x:row>
    <x:row r="925">
      <x:c r="A925" s="11"/>
      <x:c r="B925" s="11"/>
      <x:c r="C925" s="11"/>
      <x:c r="D925" s="11"/>
      <x:c r="E925" s="12"/>
      <x:c r="F925" s="10"/>
      <x:c r="G925" s="2" t="str">
        <x:f>IF(COUNTA(A925:F925)=0,"",COUNTIFS('App Data'!$L$2:$L$1001,SUBSTITUTE(SUBSTITUTE(SUBSTITUTE(L925,"~","~~"),"*","~*"),"?","~?")))</x:f>
      </x:c>
      <x:c r="H925" s="2" t="str">
        <x:f>IF(COUNTA(A925:F925)=0,"",COUNTIFS('External Data'!$L$2:$L$1001,SUBSTITUTE(SUBSTITUTE(SUBSTITUTE(L925,"~","~~"),"*","~*"),"?","~?")))</x:f>
      </x:c>
      <x:c r="I925" s="13" t="str">
        <x:f>IF(OR(H925&lt;&gt;1,G925&lt;&gt;1),"",SUMIFS('External Data'!$E$2:$E$1001,'External Data'!$L$2:$L$1001,SUBSTITUTE(SUBSTITUTE(SUBSTITUTE(L925,"~","~~"),"*","~*"),"?","~?")))</x:f>
      </x:c>
      <x:c r="J925" s="13" t="str">
        <x:f>IF(OR(NOT(ISNUMBER(E925)),NOT(ISNUMBER(I925))),"",ROUND(E925-I925,2))</x:f>
      </x:c>
      <x:c r="K925" s="2" t="str">
        <x:f>IF(COUNTA(A925:F925)=0,"",IF(OR(A925="",B925="",C925="",D925="",NOT(ISNUMBER(E925))),"Missing / invalid input",IF(G925&gt;1,"Duplicate key in this source",IF(H925=0,"Missing in other source",IF(H925&gt;1,"Duplicate in other source",IF(SUMIFS('External Data'!$M$2:$M$1001,'External Data'!$L$2:$L$1001,SUBSTITUTE(SUBSTITUTE(SUBSTITUTE(L925,"~","~~"),"*","~*"),"?","~?"))&lt;&gt;1,"Other amount is invalid",IF(J925&lt;&gt;0,"Amount differs","Matched")))))))</x:f>
      </x:c>
      <x:c r="L925" t="str">
        <x:f>IF(COUNTA(A925:F925)=0,"",LEN(A925)&amp;":"&amp;A925&amp;LEN(B925)&amp;":"&amp;B925&amp;LEN(C925)&amp;":"&amp;C925&amp;LEN(D925)&amp;":"&amp;D925)</x:f>
      </x:c>
      <x:c r="M925" t="str">
        <x:f>IF(COUNTA(A925:F925)=0,"",IF(ISNUMBER(E925),1,0))</x:f>
      </x:c>
    </x:row>
    <x:row r="926">
      <x:c r="A926" s="11"/>
      <x:c r="B926" s="11"/>
      <x:c r="C926" s="11"/>
      <x:c r="D926" s="11"/>
      <x:c r="E926" s="12"/>
      <x:c r="F926" s="10"/>
      <x:c r="G926" s="2" t="str">
        <x:f>IF(COUNTA(A926:F926)=0,"",COUNTIFS('App Data'!$L$2:$L$1001,SUBSTITUTE(SUBSTITUTE(SUBSTITUTE(L926,"~","~~"),"*","~*"),"?","~?")))</x:f>
      </x:c>
      <x:c r="H926" s="2" t="str">
        <x:f>IF(COUNTA(A926:F926)=0,"",COUNTIFS('External Data'!$L$2:$L$1001,SUBSTITUTE(SUBSTITUTE(SUBSTITUTE(L926,"~","~~"),"*","~*"),"?","~?")))</x:f>
      </x:c>
      <x:c r="I926" s="13" t="str">
        <x:f>IF(OR(H926&lt;&gt;1,G926&lt;&gt;1),"",SUMIFS('External Data'!$E$2:$E$1001,'External Data'!$L$2:$L$1001,SUBSTITUTE(SUBSTITUTE(SUBSTITUTE(L926,"~","~~"),"*","~*"),"?","~?")))</x:f>
      </x:c>
      <x:c r="J926" s="13" t="str">
        <x:f>IF(OR(NOT(ISNUMBER(E926)),NOT(ISNUMBER(I926))),"",ROUND(E926-I926,2))</x:f>
      </x:c>
      <x:c r="K926" s="2" t="str">
        <x:f>IF(COUNTA(A926:F926)=0,"",IF(OR(A926="",B926="",C926="",D926="",NOT(ISNUMBER(E926))),"Missing / invalid input",IF(G926&gt;1,"Duplicate key in this source",IF(H926=0,"Missing in other source",IF(H926&gt;1,"Duplicate in other source",IF(SUMIFS('External Data'!$M$2:$M$1001,'External Data'!$L$2:$L$1001,SUBSTITUTE(SUBSTITUTE(SUBSTITUTE(L926,"~","~~"),"*","~*"),"?","~?"))&lt;&gt;1,"Other amount is invalid",IF(J926&lt;&gt;0,"Amount differs","Matched")))))))</x:f>
      </x:c>
      <x:c r="L926" t="str">
        <x:f>IF(COUNTA(A926:F926)=0,"",LEN(A926)&amp;":"&amp;A926&amp;LEN(B926)&amp;":"&amp;B926&amp;LEN(C926)&amp;":"&amp;C926&amp;LEN(D926)&amp;":"&amp;D926)</x:f>
      </x:c>
      <x:c r="M926" t="str">
        <x:f>IF(COUNTA(A926:F926)=0,"",IF(ISNUMBER(E926),1,0))</x:f>
      </x:c>
    </x:row>
    <x:row r="927">
      <x:c r="A927" s="11"/>
      <x:c r="B927" s="11"/>
      <x:c r="C927" s="11"/>
      <x:c r="D927" s="11"/>
      <x:c r="E927" s="12"/>
      <x:c r="F927" s="10"/>
      <x:c r="G927" s="2" t="str">
        <x:f>IF(COUNTA(A927:F927)=0,"",COUNTIFS('App Data'!$L$2:$L$1001,SUBSTITUTE(SUBSTITUTE(SUBSTITUTE(L927,"~","~~"),"*","~*"),"?","~?")))</x:f>
      </x:c>
      <x:c r="H927" s="2" t="str">
        <x:f>IF(COUNTA(A927:F927)=0,"",COUNTIFS('External Data'!$L$2:$L$1001,SUBSTITUTE(SUBSTITUTE(SUBSTITUTE(L927,"~","~~"),"*","~*"),"?","~?")))</x:f>
      </x:c>
      <x:c r="I927" s="13" t="str">
        <x:f>IF(OR(H927&lt;&gt;1,G927&lt;&gt;1),"",SUMIFS('External Data'!$E$2:$E$1001,'External Data'!$L$2:$L$1001,SUBSTITUTE(SUBSTITUTE(SUBSTITUTE(L927,"~","~~"),"*","~*"),"?","~?")))</x:f>
      </x:c>
      <x:c r="J927" s="13" t="str">
        <x:f>IF(OR(NOT(ISNUMBER(E927)),NOT(ISNUMBER(I927))),"",ROUND(E927-I927,2))</x:f>
      </x:c>
      <x:c r="K927" s="2" t="str">
        <x:f>IF(COUNTA(A927:F927)=0,"",IF(OR(A927="",B927="",C927="",D927="",NOT(ISNUMBER(E927))),"Missing / invalid input",IF(G927&gt;1,"Duplicate key in this source",IF(H927=0,"Missing in other source",IF(H927&gt;1,"Duplicate in other source",IF(SUMIFS('External Data'!$M$2:$M$1001,'External Data'!$L$2:$L$1001,SUBSTITUTE(SUBSTITUTE(SUBSTITUTE(L927,"~","~~"),"*","~*"),"?","~?"))&lt;&gt;1,"Other amount is invalid",IF(J927&lt;&gt;0,"Amount differs","Matched")))))))</x:f>
      </x:c>
      <x:c r="L927" t="str">
        <x:f>IF(COUNTA(A927:F927)=0,"",LEN(A927)&amp;":"&amp;A927&amp;LEN(B927)&amp;":"&amp;B927&amp;LEN(C927)&amp;":"&amp;C927&amp;LEN(D927)&amp;":"&amp;D927)</x:f>
      </x:c>
      <x:c r="M927" t="str">
        <x:f>IF(COUNTA(A927:F927)=0,"",IF(ISNUMBER(E927),1,0))</x:f>
      </x:c>
    </x:row>
    <x:row r="928">
      <x:c r="A928" s="11"/>
      <x:c r="B928" s="11"/>
      <x:c r="C928" s="11"/>
      <x:c r="D928" s="11"/>
      <x:c r="E928" s="12"/>
      <x:c r="F928" s="10"/>
      <x:c r="G928" s="2" t="str">
        <x:f>IF(COUNTA(A928:F928)=0,"",COUNTIFS('App Data'!$L$2:$L$1001,SUBSTITUTE(SUBSTITUTE(SUBSTITUTE(L928,"~","~~"),"*","~*"),"?","~?")))</x:f>
      </x:c>
      <x:c r="H928" s="2" t="str">
        <x:f>IF(COUNTA(A928:F928)=0,"",COUNTIFS('External Data'!$L$2:$L$1001,SUBSTITUTE(SUBSTITUTE(SUBSTITUTE(L928,"~","~~"),"*","~*"),"?","~?")))</x:f>
      </x:c>
      <x:c r="I928" s="13" t="str">
        <x:f>IF(OR(H928&lt;&gt;1,G928&lt;&gt;1),"",SUMIFS('External Data'!$E$2:$E$1001,'External Data'!$L$2:$L$1001,SUBSTITUTE(SUBSTITUTE(SUBSTITUTE(L928,"~","~~"),"*","~*"),"?","~?")))</x:f>
      </x:c>
      <x:c r="J928" s="13" t="str">
        <x:f>IF(OR(NOT(ISNUMBER(E928)),NOT(ISNUMBER(I928))),"",ROUND(E928-I928,2))</x:f>
      </x:c>
      <x:c r="K928" s="2" t="str">
        <x:f>IF(COUNTA(A928:F928)=0,"",IF(OR(A928="",B928="",C928="",D928="",NOT(ISNUMBER(E928))),"Missing / invalid input",IF(G928&gt;1,"Duplicate key in this source",IF(H928=0,"Missing in other source",IF(H928&gt;1,"Duplicate in other source",IF(SUMIFS('External Data'!$M$2:$M$1001,'External Data'!$L$2:$L$1001,SUBSTITUTE(SUBSTITUTE(SUBSTITUTE(L928,"~","~~"),"*","~*"),"?","~?"))&lt;&gt;1,"Other amount is invalid",IF(J928&lt;&gt;0,"Amount differs","Matched")))))))</x:f>
      </x:c>
      <x:c r="L928" t="str">
        <x:f>IF(COUNTA(A928:F928)=0,"",LEN(A928)&amp;":"&amp;A928&amp;LEN(B928)&amp;":"&amp;B928&amp;LEN(C928)&amp;":"&amp;C928&amp;LEN(D928)&amp;":"&amp;D928)</x:f>
      </x:c>
      <x:c r="M928" t="str">
        <x:f>IF(COUNTA(A928:F928)=0,"",IF(ISNUMBER(E928),1,0))</x:f>
      </x:c>
    </x:row>
    <x:row r="929">
      <x:c r="A929" s="11"/>
      <x:c r="B929" s="11"/>
      <x:c r="C929" s="11"/>
      <x:c r="D929" s="11"/>
      <x:c r="E929" s="12"/>
      <x:c r="F929" s="10"/>
      <x:c r="G929" s="2" t="str">
        <x:f>IF(COUNTA(A929:F929)=0,"",COUNTIFS('App Data'!$L$2:$L$1001,SUBSTITUTE(SUBSTITUTE(SUBSTITUTE(L929,"~","~~"),"*","~*"),"?","~?")))</x:f>
      </x:c>
      <x:c r="H929" s="2" t="str">
        <x:f>IF(COUNTA(A929:F929)=0,"",COUNTIFS('External Data'!$L$2:$L$1001,SUBSTITUTE(SUBSTITUTE(SUBSTITUTE(L929,"~","~~"),"*","~*"),"?","~?")))</x:f>
      </x:c>
      <x:c r="I929" s="13" t="str">
        <x:f>IF(OR(H929&lt;&gt;1,G929&lt;&gt;1),"",SUMIFS('External Data'!$E$2:$E$1001,'External Data'!$L$2:$L$1001,SUBSTITUTE(SUBSTITUTE(SUBSTITUTE(L929,"~","~~"),"*","~*"),"?","~?")))</x:f>
      </x:c>
      <x:c r="J929" s="13" t="str">
        <x:f>IF(OR(NOT(ISNUMBER(E929)),NOT(ISNUMBER(I929))),"",ROUND(E929-I929,2))</x:f>
      </x:c>
      <x:c r="K929" s="2" t="str">
        <x:f>IF(COUNTA(A929:F929)=0,"",IF(OR(A929="",B929="",C929="",D929="",NOT(ISNUMBER(E929))),"Missing / invalid input",IF(G929&gt;1,"Duplicate key in this source",IF(H929=0,"Missing in other source",IF(H929&gt;1,"Duplicate in other source",IF(SUMIFS('External Data'!$M$2:$M$1001,'External Data'!$L$2:$L$1001,SUBSTITUTE(SUBSTITUTE(SUBSTITUTE(L929,"~","~~"),"*","~*"),"?","~?"))&lt;&gt;1,"Other amount is invalid",IF(J929&lt;&gt;0,"Amount differs","Matched")))))))</x:f>
      </x:c>
      <x:c r="L929" t="str">
        <x:f>IF(COUNTA(A929:F929)=0,"",LEN(A929)&amp;":"&amp;A929&amp;LEN(B929)&amp;":"&amp;B929&amp;LEN(C929)&amp;":"&amp;C929&amp;LEN(D929)&amp;":"&amp;D929)</x:f>
      </x:c>
      <x:c r="M929" t="str">
        <x:f>IF(COUNTA(A929:F929)=0,"",IF(ISNUMBER(E929),1,0))</x:f>
      </x:c>
    </x:row>
    <x:row r="930">
      <x:c r="A930" s="11"/>
      <x:c r="B930" s="11"/>
      <x:c r="C930" s="11"/>
      <x:c r="D930" s="11"/>
      <x:c r="E930" s="12"/>
      <x:c r="F930" s="10"/>
      <x:c r="G930" s="2" t="str">
        <x:f>IF(COUNTA(A930:F930)=0,"",COUNTIFS('App Data'!$L$2:$L$1001,SUBSTITUTE(SUBSTITUTE(SUBSTITUTE(L930,"~","~~"),"*","~*"),"?","~?")))</x:f>
      </x:c>
      <x:c r="H930" s="2" t="str">
        <x:f>IF(COUNTA(A930:F930)=0,"",COUNTIFS('External Data'!$L$2:$L$1001,SUBSTITUTE(SUBSTITUTE(SUBSTITUTE(L930,"~","~~"),"*","~*"),"?","~?")))</x:f>
      </x:c>
      <x:c r="I930" s="13" t="str">
        <x:f>IF(OR(H930&lt;&gt;1,G930&lt;&gt;1),"",SUMIFS('External Data'!$E$2:$E$1001,'External Data'!$L$2:$L$1001,SUBSTITUTE(SUBSTITUTE(SUBSTITUTE(L930,"~","~~"),"*","~*"),"?","~?")))</x:f>
      </x:c>
      <x:c r="J930" s="13" t="str">
        <x:f>IF(OR(NOT(ISNUMBER(E930)),NOT(ISNUMBER(I930))),"",ROUND(E930-I930,2))</x:f>
      </x:c>
      <x:c r="K930" s="2" t="str">
        <x:f>IF(COUNTA(A930:F930)=0,"",IF(OR(A930="",B930="",C930="",D930="",NOT(ISNUMBER(E930))),"Missing / invalid input",IF(G930&gt;1,"Duplicate key in this source",IF(H930=0,"Missing in other source",IF(H930&gt;1,"Duplicate in other source",IF(SUMIFS('External Data'!$M$2:$M$1001,'External Data'!$L$2:$L$1001,SUBSTITUTE(SUBSTITUTE(SUBSTITUTE(L930,"~","~~"),"*","~*"),"?","~?"))&lt;&gt;1,"Other amount is invalid",IF(J930&lt;&gt;0,"Amount differs","Matched")))))))</x:f>
      </x:c>
      <x:c r="L930" t="str">
        <x:f>IF(COUNTA(A930:F930)=0,"",LEN(A930)&amp;":"&amp;A930&amp;LEN(B930)&amp;":"&amp;B930&amp;LEN(C930)&amp;":"&amp;C930&amp;LEN(D930)&amp;":"&amp;D930)</x:f>
      </x:c>
      <x:c r="M930" t="str">
        <x:f>IF(COUNTA(A930:F930)=0,"",IF(ISNUMBER(E930),1,0))</x:f>
      </x:c>
    </x:row>
    <x:row r="931">
      <x:c r="A931" s="11"/>
      <x:c r="B931" s="11"/>
      <x:c r="C931" s="11"/>
      <x:c r="D931" s="11"/>
      <x:c r="E931" s="12"/>
      <x:c r="F931" s="10"/>
      <x:c r="G931" s="2" t="str">
        <x:f>IF(COUNTA(A931:F931)=0,"",COUNTIFS('App Data'!$L$2:$L$1001,SUBSTITUTE(SUBSTITUTE(SUBSTITUTE(L931,"~","~~"),"*","~*"),"?","~?")))</x:f>
      </x:c>
      <x:c r="H931" s="2" t="str">
        <x:f>IF(COUNTA(A931:F931)=0,"",COUNTIFS('External Data'!$L$2:$L$1001,SUBSTITUTE(SUBSTITUTE(SUBSTITUTE(L931,"~","~~"),"*","~*"),"?","~?")))</x:f>
      </x:c>
      <x:c r="I931" s="13" t="str">
        <x:f>IF(OR(H931&lt;&gt;1,G931&lt;&gt;1),"",SUMIFS('External Data'!$E$2:$E$1001,'External Data'!$L$2:$L$1001,SUBSTITUTE(SUBSTITUTE(SUBSTITUTE(L931,"~","~~"),"*","~*"),"?","~?")))</x:f>
      </x:c>
      <x:c r="J931" s="13" t="str">
        <x:f>IF(OR(NOT(ISNUMBER(E931)),NOT(ISNUMBER(I931))),"",ROUND(E931-I931,2))</x:f>
      </x:c>
      <x:c r="K931" s="2" t="str">
        <x:f>IF(COUNTA(A931:F931)=0,"",IF(OR(A931="",B931="",C931="",D931="",NOT(ISNUMBER(E931))),"Missing / invalid input",IF(G931&gt;1,"Duplicate key in this source",IF(H931=0,"Missing in other source",IF(H931&gt;1,"Duplicate in other source",IF(SUMIFS('External Data'!$M$2:$M$1001,'External Data'!$L$2:$L$1001,SUBSTITUTE(SUBSTITUTE(SUBSTITUTE(L931,"~","~~"),"*","~*"),"?","~?"))&lt;&gt;1,"Other amount is invalid",IF(J931&lt;&gt;0,"Amount differs","Matched")))))))</x:f>
      </x:c>
      <x:c r="L931" t="str">
        <x:f>IF(COUNTA(A931:F931)=0,"",LEN(A931)&amp;":"&amp;A931&amp;LEN(B931)&amp;":"&amp;B931&amp;LEN(C931)&amp;":"&amp;C931&amp;LEN(D931)&amp;":"&amp;D931)</x:f>
      </x:c>
      <x:c r="M931" t="str">
        <x:f>IF(COUNTA(A931:F931)=0,"",IF(ISNUMBER(E931),1,0))</x:f>
      </x:c>
    </x:row>
    <x:row r="932">
      <x:c r="A932" s="11"/>
      <x:c r="B932" s="11"/>
      <x:c r="C932" s="11"/>
      <x:c r="D932" s="11"/>
      <x:c r="E932" s="12"/>
      <x:c r="F932" s="10"/>
      <x:c r="G932" s="2" t="str">
        <x:f>IF(COUNTA(A932:F932)=0,"",COUNTIFS('App Data'!$L$2:$L$1001,SUBSTITUTE(SUBSTITUTE(SUBSTITUTE(L932,"~","~~"),"*","~*"),"?","~?")))</x:f>
      </x:c>
      <x:c r="H932" s="2" t="str">
        <x:f>IF(COUNTA(A932:F932)=0,"",COUNTIFS('External Data'!$L$2:$L$1001,SUBSTITUTE(SUBSTITUTE(SUBSTITUTE(L932,"~","~~"),"*","~*"),"?","~?")))</x:f>
      </x:c>
      <x:c r="I932" s="13" t="str">
        <x:f>IF(OR(H932&lt;&gt;1,G932&lt;&gt;1),"",SUMIFS('External Data'!$E$2:$E$1001,'External Data'!$L$2:$L$1001,SUBSTITUTE(SUBSTITUTE(SUBSTITUTE(L932,"~","~~"),"*","~*"),"?","~?")))</x:f>
      </x:c>
      <x:c r="J932" s="13" t="str">
        <x:f>IF(OR(NOT(ISNUMBER(E932)),NOT(ISNUMBER(I932))),"",ROUND(E932-I932,2))</x:f>
      </x:c>
      <x:c r="K932" s="2" t="str">
        <x:f>IF(COUNTA(A932:F932)=0,"",IF(OR(A932="",B932="",C932="",D932="",NOT(ISNUMBER(E932))),"Missing / invalid input",IF(G932&gt;1,"Duplicate key in this source",IF(H932=0,"Missing in other source",IF(H932&gt;1,"Duplicate in other source",IF(SUMIFS('External Data'!$M$2:$M$1001,'External Data'!$L$2:$L$1001,SUBSTITUTE(SUBSTITUTE(SUBSTITUTE(L932,"~","~~"),"*","~*"),"?","~?"))&lt;&gt;1,"Other amount is invalid",IF(J932&lt;&gt;0,"Amount differs","Matched")))))))</x:f>
      </x:c>
      <x:c r="L932" t="str">
        <x:f>IF(COUNTA(A932:F932)=0,"",LEN(A932)&amp;":"&amp;A932&amp;LEN(B932)&amp;":"&amp;B932&amp;LEN(C932)&amp;":"&amp;C932&amp;LEN(D932)&amp;":"&amp;D932)</x:f>
      </x:c>
      <x:c r="M932" t="str">
        <x:f>IF(COUNTA(A932:F932)=0,"",IF(ISNUMBER(E932),1,0))</x:f>
      </x:c>
    </x:row>
    <x:row r="933">
      <x:c r="A933" s="11"/>
      <x:c r="B933" s="11"/>
      <x:c r="C933" s="11"/>
      <x:c r="D933" s="11"/>
      <x:c r="E933" s="12"/>
      <x:c r="F933" s="10"/>
      <x:c r="G933" s="2" t="str">
        <x:f>IF(COUNTA(A933:F933)=0,"",COUNTIFS('App Data'!$L$2:$L$1001,SUBSTITUTE(SUBSTITUTE(SUBSTITUTE(L933,"~","~~"),"*","~*"),"?","~?")))</x:f>
      </x:c>
      <x:c r="H933" s="2" t="str">
        <x:f>IF(COUNTA(A933:F933)=0,"",COUNTIFS('External Data'!$L$2:$L$1001,SUBSTITUTE(SUBSTITUTE(SUBSTITUTE(L933,"~","~~"),"*","~*"),"?","~?")))</x:f>
      </x:c>
      <x:c r="I933" s="13" t="str">
        <x:f>IF(OR(H933&lt;&gt;1,G933&lt;&gt;1),"",SUMIFS('External Data'!$E$2:$E$1001,'External Data'!$L$2:$L$1001,SUBSTITUTE(SUBSTITUTE(SUBSTITUTE(L933,"~","~~"),"*","~*"),"?","~?")))</x:f>
      </x:c>
      <x:c r="J933" s="13" t="str">
        <x:f>IF(OR(NOT(ISNUMBER(E933)),NOT(ISNUMBER(I933))),"",ROUND(E933-I933,2))</x:f>
      </x:c>
      <x:c r="K933" s="2" t="str">
        <x:f>IF(COUNTA(A933:F933)=0,"",IF(OR(A933="",B933="",C933="",D933="",NOT(ISNUMBER(E933))),"Missing / invalid input",IF(G933&gt;1,"Duplicate key in this source",IF(H933=0,"Missing in other source",IF(H933&gt;1,"Duplicate in other source",IF(SUMIFS('External Data'!$M$2:$M$1001,'External Data'!$L$2:$L$1001,SUBSTITUTE(SUBSTITUTE(SUBSTITUTE(L933,"~","~~"),"*","~*"),"?","~?"))&lt;&gt;1,"Other amount is invalid",IF(J933&lt;&gt;0,"Amount differs","Matched")))))))</x:f>
      </x:c>
      <x:c r="L933" t="str">
        <x:f>IF(COUNTA(A933:F933)=0,"",LEN(A933)&amp;":"&amp;A933&amp;LEN(B933)&amp;":"&amp;B933&amp;LEN(C933)&amp;":"&amp;C933&amp;LEN(D933)&amp;":"&amp;D933)</x:f>
      </x:c>
      <x:c r="M933" t="str">
        <x:f>IF(COUNTA(A933:F933)=0,"",IF(ISNUMBER(E933),1,0))</x:f>
      </x:c>
    </x:row>
    <x:row r="934">
      <x:c r="A934" s="11"/>
      <x:c r="B934" s="11"/>
      <x:c r="C934" s="11"/>
      <x:c r="D934" s="11"/>
      <x:c r="E934" s="12"/>
      <x:c r="F934" s="10"/>
      <x:c r="G934" s="2" t="str">
        <x:f>IF(COUNTA(A934:F934)=0,"",COUNTIFS('App Data'!$L$2:$L$1001,SUBSTITUTE(SUBSTITUTE(SUBSTITUTE(L934,"~","~~"),"*","~*"),"?","~?")))</x:f>
      </x:c>
      <x:c r="H934" s="2" t="str">
        <x:f>IF(COUNTA(A934:F934)=0,"",COUNTIFS('External Data'!$L$2:$L$1001,SUBSTITUTE(SUBSTITUTE(SUBSTITUTE(L934,"~","~~"),"*","~*"),"?","~?")))</x:f>
      </x:c>
      <x:c r="I934" s="13" t="str">
        <x:f>IF(OR(H934&lt;&gt;1,G934&lt;&gt;1),"",SUMIFS('External Data'!$E$2:$E$1001,'External Data'!$L$2:$L$1001,SUBSTITUTE(SUBSTITUTE(SUBSTITUTE(L934,"~","~~"),"*","~*"),"?","~?")))</x:f>
      </x:c>
      <x:c r="J934" s="13" t="str">
        <x:f>IF(OR(NOT(ISNUMBER(E934)),NOT(ISNUMBER(I934))),"",ROUND(E934-I934,2))</x:f>
      </x:c>
      <x:c r="K934" s="2" t="str">
        <x:f>IF(COUNTA(A934:F934)=0,"",IF(OR(A934="",B934="",C934="",D934="",NOT(ISNUMBER(E934))),"Missing / invalid input",IF(G934&gt;1,"Duplicate key in this source",IF(H934=0,"Missing in other source",IF(H934&gt;1,"Duplicate in other source",IF(SUMIFS('External Data'!$M$2:$M$1001,'External Data'!$L$2:$L$1001,SUBSTITUTE(SUBSTITUTE(SUBSTITUTE(L934,"~","~~"),"*","~*"),"?","~?"))&lt;&gt;1,"Other amount is invalid",IF(J934&lt;&gt;0,"Amount differs","Matched")))))))</x:f>
      </x:c>
      <x:c r="L934" t="str">
        <x:f>IF(COUNTA(A934:F934)=0,"",LEN(A934)&amp;":"&amp;A934&amp;LEN(B934)&amp;":"&amp;B934&amp;LEN(C934)&amp;":"&amp;C934&amp;LEN(D934)&amp;":"&amp;D934)</x:f>
      </x:c>
      <x:c r="M934" t="str">
        <x:f>IF(COUNTA(A934:F934)=0,"",IF(ISNUMBER(E934),1,0))</x:f>
      </x:c>
    </x:row>
    <x:row r="935">
      <x:c r="A935" s="11"/>
      <x:c r="B935" s="11"/>
      <x:c r="C935" s="11"/>
      <x:c r="D935" s="11"/>
      <x:c r="E935" s="12"/>
      <x:c r="F935" s="10"/>
      <x:c r="G935" s="2" t="str">
        <x:f>IF(COUNTA(A935:F935)=0,"",COUNTIFS('App Data'!$L$2:$L$1001,SUBSTITUTE(SUBSTITUTE(SUBSTITUTE(L935,"~","~~"),"*","~*"),"?","~?")))</x:f>
      </x:c>
      <x:c r="H935" s="2" t="str">
        <x:f>IF(COUNTA(A935:F935)=0,"",COUNTIFS('External Data'!$L$2:$L$1001,SUBSTITUTE(SUBSTITUTE(SUBSTITUTE(L935,"~","~~"),"*","~*"),"?","~?")))</x:f>
      </x:c>
      <x:c r="I935" s="13" t="str">
        <x:f>IF(OR(H935&lt;&gt;1,G935&lt;&gt;1),"",SUMIFS('External Data'!$E$2:$E$1001,'External Data'!$L$2:$L$1001,SUBSTITUTE(SUBSTITUTE(SUBSTITUTE(L935,"~","~~"),"*","~*"),"?","~?")))</x:f>
      </x:c>
      <x:c r="J935" s="13" t="str">
        <x:f>IF(OR(NOT(ISNUMBER(E935)),NOT(ISNUMBER(I935))),"",ROUND(E935-I935,2))</x:f>
      </x:c>
      <x:c r="K935" s="2" t="str">
        <x:f>IF(COUNTA(A935:F935)=0,"",IF(OR(A935="",B935="",C935="",D935="",NOT(ISNUMBER(E935))),"Missing / invalid input",IF(G935&gt;1,"Duplicate key in this source",IF(H935=0,"Missing in other source",IF(H935&gt;1,"Duplicate in other source",IF(SUMIFS('External Data'!$M$2:$M$1001,'External Data'!$L$2:$L$1001,SUBSTITUTE(SUBSTITUTE(SUBSTITUTE(L935,"~","~~"),"*","~*"),"?","~?"))&lt;&gt;1,"Other amount is invalid",IF(J935&lt;&gt;0,"Amount differs","Matched")))))))</x:f>
      </x:c>
      <x:c r="L935" t="str">
        <x:f>IF(COUNTA(A935:F935)=0,"",LEN(A935)&amp;":"&amp;A935&amp;LEN(B935)&amp;":"&amp;B935&amp;LEN(C935)&amp;":"&amp;C935&amp;LEN(D935)&amp;":"&amp;D935)</x:f>
      </x:c>
      <x:c r="M935" t="str">
        <x:f>IF(COUNTA(A935:F935)=0,"",IF(ISNUMBER(E935),1,0))</x:f>
      </x:c>
    </x:row>
    <x:row r="936">
      <x:c r="A936" s="11"/>
      <x:c r="B936" s="11"/>
      <x:c r="C936" s="11"/>
      <x:c r="D936" s="11"/>
      <x:c r="E936" s="12"/>
      <x:c r="F936" s="10"/>
      <x:c r="G936" s="2" t="str">
        <x:f>IF(COUNTA(A936:F936)=0,"",COUNTIFS('App Data'!$L$2:$L$1001,SUBSTITUTE(SUBSTITUTE(SUBSTITUTE(L936,"~","~~"),"*","~*"),"?","~?")))</x:f>
      </x:c>
      <x:c r="H936" s="2" t="str">
        <x:f>IF(COUNTA(A936:F936)=0,"",COUNTIFS('External Data'!$L$2:$L$1001,SUBSTITUTE(SUBSTITUTE(SUBSTITUTE(L936,"~","~~"),"*","~*"),"?","~?")))</x:f>
      </x:c>
      <x:c r="I936" s="13" t="str">
        <x:f>IF(OR(H936&lt;&gt;1,G936&lt;&gt;1),"",SUMIFS('External Data'!$E$2:$E$1001,'External Data'!$L$2:$L$1001,SUBSTITUTE(SUBSTITUTE(SUBSTITUTE(L936,"~","~~"),"*","~*"),"?","~?")))</x:f>
      </x:c>
      <x:c r="J936" s="13" t="str">
        <x:f>IF(OR(NOT(ISNUMBER(E936)),NOT(ISNUMBER(I936))),"",ROUND(E936-I936,2))</x:f>
      </x:c>
      <x:c r="K936" s="2" t="str">
        <x:f>IF(COUNTA(A936:F936)=0,"",IF(OR(A936="",B936="",C936="",D936="",NOT(ISNUMBER(E936))),"Missing / invalid input",IF(G936&gt;1,"Duplicate key in this source",IF(H936=0,"Missing in other source",IF(H936&gt;1,"Duplicate in other source",IF(SUMIFS('External Data'!$M$2:$M$1001,'External Data'!$L$2:$L$1001,SUBSTITUTE(SUBSTITUTE(SUBSTITUTE(L936,"~","~~"),"*","~*"),"?","~?"))&lt;&gt;1,"Other amount is invalid",IF(J936&lt;&gt;0,"Amount differs","Matched")))))))</x:f>
      </x:c>
      <x:c r="L936" t="str">
        <x:f>IF(COUNTA(A936:F936)=0,"",LEN(A936)&amp;":"&amp;A936&amp;LEN(B936)&amp;":"&amp;B936&amp;LEN(C936)&amp;":"&amp;C936&amp;LEN(D936)&amp;":"&amp;D936)</x:f>
      </x:c>
      <x:c r="M936" t="str">
        <x:f>IF(COUNTA(A936:F936)=0,"",IF(ISNUMBER(E936),1,0))</x:f>
      </x:c>
    </x:row>
    <x:row r="937">
      <x:c r="A937" s="11"/>
      <x:c r="B937" s="11"/>
      <x:c r="C937" s="11"/>
      <x:c r="D937" s="11"/>
      <x:c r="E937" s="12"/>
      <x:c r="F937" s="10"/>
      <x:c r="G937" s="2" t="str">
        <x:f>IF(COUNTA(A937:F937)=0,"",COUNTIFS('App Data'!$L$2:$L$1001,SUBSTITUTE(SUBSTITUTE(SUBSTITUTE(L937,"~","~~"),"*","~*"),"?","~?")))</x:f>
      </x:c>
      <x:c r="H937" s="2" t="str">
        <x:f>IF(COUNTA(A937:F937)=0,"",COUNTIFS('External Data'!$L$2:$L$1001,SUBSTITUTE(SUBSTITUTE(SUBSTITUTE(L937,"~","~~"),"*","~*"),"?","~?")))</x:f>
      </x:c>
      <x:c r="I937" s="13" t="str">
        <x:f>IF(OR(H937&lt;&gt;1,G937&lt;&gt;1),"",SUMIFS('External Data'!$E$2:$E$1001,'External Data'!$L$2:$L$1001,SUBSTITUTE(SUBSTITUTE(SUBSTITUTE(L937,"~","~~"),"*","~*"),"?","~?")))</x:f>
      </x:c>
      <x:c r="J937" s="13" t="str">
        <x:f>IF(OR(NOT(ISNUMBER(E937)),NOT(ISNUMBER(I937))),"",ROUND(E937-I937,2))</x:f>
      </x:c>
      <x:c r="K937" s="2" t="str">
        <x:f>IF(COUNTA(A937:F937)=0,"",IF(OR(A937="",B937="",C937="",D937="",NOT(ISNUMBER(E937))),"Missing / invalid input",IF(G937&gt;1,"Duplicate key in this source",IF(H937=0,"Missing in other source",IF(H937&gt;1,"Duplicate in other source",IF(SUMIFS('External Data'!$M$2:$M$1001,'External Data'!$L$2:$L$1001,SUBSTITUTE(SUBSTITUTE(SUBSTITUTE(L937,"~","~~"),"*","~*"),"?","~?"))&lt;&gt;1,"Other amount is invalid",IF(J937&lt;&gt;0,"Amount differs","Matched")))))))</x:f>
      </x:c>
      <x:c r="L937" t="str">
        <x:f>IF(COUNTA(A937:F937)=0,"",LEN(A937)&amp;":"&amp;A937&amp;LEN(B937)&amp;":"&amp;B937&amp;LEN(C937)&amp;":"&amp;C937&amp;LEN(D937)&amp;":"&amp;D937)</x:f>
      </x:c>
      <x:c r="M937" t="str">
        <x:f>IF(COUNTA(A937:F937)=0,"",IF(ISNUMBER(E937),1,0))</x:f>
      </x:c>
    </x:row>
    <x:row r="938">
      <x:c r="A938" s="11"/>
      <x:c r="B938" s="11"/>
      <x:c r="C938" s="11"/>
      <x:c r="D938" s="11"/>
      <x:c r="E938" s="12"/>
      <x:c r="F938" s="10"/>
      <x:c r="G938" s="2" t="str">
        <x:f>IF(COUNTA(A938:F938)=0,"",COUNTIFS('App Data'!$L$2:$L$1001,SUBSTITUTE(SUBSTITUTE(SUBSTITUTE(L938,"~","~~"),"*","~*"),"?","~?")))</x:f>
      </x:c>
      <x:c r="H938" s="2" t="str">
        <x:f>IF(COUNTA(A938:F938)=0,"",COUNTIFS('External Data'!$L$2:$L$1001,SUBSTITUTE(SUBSTITUTE(SUBSTITUTE(L938,"~","~~"),"*","~*"),"?","~?")))</x:f>
      </x:c>
      <x:c r="I938" s="13" t="str">
        <x:f>IF(OR(H938&lt;&gt;1,G938&lt;&gt;1),"",SUMIFS('External Data'!$E$2:$E$1001,'External Data'!$L$2:$L$1001,SUBSTITUTE(SUBSTITUTE(SUBSTITUTE(L938,"~","~~"),"*","~*"),"?","~?")))</x:f>
      </x:c>
      <x:c r="J938" s="13" t="str">
        <x:f>IF(OR(NOT(ISNUMBER(E938)),NOT(ISNUMBER(I938))),"",ROUND(E938-I938,2))</x:f>
      </x:c>
      <x:c r="K938" s="2" t="str">
        <x:f>IF(COUNTA(A938:F938)=0,"",IF(OR(A938="",B938="",C938="",D938="",NOT(ISNUMBER(E938))),"Missing / invalid input",IF(G938&gt;1,"Duplicate key in this source",IF(H938=0,"Missing in other source",IF(H938&gt;1,"Duplicate in other source",IF(SUMIFS('External Data'!$M$2:$M$1001,'External Data'!$L$2:$L$1001,SUBSTITUTE(SUBSTITUTE(SUBSTITUTE(L938,"~","~~"),"*","~*"),"?","~?"))&lt;&gt;1,"Other amount is invalid",IF(J938&lt;&gt;0,"Amount differs","Matched")))))))</x:f>
      </x:c>
      <x:c r="L938" t="str">
        <x:f>IF(COUNTA(A938:F938)=0,"",LEN(A938)&amp;":"&amp;A938&amp;LEN(B938)&amp;":"&amp;B938&amp;LEN(C938)&amp;":"&amp;C938&amp;LEN(D938)&amp;":"&amp;D938)</x:f>
      </x:c>
      <x:c r="M938" t="str">
        <x:f>IF(COUNTA(A938:F938)=0,"",IF(ISNUMBER(E938),1,0))</x:f>
      </x:c>
    </x:row>
    <x:row r="939">
      <x:c r="A939" s="11"/>
      <x:c r="B939" s="11"/>
      <x:c r="C939" s="11"/>
      <x:c r="D939" s="11"/>
      <x:c r="E939" s="12"/>
      <x:c r="F939" s="10"/>
      <x:c r="G939" s="2" t="str">
        <x:f>IF(COUNTA(A939:F939)=0,"",COUNTIFS('App Data'!$L$2:$L$1001,SUBSTITUTE(SUBSTITUTE(SUBSTITUTE(L939,"~","~~"),"*","~*"),"?","~?")))</x:f>
      </x:c>
      <x:c r="H939" s="2" t="str">
        <x:f>IF(COUNTA(A939:F939)=0,"",COUNTIFS('External Data'!$L$2:$L$1001,SUBSTITUTE(SUBSTITUTE(SUBSTITUTE(L939,"~","~~"),"*","~*"),"?","~?")))</x:f>
      </x:c>
      <x:c r="I939" s="13" t="str">
        <x:f>IF(OR(H939&lt;&gt;1,G939&lt;&gt;1),"",SUMIFS('External Data'!$E$2:$E$1001,'External Data'!$L$2:$L$1001,SUBSTITUTE(SUBSTITUTE(SUBSTITUTE(L939,"~","~~"),"*","~*"),"?","~?")))</x:f>
      </x:c>
      <x:c r="J939" s="13" t="str">
        <x:f>IF(OR(NOT(ISNUMBER(E939)),NOT(ISNUMBER(I939))),"",ROUND(E939-I939,2))</x:f>
      </x:c>
      <x:c r="K939" s="2" t="str">
        <x:f>IF(COUNTA(A939:F939)=0,"",IF(OR(A939="",B939="",C939="",D939="",NOT(ISNUMBER(E939))),"Missing / invalid input",IF(G939&gt;1,"Duplicate key in this source",IF(H939=0,"Missing in other source",IF(H939&gt;1,"Duplicate in other source",IF(SUMIFS('External Data'!$M$2:$M$1001,'External Data'!$L$2:$L$1001,SUBSTITUTE(SUBSTITUTE(SUBSTITUTE(L939,"~","~~"),"*","~*"),"?","~?"))&lt;&gt;1,"Other amount is invalid",IF(J939&lt;&gt;0,"Amount differs","Matched")))))))</x:f>
      </x:c>
      <x:c r="L939" t="str">
        <x:f>IF(COUNTA(A939:F939)=0,"",LEN(A939)&amp;":"&amp;A939&amp;LEN(B939)&amp;":"&amp;B939&amp;LEN(C939)&amp;":"&amp;C939&amp;LEN(D939)&amp;":"&amp;D939)</x:f>
      </x:c>
      <x:c r="M939" t="str">
        <x:f>IF(COUNTA(A939:F939)=0,"",IF(ISNUMBER(E939),1,0))</x:f>
      </x:c>
    </x:row>
    <x:row r="940">
      <x:c r="A940" s="11"/>
      <x:c r="B940" s="11"/>
      <x:c r="C940" s="11"/>
      <x:c r="D940" s="11"/>
      <x:c r="E940" s="12"/>
      <x:c r="F940" s="10"/>
      <x:c r="G940" s="2" t="str">
        <x:f>IF(COUNTA(A940:F940)=0,"",COUNTIFS('App Data'!$L$2:$L$1001,SUBSTITUTE(SUBSTITUTE(SUBSTITUTE(L940,"~","~~"),"*","~*"),"?","~?")))</x:f>
      </x:c>
      <x:c r="H940" s="2" t="str">
        <x:f>IF(COUNTA(A940:F940)=0,"",COUNTIFS('External Data'!$L$2:$L$1001,SUBSTITUTE(SUBSTITUTE(SUBSTITUTE(L940,"~","~~"),"*","~*"),"?","~?")))</x:f>
      </x:c>
      <x:c r="I940" s="13" t="str">
        <x:f>IF(OR(H940&lt;&gt;1,G940&lt;&gt;1),"",SUMIFS('External Data'!$E$2:$E$1001,'External Data'!$L$2:$L$1001,SUBSTITUTE(SUBSTITUTE(SUBSTITUTE(L940,"~","~~"),"*","~*"),"?","~?")))</x:f>
      </x:c>
      <x:c r="J940" s="13" t="str">
        <x:f>IF(OR(NOT(ISNUMBER(E940)),NOT(ISNUMBER(I940))),"",ROUND(E940-I940,2))</x:f>
      </x:c>
      <x:c r="K940" s="2" t="str">
        <x:f>IF(COUNTA(A940:F940)=0,"",IF(OR(A940="",B940="",C940="",D940="",NOT(ISNUMBER(E940))),"Missing / invalid input",IF(G940&gt;1,"Duplicate key in this source",IF(H940=0,"Missing in other source",IF(H940&gt;1,"Duplicate in other source",IF(SUMIFS('External Data'!$M$2:$M$1001,'External Data'!$L$2:$L$1001,SUBSTITUTE(SUBSTITUTE(SUBSTITUTE(L940,"~","~~"),"*","~*"),"?","~?"))&lt;&gt;1,"Other amount is invalid",IF(J940&lt;&gt;0,"Amount differs","Matched")))))))</x:f>
      </x:c>
      <x:c r="L940" t="str">
        <x:f>IF(COUNTA(A940:F940)=0,"",LEN(A940)&amp;":"&amp;A940&amp;LEN(B940)&amp;":"&amp;B940&amp;LEN(C940)&amp;":"&amp;C940&amp;LEN(D940)&amp;":"&amp;D940)</x:f>
      </x:c>
      <x:c r="M940" t="str">
        <x:f>IF(COUNTA(A940:F940)=0,"",IF(ISNUMBER(E940),1,0))</x:f>
      </x:c>
    </x:row>
    <x:row r="941">
      <x:c r="A941" s="11"/>
      <x:c r="B941" s="11"/>
      <x:c r="C941" s="11"/>
      <x:c r="D941" s="11"/>
      <x:c r="E941" s="12"/>
      <x:c r="F941" s="10"/>
      <x:c r="G941" s="2" t="str">
        <x:f>IF(COUNTA(A941:F941)=0,"",COUNTIFS('App Data'!$L$2:$L$1001,SUBSTITUTE(SUBSTITUTE(SUBSTITUTE(L941,"~","~~"),"*","~*"),"?","~?")))</x:f>
      </x:c>
      <x:c r="H941" s="2" t="str">
        <x:f>IF(COUNTA(A941:F941)=0,"",COUNTIFS('External Data'!$L$2:$L$1001,SUBSTITUTE(SUBSTITUTE(SUBSTITUTE(L941,"~","~~"),"*","~*"),"?","~?")))</x:f>
      </x:c>
      <x:c r="I941" s="13" t="str">
        <x:f>IF(OR(H941&lt;&gt;1,G941&lt;&gt;1),"",SUMIFS('External Data'!$E$2:$E$1001,'External Data'!$L$2:$L$1001,SUBSTITUTE(SUBSTITUTE(SUBSTITUTE(L941,"~","~~"),"*","~*"),"?","~?")))</x:f>
      </x:c>
      <x:c r="J941" s="13" t="str">
        <x:f>IF(OR(NOT(ISNUMBER(E941)),NOT(ISNUMBER(I941))),"",ROUND(E941-I941,2))</x:f>
      </x:c>
      <x:c r="K941" s="2" t="str">
        <x:f>IF(COUNTA(A941:F941)=0,"",IF(OR(A941="",B941="",C941="",D941="",NOT(ISNUMBER(E941))),"Missing / invalid input",IF(G941&gt;1,"Duplicate key in this source",IF(H941=0,"Missing in other source",IF(H941&gt;1,"Duplicate in other source",IF(SUMIFS('External Data'!$M$2:$M$1001,'External Data'!$L$2:$L$1001,SUBSTITUTE(SUBSTITUTE(SUBSTITUTE(L941,"~","~~"),"*","~*"),"?","~?"))&lt;&gt;1,"Other amount is invalid",IF(J941&lt;&gt;0,"Amount differs","Matched")))))))</x:f>
      </x:c>
      <x:c r="L941" t="str">
        <x:f>IF(COUNTA(A941:F941)=0,"",LEN(A941)&amp;":"&amp;A941&amp;LEN(B941)&amp;":"&amp;B941&amp;LEN(C941)&amp;":"&amp;C941&amp;LEN(D941)&amp;":"&amp;D941)</x:f>
      </x:c>
      <x:c r="M941" t="str">
        <x:f>IF(COUNTA(A941:F941)=0,"",IF(ISNUMBER(E941),1,0))</x:f>
      </x:c>
    </x:row>
    <x:row r="942">
      <x:c r="A942" s="11"/>
      <x:c r="B942" s="11"/>
      <x:c r="C942" s="11"/>
      <x:c r="D942" s="11"/>
      <x:c r="E942" s="12"/>
      <x:c r="F942" s="10"/>
      <x:c r="G942" s="2" t="str">
        <x:f>IF(COUNTA(A942:F942)=0,"",COUNTIFS('App Data'!$L$2:$L$1001,SUBSTITUTE(SUBSTITUTE(SUBSTITUTE(L942,"~","~~"),"*","~*"),"?","~?")))</x:f>
      </x:c>
      <x:c r="H942" s="2" t="str">
        <x:f>IF(COUNTA(A942:F942)=0,"",COUNTIFS('External Data'!$L$2:$L$1001,SUBSTITUTE(SUBSTITUTE(SUBSTITUTE(L942,"~","~~"),"*","~*"),"?","~?")))</x:f>
      </x:c>
      <x:c r="I942" s="13" t="str">
        <x:f>IF(OR(H942&lt;&gt;1,G942&lt;&gt;1),"",SUMIFS('External Data'!$E$2:$E$1001,'External Data'!$L$2:$L$1001,SUBSTITUTE(SUBSTITUTE(SUBSTITUTE(L942,"~","~~"),"*","~*"),"?","~?")))</x:f>
      </x:c>
      <x:c r="J942" s="13" t="str">
        <x:f>IF(OR(NOT(ISNUMBER(E942)),NOT(ISNUMBER(I942))),"",ROUND(E942-I942,2))</x:f>
      </x:c>
      <x:c r="K942" s="2" t="str">
        <x:f>IF(COUNTA(A942:F942)=0,"",IF(OR(A942="",B942="",C942="",D942="",NOT(ISNUMBER(E942))),"Missing / invalid input",IF(G942&gt;1,"Duplicate key in this source",IF(H942=0,"Missing in other source",IF(H942&gt;1,"Duplicate in other source",IF(SUMIFS('External Data'!$M$2:$M$1001,'External Data'!$L$2:$L$1001,SUBSTITUTE(SUBSTITUTE(SUBSTITUTE(L942,"~","~~"),"*","~*"),"?","~?"))&lt;&gt;1,"Other amount is invalid",IF(J942&lt;&gt;0,"Amount differs","Matched")))))))</x:f>
      </x:c>
      <x:c r="L942" t="str">
        <x:f>IF(COUNTA(A942:F942)=0,"",LEN(A942)&amp;":"&amp;A942&amp;LEN(B942)&amp;":"&amp;B942&amp;LEN(C942)&amp;":"&amp;C942&amp;LEN(D942)&amp;":"&amp;D942)</x:f>
      </x:c>
      <x:c r="M942" t="str">
        <x:f>IF(COUNTA(A942:F942)=0,"",IF(ISNUMBER(E942),1,0))</x:f>
      </x:c>
    </x:row>
    <x:row r="943">
      <x:c r="A943" s="11"/>
      <x:c r="B943" s="11"/>
      <x:c r="C943" s="11"/>
      <x:c r="D943" s="11"/>
      <x:c r="E943" s="12"/>
      <x:c r="F943" s="10"/>
      <x:c r="G943" s="2" t="str">
        <x:f>IF(COUNTA(A943:F943)=0,"",COUNTIFS('App Data'!$L$2:$L$1001,SUBSTITUTE(SUBSTITUTE(SUBSTITUTE(L943,"~","~~"),"*","~*"),"?","~?")))</x:f>
      </x:c>
      <x:c r="H943" s="2" t="str">
        <x:f>IF(COUNTA(A943:F943)=0,"",COUNTIFS('External Data'!$L$2:$L$1001,SUBSTITUTE(SUBSTITUTE(SUBSTITUTE(L943,"~","~~"),"*","~*"),"?","~?")))</x:f>
      </x:c>
      <x:c r="I943" s="13" t="str">
        <x:f>IF(OR(H943&lt;&gt;1,G943&lt;&gt;1),"",SUMIFS('External Data'!$E$2:$E$1001,'External Data'!$L$2:$L$1001,SUBSTITUTE(SUBSTITUTE(SUBSTITUTE(L943,"~","~~"),"*","~*"),"?","~?")))</x:f>
      </x:c>
      <x:c r="J943" s="13" t="str">
        <x:f>IF(OR(NOT(ISNUMBER(E943)),NOT(ISNUMBER(I943))),"",ROUND(E943-I943,2))</x:f>
      </x:c>
      <x:c r="K943" s="2" t="str">
        <x:f>IF(COUNTA(A943:F943)=0,"",IF(OR(A943="",B943="",C943="",D943="",NOT(ISNUMBER(E943))),"Missing / invalid input",IF(G943&gt;1,"Duplicate key in this source",IF(H943=0,"Missing in other source",IF(H943&gt;1,"Duplicate in other source",IF(SUMIFS('External Data'!$M$2:$M$1001,'External Data'!$L$2:$L$1001,SUBSTITUTE(SUBSTITUTE(SUBSTITUTE(L943,"~","~~"),"*","~*"),"?","~?"))&lt;&gt;1,"Other amount is invalid",IF(J943&lt;&gt;0,"Amount differs","Matched")))))))</x:f>
      </x:c>
      <x:c r="L943" t="str">
        <x:f>IF(COUNTA(A943:F943)=0,"",LEN(A943)&amp;":"&amp;A943&amp;LEN(B943)&amp;":"&amp;B943&amp;LEN(C943)&amp;":"&amp;C943&amp;LEN(D943)&amp;":"&amp;D943)</x:f>
      </x:c>
      <x:c r="M943" t="str">
        <x:f>IF(COUNTA(A943:F943)=0,"",IF(ISNUMBER(E943),1,0))</x:f>
      </x:c>
    </x:row>
    <x:row r="944">
      <x:c r="A944" s="11"/>
      <x:c r="B944" s="11"/>
      <x:c r="C944" s="11"/>
      <x:c r="D944" s="11"/>
      <x:c r="E944" s="12"/>
      <x:c r="F944" s="10"/>
      <x:c r="G944" s="2" t="str">
        <x:f>IF(COUNTA(A944:F944)=0,"",COUNTIFS('App Data'!$L$2:$L$1001,SUBSTITUTE(SUBSTITUTE(SUBSTITUTE(L944,"~","~~"),"*","~*"),"?","~?")))</x:f>
      </x:c>
      <x:c r="H944" s="2" t="str">
        <x:f>IF(COUNTA(A944:F944)=0,"",COUNTIFS('External Data'!$L$2:$L$1001,SUBSTITUTE(SUBSTITUTE(SUBSTITUTE(L944,"~","~~"),"*","~*"),"?","~?")))</x:f>
      </x:c>
      <x:c r="I944" s="13" t="str">
        <x:f>IF(OR(H944&lt;&gt;1,G944&lt;&gt;1),"",SUMIFS('External Data'!$E$2:$E$1001,'External Data'!$L$2:$L$1001,SUBSTITUTE(SUBSTITUTE(SUBSTITUTE(L944,"~","~~"),"*","~*"),"?","~?")))</x:f>
      </x:c>
      <x:c r="J944" s="13" t="str">
        <x:f>IF(OR(NOT(ISNUMBER(E944)),NOT(ISNUMBER(I944))),"",ROUND(E944-I944,2))</x:f>
      </x:c>
      <x:c r="K944" s="2" t="str">
        <x:f>IF(COUNTA(A944:F944)=0,"",IF(OR(A944="",B944="",C944="",D944="",NOT(ISNUMBER(E944))),"Missing / invalid input",IF(G944&gt;1,"Duplicate key in this source",IF(H944=0,"Missing in other source",IF(H944&gt;1,"Duplicate in other source",IF(SUMIFS('External Data'!$M$2:$M$1001,'External Data'!$L$2:$L$1001,SUBSTITUTE(SUBSTITUTE(SUBSTITUTE(L944,"~","~~"),"*","~*"),"?","~?"))&lt;&gt;1,"Other amount is invalid",IF(J944&lt;&gt;0,"Amount differs","Matched")))))))</x:f>
      </x:c>
      <x:c r="L944" t="str">
        <x:f>IF(COUNTA(A944:F944)=0,"",LEN(A944)&amp;":"&amp;A944&amp;LEN(B944)&amp;":"&amp;B944&amp;LEN(C944)&amp;":"&amp;C944&amp;LEN(D944)&amp;":"&amp;D944)</x:f>
      </x:c>
      <x:c r="M944" t="str">
        <x:f>IF(COUNTA(A944:F944)=0,"",IF(ISNUMBER(E944),1,0))</x:f>
      </x:c>
    </x:row>
    <x:row r="945">
      <x:c r="A945" s="11"/>
      <x:c r="B945" s="11"/>
      <x:c r="C945" s="11"/>
      <x:c r="D945" s="11"/>
      <x:c r="E945" s="12"/>
      <x:c r="F945" s="10"/>
      <x:c r="G945" s="2" t="str">
        <x:f>IF(COUNTA(A945:F945)=0,"",COUNTIFS('App Data'!$L$2:$L$1001,SUBSTITUTE(SUBSTITUTE(SUBSTITUTE(L945,"~","~~"),"*","~*"),"?","~?")))</x:f>
      </x:c>
      <x:c r="H945" s="2" t="str">
        <x:f>IF(COUNTA(A945:F945)=0,"",COUNTIFS('External Data'!$L$2:$L$1001,SUBSTITUTE(SUBSTITUTE(SUBSTITUTE(L945,"~","~~"),"*","~*"),"?","~?")))</x:f>
      </x:c>
      <x:c r="I945" s="13" t="str">
        <x:f>IF(OR(H945&lt;&gt;1,G945&lt;&gt;1),"",SUMIFS('External Data'!$E$2:$E$1001,'External Data'!$L$2:$L$1001,SUBSTITUTE(SUBSTITUTE(SUBSTITUTE(L945,"~","~~"),"*","~*"),"?","~?")))</x:f>
      </x:c>
      <x:c r="J945" s="13" t="str">
        <x:f>IF(OR(NOT(ISNUMBER(E945)),NOT(ISNUMBER(I945))),"",ROUND(E945-I945,2))</x:f>
      </x:c>
      <x:c r="K945" s="2" t="str">
        <x:f>IF(COUNTA(A945:F945)=0,"",IF(OR(A945="",B945="",C945="",D945="",NOT(ISNUMBER(E945))),"Missing / invalid input",IF(G945&gt;1,"Duplicate key in this source",IF(H945=0,"Missing in other source",IF(H945&gt;1,"Duplicate in other source",IF(SUMIFS('External Data'!$M$2:$M$1001,'External Data'!$L$2:$L$1001,SUBSTITUTE(SUBSTITUTE(SUBSTITUTE(L945,"~","~~"),"*","~*"),"?","~?"))&lt;&gt;1,"Other amount is invalid",IF(J945&lt;&gt;0,"Amount differs","Matched")))))))</x:f>
      </x:c>
      <x:c r="L945" t="str">
        <x:f>IF(COUNTA(A945:F945)=0,"",LEN(A945)&amp;":"&amp;A945&amp;LEN(B945)&amp;":"&amp;B945&amp;LEN(C945)&amp;":"&amp;C945&amp;LEN(D945)&amp;":"&amp;D945)</x:f>
      </x:c>
      <x:c r="M945" t="str">
        <x:f>IF(COUNTA(A945:F945)=0,"",IF(ISNUMBER(E945),1,0))</x:f>
      </x:c>
    </x:row>
    <x:row r="946">
      <x:c r="A946" s="11"/>
      <x:c r="B946" s="11"/>
      <x:c r="C946" s="11"/>
      <x:c r="D946" s="11"/>
      <x:c r="E946" s="12"/>
      <x:c r="F946" s="10"/>
      <x:c r="G946" s="2" t="str">
        <x:f>IF(COUNTA(A946:F946)=0,"",COUNTIFS('App Data'!$L$2:$L$1001,SUBSTITUTE(SUBSTITUTE(SUBSTITUTE(L946,"~","~~"),"*","~*"),"?","~?")))</x:f>
      </x:c>
      <x:c r="H946" s="2" t="str">
        <x:f>IF(COUNTA(A946:F946)=0,"",COUNTIFS('External Data'!$L$2:$L$1001,SUBSTITUTE(SUBSTITUTE(SUBSTITUTE(L946,"~","~~"),"*","~*"),"?","~?")))</x:f>
      </x:c>
      <x:c r="I946" s="13" t="str">
        <x:f>IF(OR(H946&lt;&gt;1,G946&lt;&gt;1),"",SUMIFS('External Data'!$E$2:$E$1001,'External Data'!$L$2:$L$1001,SUBSTITUTE(SUBSTITUTE(SUBSTITUTE(L946,"~","~~"),"*","~*"),"?","~?")))</x:f>
      </x:c>
      <x:c r="J946" s="13" t="str">
        <x:f>IF(OR(NOT(ISNUMBER(E946)),NOT(ISNUMBER(I946))),"",ROUND(E946-I946,2))</x:f>
      </x:c>
      <x:c r="K946" s="2" t="str">
        <x:f>IF(COUNTA(A946:F946)=0,"",IF(OR(A946="",B946="",C946="",D946="",NOT(ISNUMBER(E946))),"Missing / invalid input",IF(G946&gt;1,"Duplicate key in this source",IF(H946=0,"Missing in other source",IF(H946&gt;1,"Duplicate in other source",IF(SUMIFS('External Data'!$M$2:$M$1001,'External Data'!$L$2:$L$1001,SUBSTITUTE(SUBSTITUTE(SUBSTITUTE(L946,"~","~~"),"*","~*"),"?","~?"))&lt;&gt;1,"Other amount is invalid",IF(J946&lt;&gt;0,"Amount differs","Matched")))))))</x:f>
      </x:c>
      <x:c r="L946" t="str">
        <x:f>IF(COUNTA(A946:F946)=0,"",LEN(A946)&amp;":"&amp;A946&amp;LEN(B946)&amp;":"&amp;B946&amp;LEN(C946)&amp;":"&amp;C946&amp;LEN(D946)&amp;":"&amp;D946)</x:f>
      </x:c>
      <x:c r="M946" t="str">
        <x:f>IF(COUNTA(A946:F946)=0,"",IF(ISNUMBER(E946),1,0))</x:f>
      </x:c>
    </x:row>
    <x:row r="947">
      <x:c r="A947" s="11"/>
      <x:c r="B947" s="11"/>
      <x:c r="C947" s="11"/>
      <x:c r="D947" s="11"/>
      <x:c r="E947" s="12"/>
      <x:c r="F947" s="10"/>
      <x:c r="G947" s="2" t="str">
        <x:f>IF(COUNTA(A947:F947)=0,"",COUNTIFS('App Data'!$L$2:$L$1001,SUBSTITUTE(SUBSTITUTE(SUBSTITUTE(L947,"~","~~"),"*","~*"),"?","~?")))</x:f>
      </x:c>
      <x:c r="H947" s="2" t="str">
        <x:f>IF(COUNTA(A947:F947)=0,"",COUNTIFS('External Data'!$L$2:$L$1001,SUBSTITUTE(SUBSTITUTE(SUBSTITUTE(L947,"~","~~"),"*","~*"),"?","~?")))</x:f>
      </x:c>
      <x:c r="I947" s="13" t="str">
        <x:f>IF(OR(H947&lt;&gt;1,G947&lt;&gt;1),"",SUMIFS('External Data'!$E$2:$E$1001,'External Data'!$L$2:$L$1001,SUBSTITUTE(SUBSTITUTE(SUBSTITUTE(L947,"~","~~"),"*","~*"),"?","~?")))</x:f>
      </x:c>
      <x:c r="J947" s="13" t="str">
        <x:f>IF(OR(NOT(ISNUMBER(E947)),NOT(ISNUMBER(I947))),"",ROUND(E947-I947,2))</x:f>
      </x:c>
      <x:c r="K947" s="2" t="str">
        <x:f>IF(COUNTA(A947:F947)=0,"",IF(OR(A947="",B947="",C947="",D947="",NOT(ISNUMBER(E947))),"Missing / invalid input",IF(G947&gt;1,"Duplicate key in this source",IF(H947=0,"Missing in other source",IF(H947&gt;1,"Duplicate in other source",IF(SUMIFS('External Data'!$M$2:$M$1001,'External Data'!$L$2:$L$1001,SUBSTITUTE(SUBSTITUTE(SUBSTITUTE(L947,"~","~~"),"*","~*"),"?","~?"))&lt;&gt;1,"Other amount is invalid",IF(J947&lt;&gt;0,"Amount differs","Matched")))))))</x:f>
      </x:c>
      <x:c r="L947" t="str">
        <x:f>IF(COUNTA(A947:F947)=0,"",LEN(A947)&amp;":"&amp;A947&amp;LEN(B947)&amp;":"&amp;B947&amp;LEN(C947)&amp;":"&amp;C947&amp;LEN(D947)&amp;":"&amp;D947)</x:f>
      </x:c>
      <x:c r="M947" t="str">
        <x:f>IF(COUNTA(A947:F947)=0,"",IF(ISNUMBER(E947),1,0))</x:f>
      </x:c>
    </x:row>
    <x:row r="948">
      <x:c r="A948" s="11"/>
      <x:c r="B948" s="11"/>
      <x:c r="C948" s="11"/>
      <x:c r="D948" s="11"/>
      <x:c r="E948" s="12"/>
      <x:c r="F948" s="10"/>
      <x:c r="G948" s="2" t="str">
        <x:f>IF(COUNTA(A948:F948)=0,"",COUNTIFS('App Data'!$L$2:$L$1001,SUBSTITUTE(SUBSTITUTE(SUBSTITUTE(L948,"~","~~"),"*","~*"),"?","~?")))</x:f>
      </x:c>
      <x:c r="H948" s="2" t="str">
        <x:f>IF(COUNTA(A948:F948)=0,"",COUNTIFS('External Data'!$L$2:$L$1001,SUBSTITUTE(SUBSTITUTE(SUBSTITUTE(L948,"~","~~"),"*","~*"),"?","~?")))</x:f>
      </x:c>
      <x:c r="I948" s="13" t="str">
        <x:f>IF(OR(H948&lt;&gt;1,G948&lt;&gt;1),"",SUMIFS('External Data'!$E$2:$E$1001,'External Data'!$L$2:$L$1001,SUBSTITUTE(SUBSTITUTE(SUBSTITUTE(L948,"~","~~"),"*","~*"),"?","~?")))</x:f>
      </x:c>
      <x:c r="J948" s="13" t="str">
        <x:f>IF(OR(NOT(ISNUMBER(E948)),NOT(ISNUMBER(I948))),"",ROUND(E948-I948,2))</x:f>
      </x:c>
      <x:c r="K948" s="2" t="str">
        <x:f>IF(COUNTA(A948:F948)=0,"",IF(OR(A948="",B948="",C948="",D948="",NOT(ISNUMBER(E948))),"Missing / invalid input",IF(G948&gt;1,"Duplicate key in this source",IF(H948=0,"Missing in other source",IF(H948&gt;1,"Duplicate in other source",IF(SUMIFS('External Data'!$M$2:$M$1001,'External Data'!$L$2:$L$1001,SUBSTITUTE(SUBSTITUTE(SUBSTITUTE(L948,"~","~~"),"*","~*"),"?","~?"))&lt;&gt;1,"Other amount is invalid",IF(J948&lt;&gt;0,"Amount differs","Matched")))))))</x:f>
      </x:c>
      <x:c r="L948" t="str">
        <x:f>IF(COUNTA(A948:F948)=0,"",LEN(A948)&amp;":"&amp;A948&amp;LEN(B948)&amp;":"&amp;B948&amp;LEN(C948)&amp;":"&amp;C948&amp;LEN(D948)&amp;":"&amp;D948)</x:f>
      </x:c>
      <x:c r="M948" t="str">
        <x:f>IF(COUNTA(A948:F948)=0,"",IF(ISNUMBER(E948),1,0))</x:f>
      </x:c>
    </x:row>
    <x:row r="949">
      <x:c r="A949" s="11"/>
      <x:c r="B949" s="11"/>
      <x:c r="C949" s="11"/>
      <x:c r="D949" s="11"/>
      <x:c r="E949" s="12"/>
      <x:c r="F949" s="10"/>
      <x:c r="G949" s="2" t="str">
        <x:f>IF(COUNTA(A949:F949)=0,"",COUNTIFS('App Data'!$L$2:$L$1001,SUBSTITUTE(SUBSTITUTE(SUBSTITUTE(L949,"~","~~"),"*","~*"),"?","~?")))</x:f>
      </x:c>
      <x:c r="H949" s="2" t="str">
        <x:f>IF(COUNTA(A949:F949)=0,"",COUNTIFS('External Data'!$L$2:$L$1001,SUBSTITUTE(SUBSTITUTE(SUBSTITUTE(L949,"~","~~"),"*","~*"),"?","~?")))</x:f>
      </x:c>
      <x:c r="I949" s="13" t="str">
        <x:f>IF(OR(H949&lt;&gt;1,G949&lt;&gt;1),"",SUMIFS('External Data'!$E$2:$E$1001,'External Data'!$L$2:$L$1001,SUBSTITUTE(SUBSTITUTE(SUBSTITUTE(L949,"~","~~"),"*","~*"),"?","~?")))</x:f>
      </x:c>
      <x:c r="J949" s="13" t="str">
        <x:f>IF(OR(NOT(ISNUMBER(E949)),NOT(ISNUMBER(I949))),"",ROUND(E949-I949,2))</x:f>
      </x:c>
      <x:c r="K949" s="2" t="str">
        <x:f>IF(COUNTA(A949:F949)=0,"",IF(OR(A949="",B949="",C949="",D949="",NOT(ISNUMBER(E949))),"Missing / invalid input",IF(G949&gt;1,"Duplicate key in this source",IF(H949=0,"Missing in other source",IF(H949&gt;1,"Duplicate in other source",IF(SUMIFS('External Data'!$M$2:$M$1001,'External Data'!$L$2:$L$1001,SUBSTITUTE(SUBSTITUTE(SUBSTITUTE(L949,"~","~~"),"*","~*"),"?","~?"))&lt;&gt;1,"Other amount is invalid",IF(J949&lt;&gt;0,"Amount differs","Matched")))))))</x:f>
      </x:c>
      <x:c r="L949" t="str">
        <x:f>IF(COUNTA(A949:F949)=0,"",LEN(A949)&amp;":"&amp;A949&amp;LEN(B949)&amp;":"&amp;B949&amp;LEN(C949)&amp;":"&amp;C949&amp;LEN(D949)&amp;":"&amp;D949)</x:f>
      </x:c>
      <x:c r="M949" t="str">
        <x:f>IF(COUNTA(A949:F949)=0,"",IF(ISNUMBER(E949),1,0))</x:f>
      </x:c>
    </x:row>
    <x:row r="950">
      <x:c r="A950" s="11"/>
      <x:c r="B950" s="11"/>
      <x:c r="C950" s="11"/>
      <x:c r="D950" s="11"/>
      <x:c r="E950" s="12"/>
      <x:c r="F950" s="10"/>
      <x:c r="G950" s="2" t="str">
        <x:f>IF(COUNTA(A950:F950)=0,"",COUNTIFS('App Data'!$L$2:$L$1001,SUBSTITUTE(SUBSTITUTE(SUBSTITUTE(L950,"~","~~"),"*","~*"),"?","~?")))</x:f>
      </x:c>
      <x:c r="H950" s="2" t="str">
        <x:f>IF(COUNTA(A950:F950)=0,"",COUNTIFS('External Data'!$L$2:$L$1001,SUBSTITUTE(SUBSTITUTE(SUBSTITUTE(L950,"~","~~"),"*","~*"),"?","~?")))</x:f>
      </x:c>
      <x:c r="I950" s="13" t="str">
        <x:f>IF(OR(H950&lt;&gt;1,G950&lt;&gt;1),"",SUMIFS('External Data'!$E$2:$E$1001,'External Data'!$L$2:$L$1001,SUBSTITUTE(SUBSTITUTE(SUBSTITUTE(L950,"~","~~"),"*","~*"),"?","~?")))</x:f>
      </x:c>
      <x:c r="J950" s="13" t="str">
        <x:f>IF(OR(NOT(ISNUMBER(E950)),NOT(ISNUMBER(I950))),"",ROUND(E950-I950,2))</x:f>
      </x:c>
      <x:c r="K950" s="2" t="str">
        <x:f>IF(COUNTA(A950:F950)=0,"",IF(OR(A950="",B950="",C950="",D950="",NOT(ISNUMBER(E950))),"Missing / invalid input",IF(G950&gt;1,"Duplicate key in this source",IF(H950=0,"Missing in other source",IF(H950&gt;1,"Duplicate in other source",IF(SUMIFS('External Data'!$M$2:$M$1001,'External Data'!$L$2:$L$1001,SUBSTITUTE(SUBSTITUTE(SUBSTITUTE(L950,"~","~~"),"*","~*"),"?","~?"))&lt;&gt;1,"Other amount is invalid",IF(J950&lt;&gt;0,"Amount differs","Matched")))))))</x:f>
      </x:c>
      <x:c r="L950" t="str">
        <x:f>IF(COUNTA(A950:F950)=0,"",LEN(A950)&amp;":"&amp;A950&amp;LEN(B950)&amp;":"&amp;B950&amp;LEN(C950)&amp;":"&amp;C950&amp;LEN(D950)&amp;":"&amp;D950)</x:f>
      </x:c>
      <x:c r="M950" t="str">
        <x:f>IF(COUNTA(A950:F950)=0,"",IF(ISNUMBER(E950),1,0))</x:f>
      </x:c>
    </x:row>
    <x:row r="951">
      <x:c r="A951" s="11"/>
      <x:c r="B951" s="11"/>
      <x:c r="C951" s="11"/>
      <x:c r="D951" s="11"/>
      <x:c r="E951" s="12"/>
      <x:c r="F951" s="10"/>
      <x:c r="G951" s="2" t="str">
        <x:f>IF(COUNTA(A951:F951)=0,"",COUNTIFS('App Data'!$L$2:$L$1001,SUBSTITUTE(SUBSTITUTE(SUBSTITUTE(L951,"~","~~"),"*","~*"),"?","~?")))</x:f>
      </x:c>
      <x:c r="H951" s="2" t="str">
        <x:f>IF(COUNTA(A951:F951)=0,"",COUNTIFS('External Data'!$L$2:$L$1001,SUBSTITUTE(SUBSTITUTE(SUBSTITUTE(L951,"~","~~"),"*","~*"),"?","~?")))</x:f>
      </x:c>
      <x:c r="I951" s="13" t="str">
        <x:f>IF(OR(H951&lt;&gt;1,G951&lt;&gt;1),"",SUMIFS('External Data'!$E$2:$E$1001,'External Data'!$L$2:$L$1001,SUBSTITUTE(SUBSTITUTE(SUBSTITUTE(L951,"~","~~"),"*","~*"),"?","~?")))</x:f>
      </x:c>
      <x:c r="J951" s="13" t="str">
        <x:f>IF(OR(NOT(ISNUMBER(E951)),NOT(ISNUMBER(I951))),"",ROUND(E951-I951,2))</x:f>
      </x:c>
      <x:c r="K951" s="2" t="str">
        <x:f>IF(COUNTA(A951:F951)=0,"",IF(OR(A951="",B951="",C951="",D951="",NOT(ISNUMBER(E951))),"Missing / invalid input",IF(G951&gt;1,"Duplicate key in this source",IF(H951=0,"Missing in other source",IF(H951&gt;1,"Duplicate in other source",IF(SUMIFS('External Data'!$M$2:$M$1001,'External Data'!$L$2:$L$1001,SUBSTITUTE(SUBSTITUTE(SUBSTITUTE(L951,"~","~~"),"*","~*"),"?","~?"))&lt;&gt;1,"Other amount is invalid",IF(J951&lt;&gt;0,"Amount differs","Matched")))))))</x:f>
      </x:c>
      <x:c r="L951" t="str">
        <x:f>IF(COUNTA(A951:F951)=0,"",LEN(A951)&amp;":"&amp;A951&amp;LEN(B951)&amp;":"&amp;B951&amp;LEN(C951)&amp;":"&amp;C951&amp;LEN(D951)&amp;":"&amp;D951)</x:f>
      </x:c>
      <x:c r="M951" t="str">
        <x:f>IF(COUNTA(A951:F951)=0,"",IF(ISNUMBER(E951),1,0))</x:f>
      </x:c>
    </x:row>
    <x:row r="952">
      <x:c r="A952" s="11"/>
      <x:c r="B952" s="11"/>
      <x:c r="C952" s="11"/>
      <x:c r="D952" s="11"/>
      <x:c r="E952" s="12"/>
      <x:c r="F952" s="10"/>
      <x:c r="G952" s="2" t="str">
        <x:f>IF(COUNTA(A952:F952)=0,"",COUNTIFS('App Data'!$L$2:$L$1001,SUBSTITUTE(SUBSTITUTE(SUBSTITUTE(L952,"~","~~"),"*","~*"),"?","~?")))</x:f>
      </x:c>
      <x:c r="H952" s="2" t="str">
        <x:f>IF(COUNTA(A952:F952)=0,"",COUNTIFS('External Data'!$L$2:$L$1001,SUBSTITUTE(SUBSTITUTE(SUBSTITUTE(L952,"~","~~"),"*","~*"),"?","~?")))</x:f>
      </x:c>
      <x:c r="I952" s="13" t="str">
        <x:f>IF(OR(H952&lt;&gt;1,G952&lt;&gt;1),"",SUMIFS('External Data'!$E$2:$E$1001,'External Data'!$L$2:$L$1001,SUBSTITUTE(SUBSTITUTE(SUBSTITUTE(L952,"~","~~"),"*","~*"),"?","~?")))</x:f>
      </x:c>
      <x:c r="J952" s="13" t="str">
        <x:f>IF(OR(NOT(ISNUMBER(E952)),NOT(ISNUMBER(I952))),"",ROUND(E952-I952,2))</x:f>
      </x:c>
      <x:c r="K952" s="2" t="str">
        <x:f>IF(COUNTA(A952:F952)=0,"",IF(OR(A952="",B952="",C952="",D952="",NOT(ISNUMBER(E952))),"Missing / invalid input",IF(G952&gt;1,"Duplicate key in this source",IF(H952=0,"Missing in other source",IF(H952&gt;1,"Duplicate in other source",IF(SUMIFS('External Data'!$M$2:$M$1001,'External Data'!$L$2:$L$1001,SUBSTITUTE(SUBSTITUTE(SUBSTITUTE(L952,"~","~~"),"*","~*"),"?","~?"))&lt;&gt;1,"Other amount is invalid",IF(J952&lt;&gt;0,"Amount differs","Matched")))))))</x:f>
      </x:c>
      <x:c r="L952" t="str">
        <x:f>IF(COUNTA(A952:F952)=0,"",LEN(A952)&amp;":"&amp;A952&amp;LEN(B952)&amp;":"&amp;B952&amp;LEN(C952)&amp;":"&amp;C952&amp;LEN(D952)&amp;":"&amp;D952)</x:f>
      </x:c>
      <x:c r="M952" t="str">
        <x:f>IF(COUNTA(A952:F952)=0,"",IF(ISNUMBER(E952),1,0))</x:f>
      </x:c>
    </x:row>
    <x:row r="953">
      <x:c r="A953" s="11"/>
      <x:c r="B953" s="11"/>
      <x:c r="C953" s="11"/>
      <x:c r="D953" s="11"/>
      <x:c r="E953" s="12"/>
      <x:c r="F953" s="10"/>
      <x:c r="G953" s="2" t="str">
        <x:f>IF(COUNTA(A953:F953)=0,"",COUNTIFS('App Data'!$L$2:$L$1001,SUBSTITUTE(SUBSTITUTE(SUBSTITUTE(L953,"~","~~"),"*","~*"),"?","~?")))</x:f>
      </x:c>
      <x:c r="H953" s="2" t="str">
        <x:f>IF(COUNTA(A953:F953)=0,"",COUNTIFS('External Data'!$L$2:$L$1001,SUBSTITUTE(SUBSTITUTE(SUBSTITUTE(L953,"~","~~"),"*","~*"),"?","~?")))</x:f>
      </x:c>
      <x:c r="I953" s="13" t="str">
        <x:f>IF(OR(H953&lt;&gt;1,G953&lt;&gt;1),"",SUMIFS('External Data'!$E$2:$E$1001,'External Data'!$L$2:$L$1001,SUBSTITUTE(SUBSTITUTE(SUBSTITUTE(L953,"~","~~"),"*","~*"),"?","~?")))</x:f>
      </x:c>
      <x:c r="J953" s="13" t="str">
        <x:f>IF(OR(NOT(ISNUMBER(E953)),NOT(ISNUMBER(I953))),"",ROUND(E953-I953,2))</x:f>
      </x:c>
      <x:c r="K953" s="2" t="str">
        <x:f>IF(COUNTA(A953:F953)=0,"",IF(OR(A953="",B953="",C953="",D953="",NOT(ISNUMBER(E953))),"Missing / invalid input",IF(G953&gt;1,"Duplicate key in this source",IF(H953=0,"Missing in other source",IF(H953&gt;1,"Duplicate in other source",IF(SUMIFS('External Data'!$M$2:$M$1001,'External Data'!$L$2:$L$1001,SUBSTITUTE(SUBSTITUTE(SUBSTITUTE(L953,"~","~~"),"*","~*"),"?","~?"))&lt;&gt;1,"Other amount is invalid",IF(J953&lt;&gt;0,"Amount differs","Matched")))))))</x:f>
      </x:c>
      <x:c r="L953" t="str">
        <x:f>IF(COUNTA(A953:F953)=0,"",LEN(A953)&amp;":"&amp;A953&amp;LEN(B953)&amp;":"&amp;B953&amp;LEN(C953)&amp;":"&amp;C953&amp;LEN(D953)&amp;":"&amp;D953)</x:f>
      </x:c>
      <x:c r="M953" t="str">
        <x:f>IF(COUNTA(A953:F953)=0,"",IF(ISNUMBER(E953),1,0))</x:f>
      </x:c>
    </x:row>
    <x:row r="954">
      <x:c r="A954" s="11"/>
      <x:c r="B954" s="11"/>
      <x:c r="C954" s="11"/>
      <x:c r="D954" s="11"/>
      <x:c r="E954" s="12"/>
      <x:c r="F954" s="10"/>
      <x:c r="G954" s="2" t="str">
        <x:f>IF(COUNTA(A954:F954)=0,"",COUNTIFS('App Data'!$L$2:$L$1001,SUBSTITUTE(SUBSTITUTE(SUBSTITUTE(L954,"~","~~"),"*","~*"),"?","~?")))</x:f>
      </x:c>
      <x:c r="H954" s="2" t="str">
        <x:f>IF(COUNTA(A954:F954)=0,"",COUNTIFS('External Data'!$L$2:$L$1001,SUBSTITUTE(SUBSTITUTE(SUBSTITUTE(L954,"~","~~"),"*","~*"),"?","~?")))</x:f>
      </x:c>
      <x:c r="I954" s="13" t="str">
        <x:f>IF(OR(H954&lt;&gt;1,G954&lt;&gt;1),"",SUMIFS('External Data'!$E$2:$E$1001,'External Data'!$L$2:$L$1001,SUBSTITUTE(SUBSTITUTE(SUBSTITUTE(L954,"~","~~"),"*","~*"),"?","~?")))</x:f>
      </x:c>
      <x:c r="J954" s="13" t="str">
        <x:f>IF(OR(NOT(ISNUMBER(E954)),NOT(ISNUMBER(I954))),"",ROUND(E954-I954,2))</x:f>
      </x:c>
      <x:c r="K954" s="2" t="str">
        <x:f>IF(COUNTA(A954:F954)=0,"",IF(OR(A954="",B954="",C954="",D954="",NOT(ISNUMBER(E954))),"Missing / invalid input",IF(G954&gt;1,"Duplicate key in this source",IF(H954=0,"Missing in other source",IF(H954&gt;1,"Duplicate in other source",IF(SUMIFS('External Data'!$M$2:$M$1001,'External Data'!$L$2:$L$1001,SUBSTITUTE(SUBSTITUTE(SUBSTITUTE(L954,"~","~~"),"*","~*"),"?","~?"))&lt;&gt;1,"Other amount is invalid",IF(J954&lt;&gt;0,"Amount differs","Matched")))))))</x:f>
      </x:c>
      <x:c r="L954" t="str">
        <x:f>IF(COUNTA(A954:F954)=0,"",LEN(A954)&amp;":"&amp;A954&amp;LEN(B954)&amp;":"&amp;B954&amp;LEN(C954)&amp;":"&amp;C954&amp;LEN(D954)&amp;":"&amp;D954)</x:f>
      </x:c>
      <x:c r="M954" t="str">
        <x:f>IF(COUNTA(A954:F954)=0,"",IF(ISNUMBER(E954),1,0))</x:f>
      </x:c>
    </x:row>
    <x:row r="955">
      <x:c r="A955" s="11"/>
      <x:c r="B955" s="11"/>
      <x:c r="C955" s="11"/>
      <x:c r="D955" s="11"/>
      <x:c r="E955" s="12"/>
      <x:c r="F955" s="10"/>
      <x:c r="G955" s="2" t="str">
        <x:f>IF(COUNTA(A955:F955)=0,"",COUNTIFS('App Data'!$L$2:$L$1001,SUBSTITUTE(SUBSTITUTE(SUBSTITUTE(L955,"~","~~"),"*","~*"),"?","~?")))</x:f>
      </x:c>
      <x:c r="H955" s="2" t="str">
        <x:f>IF(COUNTA(A955:F955)=0,"",COUNTIFS('External Data'!$L$2:$L$1001,SUBSTITUTE(SUBSTITUTE(SUBSTITUTE(L955,"~","~~"),"*","~*"),"?","~?")))</x:f>
      </x:c>
      <x:c r="I955" s="13" t="str">
        <x:f>IF(OR(H955&lt;&gt;1,G955&lt;&gt;1),"",SUMIFS('External Data'!$E$2:$E$1001,'External Data'!$L$2:$L$1001,SUBSTITUTE(SUBSTITUTE(SUBSTITUTE(L955,"~","~~"),"*","~*"),"?","~?")))</x:f>
      </x:c>
      <x:c r="J955" s="13" t="str">
        <x:f>IF(OR(NOT(ISNUMBER(E955)),NOT(ISNUMBER(I955))),"",ROUND(E955-I955,2))</x:f>
      </x:c>
      <x:c r="K955" s="2" t="str">
        <x:f>IF(COUNTA(A955:F955)=0,"",IF(OR(A955="",B955="",C955="",D955="",NOT(ISNUMBER(E955))),"Missing / invalid input",IF(G955&gt;1,"Duplicate key in this source",IF(H955=0,"Missing in other source",IF(H955&gt;1,"Duplicate in other source",IF(SUMIFS('External Data'!$M$2:$M$1001,'External Data'!$L$2:$L$1001,SUBSTITUTE(SUBSTITUTE(SUBSTITUTE(L955,"~","~~"),"*","~*"),"?","~?"))&lt;&gt;1,"Other amount is invalid",IF(J955&lt;&gt;0,"Amount differs","Matched")))))))</x:f>
      </x:c>
      <x:c r="L955" t="str">
        <x:f>IF(COUNTA(A955:F955)=0,"",LEN(A955)&amp;":"&amp;A955&amp;LEN(B955)&amp;":"&amp;B955&amp;LEN(C955)&amp;":"&amp;C955&amp;LEN(D955)&amp;":"&amp;D955)</x:f>
      </x:c>
      <x:c r="M955" t="str">
        <x:f>IF(COUNTA(A955:F955)=0,"",IF(ISNUMBER(E955),1,0))</x:f>
      </x:c>
    </x:row>
    <x:row r="956">
      <x:c r="A956" s="11"/>
      <x:c r="B956" s="11"/>
      <x:c r="C956" s="11"/>
      <x:c r="D956" s="11"/>
      <x:c r="E956" s="12"/>
      <x:c r="F956" s="10"/>
      <x:c r="G956" s="2" t="str">
        <x:f>IF(COUNTA(A956:F956)=0,"",COUNTIFS('App Data'!$L$2:$L$1001,SUBSTITUTE(SUBSTITUTE(SUBSTITUTE(L956,"~","~~"),"*","~*"),"?","~?")))</x:f>
      </x:c>
      <x:c r="H956" s="2" t="str">
        <x:f>IF(COUNTA(A956:F956)=0,"",COUNTIFS('External Data'!$L$2:$L$1001,SUBSTITUTE(SUBSTITUTE(SUBSTITUTE(L956,"~","~~"),"*","~*"),"?","~?")))</x:f>
      </x:c>
      <x:c r="I956" s="13" t="str">
        <x:f>IF(OR(H956&lt;&gt;1,G956&lt;&gt;1),"",SUMIFS('External Data'!$E$2:$E$1001,'External Data'!$L$2:$L$1001,SUBSTITUTE(SUBSTITUTE(SUBSTITUTE(L956,"~","~~"),"*","~*"),"?","~?")))</x:f>
      </x:c>
      <x:c r="J956" s="13" t="str">
        <x:f>IF(OR(NOT(ISNUMBER(E956)),NOT(ISNUMBER(I956))),"",ROUND(E956-I956,2))</x:f>
      </x:c>
      <x:c r="K956" s="2" t="str">
        <x:f>IF(COUNTA(A956:F956)=0,"",IF(OR(A956="",B956="",C956="",D956="",NOT(ISNUMBER(E956))),"Missing / invalid input",IF(G956&gt;1,"Duplicate key in this source",IF(H956=0,"Missing in other source",IF(H956&gt;1,"Duplicate in other source",IF(SUMIFS('External Data'!$M$2:$M$1001,'External Data'!$L$2:$L$1001,SUBSTITUTE(SUBSTITUTE(SUBSTITUTE(L956,"~","~~"),"*","~*"),"?","~?"))&lt;&gt;1,"Other amount is invalid",IF(J956&lt;&gt;0,"Amount differs","Matched")))))))</x:f>
      </x:c>
      <x:c r="L956" t="str">
        <x:f>IF(COUNTA(A956:F956)=0,"",LEN(A956)&amp;":"&amp;A956&amp;LEN(B956)&amp;":"&amp;B956&amp;LEN(C956)&amp;":"&amp;C956&amp;LEN(D956)&amp;":"&amp;D956)</x:f>
      </x:c>
      <x:c r="M956" t="str">
        <x:f>IF(COUNTA(A956:F956)=0,"",IF(ISNUMBER(E956),1,0))</x:f>
      </x:c>
    </x:row>
    <x:row r="957">
      <x:c r="A957" s="11"/>
      <x:c r="B957" s="11"/>
      <x:c r="C957" s="11"/>
      <x:c r="D957" s="11"/>
      <x:c r="E957" s="12"/>
      <x:c r="F957" s="10"/>
      <x:c r="G957" s="2" t="str">
        <x:f>IF(COUNTA(A957:F957)=0,"",COUNTIFS('App Data'!$L$2:$L$1001,SUBSTITUTE(SUBSTITUTE(SUBSTITUTE(L957,"~","~~"),"*","~*"),"?","~?")))</x:f>
      </x:c>
      <x:c r="H957" s="2" t="str">
        <x:f>IF(COUNTA(A957:F957)=0,"",COUNTIFS('External Data'!$L$2:$L$1001,SUBSTITUTE(SUBSTITUTE(SUBSTITUTE(L957,"~","~~"),"*","~*"),"?","~?")))</x:f>
      </x:c>
      <x:c r="I957" s="13" t="str">
        <x:f>IF(OR(H957&lt;&gt;1,G957&lt;&gt;1),"",SUMIFS('External Data'!$E$2:$E$1001,'External Data'!$L$2:$L$1001,SUBSTITUTE(SUBSTITUTE(SUBSTITUTE(L957,"~","~~"),"*","~*"),"?","~?")))</x:f>
      </x:c>
      <x:c r="J957" s="13" t="str">
        <x:f>IF(OR(NOT(ISNUMBER(E957)),NOT(ISNUMBER(I957))),"",ROUND(E957-I957,2))</x:f>
      </x:c>
      <x:c r="K957" s="2" t="str">
        <x:f>IF(COUNTA(A957:F957)=0,"",IF(OR(A957="",B957="",C957="",D957="",NOT(ISNUMBER(E957))),"Missing / invalid input",IF(G957&gt;1,"Duplicate key in this source",IF(H957=0,"Missing in other source",IF(H957&gt;1,"Duplicate in other source",IF(SUMIFS('External Data'!$M$2:$M$1001,'External Data'!$L$2:$L$1001,SUBSTITUTE(SUBSTITUTE(SUBSTITUTE(L957,"~","~~"),"*","~*"),"?","~?"))&lt;&gt;1,"Other amount is invalid",IF(J957&lt;&gt;0,"Amount differs","Matched")))))))</x:f>
      </x:c>
      <x:c r="L957" t="str">
        <x:f>IF(COUNTA(A957:F957)=0,"",LEN(A957)&amp;":"&amp;A957&amp;LEN(B957)&amp;":"&amp;B957&amp;LEN(C957)&amp;":"&amp;C957&amp;LEN(D957)&amp;":"&amp;D957)</x:f>
      </x:c>
      <x:c r="M957" t="str">
        <x:f>IF(COUNTA(A957:F957)=0,"",IF(ISNUMBER(E957),1,0))</x:f>
      </x:c>
    </x:row>
    <x:row r="958">
      <x:c r="A958" s="11"/>
      <x:c r="B958" s="11"/>
      <x:c r="C958" s="11"/>
      <x:c r="D958" s="11"/>
      <x:c r="E958" s="12"/>
      <x:c r="F958" s="10"/>
      <x:c r="G958" s="2" t="str">
        <x:f>IF(COUNTA(A958:F958)=0,"",COUNTIFS('App Data'!$L$2:$L$1001,SUBSTITUTE(SUBSTITUTE(SUBSTITUTE(L958,"~","~~"),"*","~*"),"?","~?")))</x:f>
      </x:c>
      <x:c r="H958" s="2" t="str">
        <x:f>IF(COUNTA(A958:F958)=0,"",COUNTIFS('External Data'!$L$2:$L$1001,SUBSTITUTE(SUBSTITUTE(SUBSTITUTE(L958,"~","~~"),"*","~*"),"?","~?")))</x:f>
      </x:c>
      <x:c r="I958" s="13" t="str">
        <x:f>IF(OR(H958&lt;&gt;1,G958&lt;&gt;1),"",SUMIFS('External Data'!$E$2:$E$1001,'External Data'!$L$2:$L$1001,SUBSTITUTE(SUBSTITUTE(SUBSTITUTE(L958,"~","~~"),"*","~*"),"?","~?")))</x:f>
      </x:c>
      <x:c r="J958" s="13" t="str">
        <x:f>IF(OR(NOT(ISNUMBER(E958)),NOT(ISNUMBER(I958))),"",ROUND(E958-I958,2))</x:f>
      </x:c>
      <x:c r="K958" s="2" t="str">
        <x:f>IF(COUNTA(A958:F958)=0,"",IF(OR(A958="",B958="",C958="",D958="",NOT(ISNUMBER(E958))),"Missing / invalid input",IF(G958&gt;1,"Duplicate key in this source",IF(H958=0,"Missing in other source",IF(H958&gt;1,"Duplicate in other source",IF(SUMIFS('External Data'!$M$2:$M$1001,'External Data'!$L$2:$L$1001,SUBSTITUTE(SUBSTITUTE(SUBSTITUTE(L958,"~","~~"),"*","~*"),"?","~?"))&lt;&gt;1,"Other amount is invalid",IF(J958&lt;&gt;0,"Amount differs","Matched")))))))</x:f>
      </x:c>
      <x:c r="L958" t="str">
        <x:f>IF(COUNTA(A958:F958)=0,"",LEN(A958)&amp;":"&amp;A958&amp;LEN(B958)&amp;":"&amp;B958&amp;LEN(C958)&amp;":"&amp;C958&amp;LEN(D958)&amp;":"&amp;D958)</x:f>
      </x:c>
      <x:c r="M958" t="str">
        <x:f>IF(COUNTA(A958:F958)=0,"",IF(ISNUMBER(E958),1,0))</x:f>
      </x:c>
    </x:row>
    <x:row r="959">
      <x:c r="A959" s="11"/>
      <x:c r="B959" s="11"/>
      <x:c r="C959" s="11"/>
      <x:c r="D959" s="11"/>
      <x:c r="E959" s="12"/>
      <x:c r="F959" s="10"/>
      <x:c r="G959" s="2" t="str">
        <x:f>IF(COUNTA(A959:F959)=0,"",COUNTIFS('App Data'!$L$2:$L$1001,SUBSTITUTE(SUBSTITUTE(SUBSTITUTE(L959,"~","~~"),"*","~*"),"?","~?")))</x:f>
      </x:c>
      <x:c r="H959" s="2" t="str">
        <x:f>IF(COUNTA(A959:F959)=0,"",COUNTIFS('External Data'!$L$2:$L$1001,SUBSTITUTE(SUBSTITUTE(SUBSTITUTE(L959,"~","~~"),"*","~*"),"?","~?")))</x:f>
      </x:c>
      <x:c r="I959" s="13" t="str">
        <x:f>IF(OR(H959&lt;&gt;1,G959&lt;&gt;1),"",SUMIFS('External Data'!$E$2:$E$1001,'External Data'!$L$2:$L$1001,SUBSTITUTE(SUBSTITUTE(SUBSTITUTE(L959,"~","~~"),"*","~*"),"?","~?")))</x:f>
      </x:c>
      <x:c r="J959" s="13" t="str">
        <x:f>IF(OR(NOT(ISNUMBER(E959)),NOT(ISNUMBER(I959))),"",ROUND(E959-I959,2))</x:f>
      </x:c>
      <x:c r="K959" s="2" t="str">
        <x:f>IF(COUNTA(A959:F959)=0,"",IF(OR(A959="",B959="",C959="",D959="",NOT(ISNUMBER(E959))),"Missing / invalid input",IF(G959&gt;1,"Duplicate key in this source",IF(H959=0,"Missing in other source",IF(H959&gt;1,"Duplicate in other source",IF(SUMIFS('External Data'!$M$2:$M$1001,'External Data'!$L$2:$L$1001,SUBSTITUTE(SUBSTITUTE(SUBSTITUTE(L959,"~","~~"),"*","~*"),"?","~?"))&lt;&gt;1,"Other amount is invalid",IF(J959&lt;&gt;0,"Amount differs","Matched")))))))</x:f>
      </x:c>
      <x:c r="L959" t="str">
        <x:f>IF(COUNTA(A959:F959)=0,"",LEN(A959)&amp;":"&amp;A959&amp;LEN(B959)&amp;":"&amp;B959&amp;LEN(C959)&amp;":"&amp;C959&amp;LEN(D959)&amp;":"&amp;D959)</x:f>
      </x:c>
      <x:c r="M959" t="str">
        <x:f>IF(COUNTA(A959:F959)=0,"",IF(ISNUMBER(E959),1,0))</x:f>
      </x:c>
    </x:row>
    <x:row r="960">
      <x:c r="A960" s="11"/>
      <x:c r="B960" s="11"/>
      <x:c r="C960" s="11"/>
      <x:c r="D960" s="11"/>
      <x:c r="E960" s="12"/>
      <x:c r="F960" s="10"/>
      <x:c r="G960" s="2" t="str">
        <x:f>IF(COUNTA(A960:F960)=0,"",COUNTIFS('App Data'!$L$2:$L$1001,SUBSTITUTE(SUBSTITUTE(SUBSTITUTE(L960,"~","~~"),"*","~*"),"?","~?")))</x:f>
      </x:c>
      <x:c r="H960" s="2" t="str">
        <x:f>IF(COUNTA(A960:F960)=0,"",COUNTIFS('External Data'!$L$2:$L$1001,SUBSTITUTE(SUBSTITUTE(SUBSTITUTE(L960,"~","~~"),"*","~*"),"?","~?")))</x:f>
      </x:c>
      <x:c r="I960" s="13" t="str">
        <x:f>IF(OR(H960&lt;&gt;1,G960&lt;&gt;1),"",SUMIFS('External Data'!$E$2:$E$1001,'External Data'!$L$2:$L$1001,SUBSTITUTE(SUBSTITUTE(SUBSTITUTE(L960,"~","~~"),"*","~*"),"?","~?")))</x:f>
      </x:c>
      <x:c r="J960" s="13" t="str">
        <x:f>IF(OR(NOT(ISNUMBER(E960)),NOT(ISNUMBER(I960))),"",ROUND(E960-I960,2))</x:f>
      </x:c>
      <x:c r="K960" s="2" t="str">
        <x:f>IF(COUNTA(A960:F960)=0,"",IF(OR(A960="",B960="",C960="",D960="",NOT(ISNUMBER(E960))),"Missing / invalid input",IF(G960&gt;1,"Duplicate key in this source",IF(H960=0,"Missing in other source",IF(H960&gt;1,"Duplicate in other source",IF(SUMIFS('External Data'!$M$2:$M$1001,'External Data'!$L$2:$L$1001,SUBSTITUTE(SUBSTITUTE(SUBSTITUTE(L960,"~","~~"),"*","~*"),"?","~?"))&lt;&gt;1,"Other amount is invalid",IF(J960&lt;&gt;0,"Amount differs","Matched")))))))</x:f>
      </x:c>
      <x:c r="L960" t="str">
        <x:f>IF(COUNTA(A960:F960)=0,"",LEN(A960)&amp;":"&amp;A960&amp;LEN(B960)&amp;":"&amp;B960&amp;LEN(C960)&amp;":"&amp;C960&amp;LEN(D960)&amp;":"&amp;D960)</x:f>
      </x:c>
      <x:c r="M960" t="str">
        <x:f>IF(COUNTA(A960:F960)=0,"",IF(ISNUMBER(E960),1,0))</x:f>
      </x:c>
    </x:row>
    <x:row r="961">
      <x:c r="A961" s="11"/>
      <x:c r="B961" s="11"/>
      <x:c r="C961" s="11"/>
      <x:c r="D961" s="11"/>
      <x:c r="E961" s="12"/>
      <x:c r="F961" s="10"/>
      <x:c r="G961" s="2" t="str">
        <x:f>IF(COUNTA(A961:F961)=0,"",COUNTIFS('App Data'!$L$2:$L$1001,SUBSTITUTE(SUBSTITUTE(SUBSTITUTE(L961,"~","~~"),"*","~*"),"?","~?")))</x:f>
      </x:c>
      <x:c r="H961" s="2" t="str">
        <x:f>IF(COUNTA(A961:F961)=0,"",COUNTIFS('External Data'!$L$2:$L$1001,SUBSTITUTE(SUBSTITUTE(SUBSTITUTE(L961,"~","~~"),"*","~*"),"?","~?")))</x:f>
      </x:c>
      <x:c r="I961" s="13" t="str">
        <x:f>IF(OR(H961&lt;&gt;1,G961&lt;&gt;1),"",SUMIFS('External Data'!$E$2:$E$1001,'External Data'!$L$2:$L$1001,SUBSTITUTE(SUBSTITUTE(SUBSTITUTE(L961,"~","~~"),"*","~*"),"?","~?")))</x:f>
      </x:c>
      <x:c r="J961" s="13" t="str">
        <x:f>IF(OR(NOT(ISNUMBER(E961)),NOT(ISNUMBER(I961))),"",ROUND(E961-I961,2))</x:f>
      </x:c>
      <x:c r="K961" s="2" t="str">
        <x:f>IF(COUNTA(A961:F961)=0,"",IF(OR(A961="",B961="",C961="",D961="",NOT(ISNUMBER(E961))),"Missing / invalid input",IF(G961&gt;1,"Duplicate key in this source",IF(H961=0,"Missing in other source",IF(H961&gt;1,"Duplicate in other source",IF(SUMIFS('External Data'!$M$2:$M$1001,'External Data'!$L$2:$L$1001,SUBSTITUTE(SUBSTITUTE(SUBSTITUTE(L961,"~","~~"),"*","~*"),"?","~?"))&lt;&gt;1,"Other amount is invalid",IF(J961&lt;&gt;0,"Amount differs","Matched")))))))</x:f>
      </x:c>
      <x:c r="L961" t="str">
        <x:f>IF(COUNTA(A961:F961)=0,"",LEN(A961)&amp;":"&amp;A961&amp;LEN(B961)&amp;":"&amp;B961&amp;LEN(C961)&amp;":"&amp;C961&amp;LEN(D961)&amp;":"&amp;D961)</x:f>
      </x:c>
      <x:c r="M961" t="str">
        <x:f>IF(COUNTA(A961:F961)=0,"",IF(ISNUMBER(E961),1,0))</x:f>
      </x:c>
    </x:row>
    <x:row r="962">
      <x:c r="A962" s="11"/>
      <x:c r="B962" s="11"/>
      <x:c r="C962" s="11"/>
      <x:c r="D962" s="11"/>
      <x:c r="E962" s="12"/>
      <x:c r="F962" s="10"/>
      <x:c r="G962" s="2" t="str">
        <x:f>IF(COUNTA(A962:F962)=0,"",COUNTIFS('App Data'!$L$2:$L$1001,SUBSTITUTE(SUBSTITUTE(SUBSTITUTE(L962,"~","~~"),"*","~*"),"?","~?")))</x:f>
      </x:c>
      <x:c r="H962" s="2" t="str">
        <x:f>IF(COUNTA(A962:F962)=0,"",COUNTIFS('External Data'!$L$2:$L$1001,SUBSTITUTE(SUBSTITUTE(SUBSTITUTE(L962,"~","~~"),"*","~*"),"?","~?")))</x:f>
      </x:c>
      <x:c r="I962" s="13" t="str">
        <x:f>IF(OR(H962&lt;&gt;1,G962&lt;&gt;1),"",SUMIFS('External Data'!$E$2:$E$1001,'External Data'!$L$2:$L$1001,SUBSTITUTE(SUBSTITUTE(SUBSTITUTE(L962,"~","~~"),"*","~*"),"?","~?")))</x:f>
      </x:c>
      <x:c r="J962" s="13" t="str">
        <x:f>IF(OR(NOT(ISNUMBER(E962)),NOT(ISNUMBER(I962))),"",ROUND(E962-I962,2))</x:f>
      </x:c>
      <x:c r="K962" s="2" t="str">
        <x:f>IF(COUNTA(A962:F962)=0,"",IF(OR(A962="",B962="",C962="",D962="",NOT(ISNUMBER(E962))),"Missing / invalid input",IF(G962&gt;1,"Duplicate key in this source",IF(H962=0,"Missing in other source",IF(H962&gt;1,"Duplicate in other source",IF(SUMIFS('External Data'!$M$2:$M$1001,'External Data'!$L$2:$L$1001,SUBSTITUTE(SUBSTITUTE(SUBSTITUTE(L962,"~","~~"),"*","~*"),"?","~?"))&lt;&gt;1,"Other amount is invalid",IF(J962&lt;&gt;0,"Amount differs","Matched")))))))</x:f>
      </x:c>
      <x:c r="L962" t="str">
        <x:f>IF(COUNTA(A962:F962)=0,"",LEN(A962)&amp;":"&amp;A962&amp;LEN(B962)&amp;":"&amp;B962&amp;LEN(C962)&amp;":"&amp;C962&amp;LEN(D962)&amp;":"&amp;D962)</x:f>
      </x:c>
      <x:c r="M962" t="str">
        <x:f>IF(COUNTA(A962:F962)=0,"",IF(ISNUMBER(E962),1,0))</x:f>
      </x:c>
    </x:row>
    <x:row r="963">
      <x:c r="A963" s="11"/>
      <x:c r="B963" s="11"/>
      <x:c r="C963" s="11"/>
      <x:c r="D963" s="11"/>
      <x:c r="E963" s="12"/>
      <x:c r="F963" s="10"/>
      <x:c r="G963" s="2" t="str">
        <x:f>IF(COUNTA(A963:F963)=0,"",COUNTIFS('App Data'!$L$2:$L$1001,SUBSTITUTE(SUBSTITUTE(SUBSTITUTE(L963,"~","~~"),"*","~*"),"?","~?")))</x:f>
      </x:c>
      <x:c r="H963" s="2" t="str">
        <x:f>IF(COUNTA(A963:F963)=0,"",COUNTIFS('External Data'!$L$2:$L$1001,SUBSTITUTE(SUBSTITUTE(SUBSTITUTE(L963,"~","~~"),"*","~*"),"?","~?")))</x:f>
      </x:c>
      <x:c r="I963" s="13" t="str">
        <x:f>IF(OR(H963&lt;&gt;1,G963&lt;&gt;1),"",SUMIFS('External Data'!$E$2:$E$1001,'External Data'!$L$2:$L$1001,SUBSTITUTE(SUBSTITUTE(SUBSTITUTE(L963,"~","~~"),"*","~*"),"?","~?")))</x:f>
      </x:c>
      <x:c r="J963" s="13" t="str">
        <x:f>IF(OR(NOT(ISNUMBER(E963)),NOT(ISNUMBER(I963))),"",ROUND(E963-I963,2))</x:f>
      </x:c>
      <x:c r="K963" s="2" t="str">
        <x:f>IF(COUNTA(A963:F963)=0,"",IF(OR(A963="",B963="",C963="",D963="",NOT(ISNUMBER(E963))),"Missing / invalid input",IF(G963&gt;1,"Duplicate key in this source",IF(H963=0,"Missing in other source",IF(H963&gt;1,"Duplicate in other source",IF(SUMIFS('External Data'!$M$2:$M$1001,'External Data'!$L$2:$L$1001,SUBSTITUTE(SUBSTITUTE(SUBSTITUTE(L963,"~","~~"),"*","~*"),"?","~?"))&lt;&gt;1,"Other amount is invalid",IF(J963&lt;&gt;0,"Amount differs","Matched")))))))</x:f>
      </x:c>
      <x:c r="L963" t="str">
        <x:f>IF(COUNTA(A963:F963)=0,"",LEN(A963)&amp;":"&amp;A963&amp;LEN(B963)&amp;":"&amp;B963&amp;LEN(C963)&amp;":"&amp;C963&amp;LEN(D963)&amp;":"&amp;D963)</x:f>
      </x:c>
      <x:c r="M963" t="str">
        <x:f>IF(COUNTA(A963:F963)=0,"",IF(ISNUMBER(E963),1,0))</x:f>
      </x:c>
    </x:row>
    <x:row r="964">
      <x:c r="A964" s="11"/>
      <x:c r="B964" s="11"/>
      <x:c r="C964" s="11"/>
      <x:c r="D964" s="11"/>
      <x:c r="E964" s="12"/>
      <x:c r="F964" s="10"/>
      <x:c r="G964" s="2" t="str">
        <x:f>IF(COUNTA(A964:F964)=0,"",COUNTIFS('App Data'!$L$2:$L$1001,SUBSTITUTE(SUBSTITUTE(SUBSTITUTE(L964,"~","~~"),"*","~*"),"?","~?")))</x:f>
      </x:c>
      <x:c r="H964" s="2" t="str">
        <x:f>IF(COUNTA(A964:F964)=0,"",COUNTIFS('External Data'!$L$2:$L$1001,SUBSTITUTE(SUBSTITUTE(SUBSTITUTE(L964,"~","~~"),"*","~*"),"?","~?")))</x:f>
      </x:c>
      <x:c r="I964" s="13" t="str">
        <x:f>IF(OR(H964&lt;&gt;1,G964&lt;&gt;1),"",SUMIFS('External Data'!$E$2:$E$1001,'External Data'!$L$2:$L$1001,SUBSTITUTE(SUBSTITUTE(SUBSTITUTE(L964,"~","~~"),"*","~*"),"?","~?")))</x:f>
      </x:c>
      <x:c r="J964" s="13" t="str">
        <x:f>IF(OR(NOT(ISNUMBER(E964)),NOT(ISNUMBER(I964))),"",ROUND(E964-I964,2))</x:f>
      </x:c>
      <x:c r="K964" s="2" t="str">
        <x:f>IF(COUNTA(A964:F964)=0,"",IF(OR(A964="",B964="",C964="",D964="",NOT(ISNUMBER(E964))),"Missing / invalid input",IF(G964&gt;1,"Duplicate key in this source",IF(H964=0,"Missing in other source",IF(H964&gt;1,"Duplicate in other source",IF(SUMIFS('External Data'!$M$2:$M$1001,'External Data'!$L$2:$L$1001,SUBSTITUTE(SUBSTITUTE(SUBSTITUTE(L964,"~","~~"),"*","~*"),"?","~?"))&lt;&gt;1,"Other amount is invalid",IF(J964&lt;&gt;0,"Amount differs","Matched")))))))</x:f>
      </x:c>
      <x:c r="L964" t="str">
        <x:f>IF(COUNTA(A964:F964)=0,"",LEN(A964)&amp;":"&amp;A964&amp;LEN(B964)&amp;":"&amp;B964&amp;LEN(C964)&amp;":"&amp;C964&amp;LEN(D964)&amp;":"&amp;D964)</x:f>
      </x:c>
      <x:c r="M964" t="str">
        <x:f>IF(COUNTA(A964:F964)=0,"",IF(ISNUMBER(E964),1,0))</x:f>
      </x:c>
    </x:row>
    <x:row r="965">
      <x:c r="A965" s="11"/>
      <x:c r="B965" s="11"/>
      <x:c r="C965" s="11"/>
      <x:c r="D965" s="11"/>
      <x:c r="E965" s="12"/>
      <x:c r="F965" s="10"/>
      <x:c r="G965" s="2" t="str">
        <x:f>IF(COUNTA(A965:F965)=0,"",COUNTIFS('App Data'!$L$2:$L$1001,SUBSTITUTE(SUBSTITUTE(SUBSTITUTE(L965,"~","~~"),"*","~*"),"?","~?")))</x:f>
      </x:c>
      <x:c r="H965" s="2" t="str">
        <x:f>IF(COUNTA(A965:F965)=0,"",COUNTIFS('External Data'!$L$2:$L$1001,SUBSTITUTE(SUBSTITUTE(SUBSTITUTE(L965,"~","~~"),"*","~*"),"?","~?")))</x:f>
      </x:c>
      <x:c r="I965" s="13" t="str">
        <x:f>IF(OR(H965&lt;&gt;1,G965&lt;&gt;1),"",SUMIFS('External Data'!$E$2:$E$1001,'External Data'!$L$2:$L$1001,SUBSTITUTE(SUBSTITUTE(SUBSTITUTE(L965,"~","~~"),"*","~*"),"?","~?")))</x:f>
      </x:c>
      <x:c r="J965" s="13" t="str">
        <x:f>IF(OR(NOT(ISNUMBER(E965)),NOT(ISNUMBER(I965))),"",ROUND(E965-I965,2))</x:f>
      </x:c>
      <x:c r="K965" s="2" t="str">
        <x:f>IF(COUNTA(A965:F965)=0,"",IF(OR(A965="",B965="",C965="",D965="",NOT(ISNUMBER(E965))),"Missing / invalid input",IF(G965&gt;1,"Duplicate key in this source",IF(H965=0,"Missing in other source",IF(H965&gt;1,"Duplicate in other source",IF(SUMIFS('External Data'!$M$2:$M$1001,'External Data'!$L$2:$L$1001,SUBSTITUTE(SUBSTITUTE(SUBSTITUTE(L965,"~","~~"),"*","~*"),"?","~?"))&lt;&gt;1,"Other amount is invalid",IF(J965&lt;&gt;0,"Amount differs","Matched")))))))</x:f>
      </x:c>
      <x:c r="L965" t="str">
        <x:f>IF(COUNTA(A965:F965)=0,"",LEN(A965)&amp;":"&amp;A965&amp;LEN(B965)&amp;":"&amp;B965&amp;LEN(C965)&amp;":"&amp;C965&amp;LEN(D965)&amp;":"&amp;D965)</x:f>
      </x:c>
      <x:c r="M965" t="str">
        <x:f>IF(COUNTA(A965:F965)=0,"",IF(ISNUMBER(E965),1,0))</x:f>
      </x:c>
    </x:row>
    <x:row r="966">
      <x:c r="A966" s="11"/>
      <x:c r="B966" s="11"/>
      <x:c r="C966" s="11"/>
      <x:c r="D966" s="11"/>
      <x:c r="E966" s="12"/>
      <x:c r="F966" s="10"/>
      <x:c r="G966" s="2" t="str">
        <x:f>IF(COUNTA(A966:F966)=0,"",COUNTIFS('App Data'!$L$2:$L$1001,SUBSTITUTE(SUBSTITUTE(SUBSTITUTE(L966,"~","~~"),"*","~*"),"?","~?")))</x:f>
      </x:c>
      <x:c r="H966" s="2" t="str">
        <x:f>IF(COUNTA(A966:F966)=0,"",COUNTIFS('External Data'!$L$2:$L$1001,SUBSTITUTE(SUBSTITUTE(SUBSTITUTE(L966,"~","~~"),"*","~*"),"?","~?")))</x:f>
      </x:c>
      <x:c r="I966" s="13" t="str">
        <x:f>IF(OR(H966&lt;&gt;1,G966&lt;&gt;1),"",SUMIFS('External Data'!$E$2:$E$1001,'External Data'!$L$2:$L$1001,SUBSTITUTE(SUBSTITUTE(SUBSTITUTE(L966,"~","~~"),"*","~*"),"?","~?")))</x:f>
      </x:c>
      <x:c r="J966" s="13" t="str">
        <x:f>IF(OR(NOT(ISNUMBER(E966)),NOT(ISNUMBER(I966))),"",ROUND(E966-I966,2))</x:f>
      </x:c>
      <x:c r="K966" s="2" t="str">
        <x:f>IF(COUNTA(A966:F966)=0,"",IF(OR(A966="",B966="",C966="",D966="",NOT(ISNUMBER(E966))),"Missing / invalid input",IF(G966&gt;1,"Duplicate key in this source",IF(H966=0,"Missing in other source",IF(H966&gt;1,"Duplicate in other source",IF(SUMIFS('External Data'!$M$2:$M$1001,'External Data'!$L$2:$L$1001,SUBSTITUTE(SUBSTITUTE(SUBSTITUTE(L966,"~","~~"),"*","~*"),"?","~?"))&lt;&gt;1,"Other amount is invalid",IF(J966&lt;&gt;0,"Amount differs","Matched")))))))</x:f>
      </x:c>
      <x:c r="L966" t="str">
        <x:f>IF(COUNTA(A966:F966)=0,"",LEN(A966)&amp;":"&amp;A966&amp;LEN(B966)&amp;":"&amp;B966&amp;LEN(C966)&amp;":"&amp;C966&amp;LEN(D966)&amp;":"&amp;D966)</x:f>
      </x:c>
      <x:c r="M966" t="str">
        <x:f>IF(COUNTA(A966:F966)=0,"",IF(ISNUMBER(E966),1,0))</x:f>
      </x:c>
    </x:row>
    <x:row r="967">
      <x:c r="A967" s="11"/>
      <x:c r="B967" s="11"/>
      <x:c r="C967" s="11"/>
      <x:c r="D967" s="11"/>
      <x:c r="E967" s="12"/>
      <x:c r="F967" s="10"/>
      <x:c r="G967" s="2" t="str">
        <x:f>IF(COUNTA(A967:F967)=0,"",COUNTIFS('App Data'!$L$2:$L$1001,SUBSTITUTE(SUBSTITUTE(SUBSTITUTE(L967,"~","~~"),"*","~*"),"?","~?")))</x:f>
      </x:c>
      <x:c r="H967" s="2" t="str">
        <x:f>IF(COUNTA(A967:F967)=0,"",COUNTIFS('External Data'!$L$2:$L$1001,SUBSTITUTE(SUBSTITUTE(SUBSTITUTE(L967,"~","~~"),"*","~*"),"?","~?")))</x:f>
      </x:c>
      <x:c r="I967" s="13" t="str">
        <x:f>IF(OR(H967&lt;&gt;1,G967&lt;&gt;1),"",SUMIFS('External Data'!$E$2:$E$1001,'External Data'!$L$2:$L$1001,SUBSTITUTE(SUBSTITUTE(SUBSTITUTE(L967,"~","~~"),"*","~*"),"?","~?")))</x:f>
      </x:c>
      <x:c r="J967" s="13" t="str">
        <x:f>IF(OR(NOT(ISNUMBER(E967)),NOT(ISNUMBER(I967))),"",ROUND(E967-I967,2))</x:f>
      </x:c>
      <x:c r="K967" s="2" t="str">
        <x:f>IF(COUNTA(A967:F967)=0,"",IF(OR(A967="",B967="",C967="",D967="",NOT(ISNUMBER(E967))),"Missing / invalid input",IF(G967&gt;1,"Duplicate key in this source",IF(H967=0,"Missing in other source",IF(H967&gt;1,"Duplicate in other source",IF(SUMIFS('External Data'!$M$2:$M$1001,'External Data'!$L$2:$L$1001,SUBSTITUTE(SUBSTITUTE(SUBSTITUTE(L967,"~","~~"),"*","~*"),"?","~?"))&lt;&gt;1,"Other amount is invalid",IF(J967&lt;&gt;0,"Amount differs","Matched")))))))</x:f>
      </x:c>
      <x:c r="L967" t="str">
        <x:f>IF(COUNTA(A967:F967)=0,"",LEN(A967)&amp;":"&amp;A967&amp;LEN(B967)&amp;":"&amp;B967&amp;LEN(C967)&amp;":"&amp;C967&amp;LEN(D967)&amp;":"&amp;D967)</x:f>
      </x:c>
      <x:c r="M967" t="str">
        <x:f>IF(COUNTA(A967:F967)=0,"",IF(ISNUMBER(E967),1,0))</x:f>
      </x:c>
    </x:row>
    <x:row r="968">
      <x:c r="A968" s="11"/>
      <x:c r="B968" s="11"/>
      <x:c r="C968" s="11"/>
      <x:c r="D968" s="11"/>
      <x:c r="E968" s="12"/>
      <x:c r="F968" s="10"/>
      <x:c r="G968" s="2" t="str">
        <x:f>IF(COUNTA(A968:F968)=0,"",COUNTIFS('App Data'!$L$2:$L$1001,SUBSTITUTE(SUBSTITUTE(SUBSTITUTE(L968,"~","~~"),"*","~*"),"?","~?")))</x:f>
      </x:c>
      <x:c r="H968" s="2" t="str">
        <x:f>IF(COUNTA(A968:F968)=0,"",COUNTIFS('External Data'!$L$2:$L$1001,SUBSTITUTE(SUBSTITUTE(SUBSTITUTE(L968,"~","~~"),"*","~*"),"?","~?")))</x:f>
      </x:c>
      <x:c r="I968" s="13" t="str">
        <x:f>IF(OR(H968&lt;&gt;1,G968&lt;&gt;1),"",SUMIFS('External Data'!$E$2:$E$1001,'External Data'!$L$2:$L$1001,SUBSTITUTE(SUBSTITUTE(SUBSTITUTE(L968,"~","~~"),"*","~*"),"?","~?")))</x:f>
      </x:c>
      <x:c r="J968" s="13" t="str">
        <x:f>IF(OR(NOT(ISNUMBER(E968)),NOT(ISNUMBER(I968))),"",ROUND(E968-I968,2))</x:f>
      </x:c>
      <x:c r="K968" s="2" t="str">
        <x:f>IF(COUNTA(A968:F968)=0,"",IF(OR(A968="",B968="",C968="",D968="",NOT(ISNUMBER(E968))),"Missing / invalid input",IF(G968&gt;1,"Duplicate key in this source",IF(H968=0,"Missing in other source",IF(H968&gt;1,"Duplicate in other source",IF(SUMIFS('External Data'!$M$2:$M$1001,'External Data'!$L$2:$L$1001,SUBSTITUTE(SUBSTITUTE(SUBSTITUTE(L968,"~","~~"),"*","~*"),"?","~?"))&lt;&gt;1,"Other amount is invalid",IF(J968&lt;&gt;0,"Amount differs","Matched")))))))</x:f>
      </x:c>
      <x:c r="L968" t="str">
        <x:f>IF(COUNTA(A968:F968)=0,"",LEN(A968)&amp;":"&amp;A968&amp;LEN(B968)&amp;":"&amp;B968&amp;LEN(C968)&amp;":"&amp;C968&amp;LEN(D968)&amp;":"&amp;D968)</x:f>
      </x:c>
      <x:c r="M968" t="str">
        <x:f>IF(COUNTA(A968:F968)=0,"",IF(ISNUMBER(E968),1,0))</x:f>
      </x:c>
    </x:row>
    <x:row r="969">
      <x:c r="A969" s="11"/>
      <x:c r="B969" s="11"/>
      <x:c r="C969" s="11"/>
      <x:c r="D969" s="11"/>
      <x:c r="E969" s="12"/>
      <x:c r="F969" s="10"/>
      <x:c r="G969" s="2" t="str">
        <x:f>IF(COUNTA(A969:F969)=0,"",COUNTIFS('App Data'!$L$2:$L$1001,SUBSTITUTE(SUBSTITUTE(SUBSTITUTE(L969,"~","~~"),"*","~*"),"?","~?")))</x:f>
      </x:c>
      <x:c r="H969" s="2" t="str">
        <x:f>IF(COUNTA(A969:F969)=0,"",COUNTIFS('External Data'!$L$2:$L$1001,SUBSTITUTE(SUBSTITUTE(SUBSTITUTE(L969,"~","~~"),"*","~*"),"?","~?")))</x:f>
      </x:c>
      <x:c r="I969" s="13" t="str">
        <x:f>IF(OR(H969&lt;&gt;1,G969&lt;&gt;1),"",SUMIFS('External Data'!$E$2:$E$1001,'External Data'!$L$2:$L$1001,SUBSTITUTE(SUBSTITUTE(SUBSTITUTE(L969,"~","~~"),"*","~*"),"?","~?")))</x:f>
      </x:c>
      <x:c r="J969" s="13" t="str">
        <x:f>IF(OR(NOT(ISNUMBER(E969)),NOT(ISNUMBER(I969))),"",ROUND(E969-I969,2))</x:f>
      </x:c>
      <x:c r="K969" s="2" t="str">
        <x:f>IF(COUNTA(A969:F969)=0,"",IF(OR(A969="",B969="",C969="",D969="",NOT(ISNUMBER(E969))),"Missing / invalid input",IF(G969&gt;1,"Duplicate key in this source",IF(H969=0,"Missing in other source",IF(H969&gt;1,"Duplicate in other source",IF(SUMIFS('External Data'!$M$2:$M$1001,'External Data'!$L$2:$L$1001,SUBSTITUTE(SUBSTITUTE(SUBSTITUTE(L969,"~","~~"),"*","~*"),"?","~?"))&lt;&gt;1,"Other amount is invalid",IF(J969&lt;&gt;0,"Amount differs","Matched")))))))</x:f>
      </x:c>
      <x:c r="L969" t="str">
        <x:f>IF(COUNTA(A969:F969)=0,"",LEN(A969)&amp;":"&amp;A969&amp;LEN(B969)&amp;":"&amp;B969&amp;LEN(C969)&amp;":"&amp;C969&amp;LEN(D969)&amp;":"&amp;D969)</x:f>
      </x:c>
      <x:c r="M969" t="str">
        <x:f>IF(COUNTA(A969:F969)=0,"",IF(ISNUMBER(E969),1,0))</x:f>
      </x:c>
    </x:row>
    <x:row r="970">
      <x:c r="A970" s="11"/>
      <x:c r="B970" s="11"/>
      <x:c r="C970" s="11"/>
      <x:c r="D970" s="11"/>
      <x:c r="E970" s="12"/>
      <x:c r="F970" s="10"/>
      <x:c r="G970" s="2" t="str">
        <x:f>IF(COUNTA(A970:F970)=0,"",COUNTIFS('App Data'!$L$2:$L$1001,SUBSTITUTE(SUBSTITUTE(SUBSTITUTE(L970,"~","~~"),"*","~*"),"?","~?")))</x:f>
      </x:c>
      <x:c r="H970" s="2" t="str">
        <x:f>IF(COUNTA(A970:F970)=0,"",COUNTIFS('External Data'!$L$2:$L$1001,SUBSTITUTE(SUBSTITUTE(SUBSTITUTE(L970,"~","~~"),"*","~*"),"?","~?")))</x:f>
      </x:c>
      <x:c r="I970" s="13" t="str">
        <x:f>IF(OR(H970&lt;&gt;1,G970&lt;&gt;1),"",SUMIFS('External Data'!$E$2:$E$1001,'External Data'!$L$2:$L$1001,SUBSTITUTE(SUBSTITUTE(SUBSTITUTE(L970,"~","~~"),"*","~*"),"?","~?")))</x:f>
      </x:c>
      <x:c r="J970" s="13" t="str">
        <x:f>IF(OR(NOT(ISNUMBER(E970)),NOT(ISNUMBER(I970))),"",ROUND(E970-I970,2))</x:f>
      </x:c>
      <x:c r="K970" s="2" t="str">
        <x:f>IF(COUNTA(A970:F970)=0,"",IF(OR(A970="",B970="",C970="",D970="",NOT(ISNUMBER(E970))),"Missing / invalid input",IF(G970&gt;1,"Duplicate key in this source",IF(H970=0,"Missing in other source",IF(H970&gt;1,"Duplicate in other source",IF(SUMIFS('External Data'!$M$2:$M$1001,'External Data'!$L$2:$L$1001,SUBSTITUTE(SUBSTITUTE(SUBSTITUTE(L970,"~","~~"),"*","~*"),"?","~?"))&lt;&gt;1,"Other amount is invalid",IF(J970&lt;&gt;0,"Amount differs","Matched")))))))</x:f>
      </x:c>
      <x:c r="L970" t="str">
        <x:f>IF(COUNTA(A970:F970)=0,"",LEN(A970)&amp;":"&amp;A970&amp;LEN(B970)&amp;":"&amp;B970&amp;LEN(C970)&amp;":"&amp;C970&amp;LEN(D970)&amp;":"&amp;D970)</x:f>
      </x:c>
      <x:c r="M970" t="str">
        <x:f>IF(COUNTA(A970:F970)=0,"",IF(ISNUMBER(E970),1,0))</x:f>
      </x:c>
    </x:row>
    <x:row r="971">
      <x:c r="A971" s="11"/>
      <x:c r="B971" s="11"/>
      <x:c r="C971" s="11"/>
      <x:c r="D971" s="11"/>
      <x:c r="E971" s="12"/>
      <x:c r="F971" s="10"/>
      <x:c r="G971" s="2" t="str">
        <x:f>IF(COUNTA(A971:F971)=0,"",COUNTIFS('App Data'!$L$2:$L$1001,SUBSTITUTE(SUBSTITUTE(SUBSTITUTE(L971,"~","~~"),"*","~*"),"?","~?")))</x:f>
      </x:c>
      <x:c r="H971" s="2" t="str">
        <x:f>IF(COUNTA(A971:F971)=0,"",COUNTIFS('External Data'!$L$2:$L$1001,SUBSTITUTE(SUBSTITUTE(SUBSTITUTE(L971,"~","~~"),"*","~*"),"?","~?")))</x:f>
      </x:c>
      <x:c r="I971" s="13" t="str">
        <x:f>IF(OR(H971&lt;&gt;1,G971&lt;&gt;1),"",SUMIFS('External Data'!$E$2:$E$1001,'External Data'!$L$2:$L$1001,SUBSTITUTE(SUBSTITUTE(SUBSTITUTE(L971,"~","~~"),"*","~*"),"?","~?")))</x:f>
      </x:c>
      <x:c r="J971" s="13" t="str">
        <x:f>IF(OR(NOT(ISNUMBER(E971)),NOT(ISNUMBER(I971))),"",ROUND(E971-I971,2))</x:f>
      </x:c>
      <x:c r="K971" s="2" t="str">
        <x:f>IF(COUNTA(A971:F971)=0,"",IF(OR(A971="",B971="",C971="",D971="",NOT(ISNUMBER(E971))),"Missing / invalid input",IF(G971&gt;1,"Duplicate key in this source",IF(H971=0,"Missing in other source",IF(H971&gt;1,"Duplicate in other source",IF(SUMIFS('External Data'!$M$2:$M$1001,'External Data'!$L$2:$L$1001,SUBSTITUTE(SUBSTITUTE(SUBSTITUTE(L971,"~","~~"),"*","~*"),"?","~?"))&lt;&gt;1,"Other amount is invalid",IF(J971&lt;&gt;0,"Amount differs","Matched")))))))</x:f>
      </x:c>
      <x:c r="L971" t="str">
        <x:f>IF(COUNTA(A971:F971)=0,"",LEN(A971)&amp;":"&amp;A971&amp;LEN(B971)&amp;":"&amp;B971&amp;LEN(C971)&amp;":"&amp;C971&amp;LEN(D971)&amp;":"&amp;D971)</x:f>
      </x:c>
      <x:c r="M971" t="str">
        <x:f>IF(COUNTA(A971:F971)=0,"",IF(ISNUMBER(E971),1,0))</x:f>
      </x:c>
    </x:row>
    <x:row r="972">
      <x:c r="A972" s="11"/>
      <x:c r="B972" s="11"/>
      <x:c r="C972" s="11"/>
      <x:c r="D972" s="11"/>
      <x:c r="E972" s="12"/>
      <x:c r="F972" s="10"/>
      <x:c r="G972" s="2" t="str">
        <x:f>IF(COUNTA(A972:F972)=0,"",COUNTIFS('App Data'!$L$2:$L$1001,SUBSTITUTE(SUBSTITUTE(SUBSTITUTE(L972,"~","~~"),"*","~*"),"?","~?")))</x:f>
      </x:c>
      <x:c r="H972" s="2" t="str">
        <x:f>IF(COUNTA(A972:F972)=0,"",COUNTIFS('External Data'!$L$2:$L$1001,SUBSTITUTE(SUBSTITUTE(SUBSTITUTE(L972,"~","~~"),"*","~*"),"?","~?")))</x:f>
      </x:c>
      <x:c r="I972" s="13" t="str">
        <x:f>IF(OR(H972&lt;&gt;1,G972&lt;&gt;1),"",SUMIFS('External Data'!$E$2:$E$1001,'External Data'!$L$2:$L$1001,SUBSTITUTE(SUBSTITUTE(SUBSTITUTE(L972,"~","~~"),"*","~*"),"?","~?")))</x:f>
      </x:c>
      <x:c r="J972" s="13" t="str">
        <x:f>IF(OR(NOT(ISNUMBER(E972)),NOT(ISNUMBER(I972))),"",ROUND(E972-I972,2))</x:f>
      </x:c>
      <x:c r="K972" s="2" t="str">
        <x:f>IF(COUNTA(A972:F972)=0,"",IF(OR(A972="",B972="",C972="",D972="",NOT(ISNUMBER(E972))),"Missing / invalid input",IF(G972&gt;1,"Duplicate key in this source",IF(H972=0,"Missing in other source",IF(H972&gt;1,"Duplicate in other source",IF(SUMIFS('External Data'!$M$2:$M$1001,'External Data'!$L$2:$L$1001,SUBSTITUTE(SUBSTITUTE(SUBSTITUTE(L972,"~","~~"),"*","~*"),"?","~?"))&lt;&gt;1,"Other amount is invalid",IF(J972&lt;&gt;0,"Amount differs","Matched")))))))</x:f>
      </x:c>
      <x:c r="L972" t="str">
        <x:f>IF(COUNTA(A972:F972)=0,"",LEN(A972)&amp;":"&amp;A972&amp;LEN(B972)&amp;":"&amp;B972&amp;LEN(C972)&amp;":"&amp;C972&amp;LEN(D972)&amp;":"&amp;D972)</x:f>
      </x:c>
      <x:c r="M972" t="str">
        <x:f>IF(COUNTA(A972:F972)=0,"",IF(ISNUMBER(E972),1,0))</x:f>
      </x:c>
    </x:row>
    <x:row r="973">
      <x:c r="A973" s="11"/>
      <x:c r="B973" s="11"/>
      <x:c r="C973" s="11"/>
      <x:c r="D973" s="11"/>
      <x:c r="E973" s="12"/>
      <x:c r="F973" s="10"/>
      <x:c r="G973" s="2" t="str">
        <x:f>IF(COUNTA(A973:F973)=0,"",COUNTIFS('App Data'!$L$2:$L$1001,SUBSTITUTE(SUBSTITUTE(SUBSTITUTE(L973,"~","~~"),"*","~*"),"?","~?")))</x:f>
      </x:c>
      <x:c r="H973" s="2" t="str">
        <x:f>IF(COUNTA(A973:F973)=0,"",COUNTIFS('External Data'!$L$2:$L$1001,SUBSTITUTE(SUBSTITUTE(SUBSTITUTE(L973,"~","~~"),"*","~*"),"?","~?")))</x:f>
      </x:c>
      <x:c r="I973" s="13" t="str">
        <x:f>IF(OR(H973&lt;&gt;1,G973&lt;&gt;1),"",SUMIFS('External Data'!$E$2:$E$1001,'External Data'!$L$2:$L$1001,SUBSTITUTE(SUBSTITUTE(SUBSTITUTE(L973,"~","~~"),"*","~*"),"?","~?")))</x:f>
      </x:c>
      <x:c r="J973" s="13" t="str">
        <x:f>IF(OR(NOT(ISNUMBER(E973)),NOT(ISNUMBER(I973))),"",ROUND(E973-I973,2))</x:f>
      </x:c>
      <x:c r="K973" s="2" t="str">
        <x:f>IF(COUNTA(A973:F973)=0,"",IF(OR(A973="",B973="",C973="",D973="",NOT(ISNUMBER(E973))),"Missing / invalid input",IF(G973&gt;1,"Duplicate key in this source",IF(H973=0,"Missing in other source",IF(H973&gt;1,"Duplicate in other source",IF(SUMIFS('External Data'!$M$2:$M$1001,'External Data'!$L$2:$L$1001,SUBSTITUTE(SUBSTITUTE(SUBSTITUTE(L973,"~","~~"),"*","~*"),"?","~?"))&lt;&gt;1,"Other amount is invalid",IF(J973&lt;&gt;0,"Amount differs","Matched")))))))</x:f>
      </x:c>
      <x:c r="L973" t="str">
        <x:f>IF(COUNTA(A973:F973)=0,"",LEN(A973)&amp;":"&amp;A973&amp;LEN(B973)&amp;":"&amp;B973&amp;LEN(C973)&amp;":"&amp;C973&amp;LEN(D973)&amp;":"&amp;D973)</x:f>
      </x:c>
      <x:c r="M973" t="str">
        <x:f>IF(COUNTA(A973:F973)=0,"",IF(ISNUMBER(E973),1,0))</x:f>
      </x:c>
    </x:row>
    <x:row r="974">
      <x:c r="A974" s="11"/>
      <x:c r="B974" s="11"/>
      <x:c r="C974" s="11"/>
      <x:c r="D974" s="11"/>
      <x:c r="E974" s="12"/>
      <x:c r="F974" s="10"/>
      <x:c r="G974" s="2" t="str">
        <x:f>IF(COUNTA(A974:F974)=0,"",COUNTIFS('App Data'!$L$2:$L$1001,SUBSTITUTE(SUBSTITUTE(SUBSTITUTE(L974,"~","~~"),"*","~*"),"?","~?")))</x:f>
      </x:c>
      <x:c r="H974" s="2" t="str">
        <x:f>IF(COUNTA(A974:F974)=0,"",COUNTIFS('External Data'!$L$2:$L$1001,SUBSTITUTE(SUBSTITUTE(SUBSTITUTE(L974,"~","~~"),"*","~*"),"?","~?")))</x:f>
      </x:c>
      <x:c r="I974" s="13" t="str">
        <x:f>IF(OR(H974&lt;&gt;1,G974&lt;&gt;1),"",SUMIFS('External Data'!$E$2:$E$1001,'External Data'!$L$2:$L$1001,SUBSTITUTE(SUBSTITUTE(SUBSTITUTE(L974,"~","~~"),"*","~*"),"?","~?")))</x:f>
      </x:c>
      <x:c r="J974" s="13" t="str">
        <x:f>IF(OR(NOT(ISNUMBER(E974)),NOT(ISNUMBER(I974))),"",ROUND(E974-I974,2))</x:f>
      </x:c>
      <x:c r="K974" s="2" t="str">
        <x:f>IF(COUNTA(A974:F974)=0,"",IF(OR(A974="",B974="",C974="",D974="",NOT(ISNUMBER(E974))),"Missing / invalid input",IF(G974&gt;1,"Duplicate key in this source",IF(H974=0,"Missing in other source",IF(H974&gt;1,"Duplicate in other source",IF(SUMIFS('External Data'!$M$2:$M$1001,'External Data'!$L$2:$L$1001,SUBSTITUTE(SUBSTITUTE(SUBSTITUTE(L974,"~","~~"),"*","~*"),"?","~?"))&lt;&gt;1,"Other amount is invalid",IF(J974&lt;&gt;0,"Amount differs","Matched")))))))</x:f>
      </x:c>
      <x:c r="L974" t="str">
        <x:f>IF(COUNTA(A974:F974)=0,"",LEN(A974)&amp;":"&amp;A974&amp;LEN(B974)&amp;":"&amp;B974&amp;LEN(C974)&amp;":"&amp;C974&amp;LEN(D974)&amp;":"&amp;D974)</x:f>
      </x:c>
      <x:c r="M974" t="str">
        <x:f>IF(COUNTA(A974:F974)=0,"",IF(ISNUMBER(E974),1,0))</x:f>
      </x:c>
    </x:row>
    <x:row r="975">
      <x:c r="A975" s="11"/>
      <x:c r="B975" s="11"/>
      <x:c r="C975" s="11"/>
      <x:c r="D975" s="11"/>
      <x:c r="E975" s="12"/>
      <x:c r="F975" s="10"/>
      <x:c r="G975" s="2" t="str">
        <x:f>IF(COUNTA(A975:F975)=0,"",COUNTIFS('App Data'!$L$2:$L$1001,SUBSTITUTE(SUBSTITUTE(SUBSTITUTE(L975,"~","~~"),"*","~*"),"?","~?")))</x:f>
      </x:c>
      <x:c r="H975" s="2" t="str">
        <x:f>IF(COUNTA(A975:F975)=0,"",COUNTIFS('External Data'!$L$2:$L$1001,SUBSTITUTE(SUBSTITUTE(SUBSTITUTE(L975,"~","~~"),"*","~*"),"?","~?")))</x:f>
      </x:c>
      <x:c r="I975" s="13" t="str">
        <x:f>IF(OR(H975&lt;&gt;1,G975&lt;&gt;1),"",SUMIFS('External Data'!$E$2:$E$1001,'External Data'!$L$2:$L$1001,SUBSTITUTE(SUBSTITUTE(SUBSTITUTE(L975,"~","~~"),"*","~*"),"?","~?")))</x:f>
      </x:c>
      <x:c r="J975" s="13" t="str">
        <x:f>IF(OR(NOT(ISNUMBER(E975)),NOT(ISNUMBER(I975))),"",ROUND(E975-I975,2))</x:f>
      </x:c>
      <x:c r="K975" s="2" t="str">
        <x:f>IF(COUNTA(A975:F975)=0,"",IF(OR(A975="",B975="",C975="",D975="",NOT(ISNUMBER(E975))),"Missing / invalid input",IF(G975&gt;1,"Duplicate key in this source",IF(H975=0,"Missing in other source",IF(H975&gt;1,"Duplicate in other source",IF(SUMIFS('External Data'!$M$2:$M$1001,'External Data'!$L$2:$L$1001,SUBSTITUTE(SUBSTITUTE(SUBSTITUTE(L975,"~","~~"),"*","~*"),"?","~?"))&lt;&gt;1,"Other amount is invalid",IF(J975&lt;&gt;0,"Amount differs","Matched")))))))</x:f>
      </x:c>
      <x:c r="L975" t="str">
        <x:f>IF(COUNTA(A975:F975)=0,"",LEN(A975)&amp;":"&amp;A975&amp;LEN(B975)&amp;":"&amp;B975&amp;LEN(C975)&amp;":"&amp;C975&amp;LEN(D975)&amp;":"&amp;D975)</x:f>
      </x:c>
      <x:c r="M975" t="str">
        <x:f>IF(COUNTA(A975:F975)=0,"",IF(ISNUMBER(E975),1,0))</x:f>
      </x:c>
    </x:row>
    <x:row r="976">
      <x:c r="A976" s="11"/>
      <x:c r="B976" s="11"/>
      <x:c r="C976" s="11"/>
      <x:c r="D976" s="11"/>
      <x:c r="E976" s="12"/>
      <x:c r="F976" s="10"/>
      <x:c r="G976" s="2" t="str">
        <x:f>IF(COUNTA(A976:F976)=0,"",COUNTIFS('App Data'!$L$2:$L$1001,SUBSTITUTE(SUBSTITUTE(SUBSTITUTE(L976,"~","~~"),"*","~*"),"?","~?")))</x:f>
      </x:c>
      <x:c r="H976" s="2" t="str">
        <x:f>IF(COUNTA(A976:F976)=0,"",COUNTIFS('External Data'!$L$2:$L$1001,SUBSTITUTE(SUBSTITUTE(SUBSTITUTE(L976,"~","~~"),"*","~*"),"?","~?")))</x:f>
      </x:c>
      <x:c r="I976" s="13" t="str">
        <x:f>IF(OR(H976&lt;&gt;1,G976&lt;&gt;1),"",SUMIFS('External Data'!$E$2:$E$1001,'External Data'!$L$2:$L$1001,SUBSTITUTE(SUBSTITUTE(SUBSTITUTE(L976,"~","~~"),"*","~*"),"?","~?")))</x:f>
      </x:c>
      <x:c r="J976" s="13" t="str">
        <x:f>IF(OR(NOT(ISNUMBER(E976)),NOT(ISNUMBER(I976))),"",ROUND(E976-I976,2))</x:f>
      </x:c>
      <x:c r="K976" s="2" t="str">
        <x:f>IF(COUNTA(A976:F976)=0,"",IF(OR(A976="",B976="",C976="",D976="",NOT(ISNUMBER(E976))),"Missing / invalid input",IF(G976&gt;1,"Duplicate key in this source",IF(H976=0,"Missing in other source",IF(H976&gt;1,"Duplicate in other source",IF(SUMIFS('External Data'!$M$2:$M$1001,'External Data'!$L$2:$L$1001,SUBSTITUTE(SUBSTITUTE(SUBSTITUTE(L976,"~","~~"),"*","~*"),"?","~?"))&lt;&gt;1,"Other amount is invalid",IF(J976&lt;&gt;0,"Amount differs","Matched")))))))</x:f>
      </x:c>
      <x:c r="L976" t="str">
        <x:f>IF(COUNTA(A976:F976)=0,"",LEN(A976)&amp;":"&amp;A976&amp;LEN(B976)&amp;":"&amp;B976&amp;LEN(C976)&amp;":"&amp;C976&amp;LEN(D976)&amp;":"&amp;D976)</x:f>
      </x:c>
      <x:c r="M976" t="str">
        <x:f>IF(COUNTA(A976:F976)=0,"",IF(ISNUMBER(E976),1,0))</x:f>
      </x:c>
    </x:row>
    <x:row r="977">
      <x:c r="A977" s="11"/>
      <x:c r="B977" s="11"/>
      <x:c r="C977" s="11"/>
      <x:c r="D977" s="11"/>
      <x:c r="E977" s="12"/>
      <x:c r="F977" s="10"/>
      <x:c r="G977" s="2" t="str">
        <x:f>IF(COUNTA(A977:F977)=0,"",COUNTIFS('App Data'!$L$2:$L$1001,SUBSTITUTE(SUBSTITUTE(SUBSTITUTE(L977,"~","~~"),"*","~*"),"?","~?")))</x:f>
      </x:c>
      <x:c r="H977" s="2" t="str">
        <x:f>IF(COUNTA(A977:F977)=0,"",COUNTIFS('External Data'!$L$2:$L$1001,SUBSTITUTE(SUBSTITUTE(SUBSTITUTE(L977,"~","~~"),"*","~*"),"?","~?")))</x:f>
      </x:c>
      <x:c r="I977" s="13" t="str">
        <x:f>IF(OR(H977&lt;&gt;1,G977&lt;&gt;1),"",SUMIFS('External Data'!$E$2:$E$1001,'External Data'!$L$2:$L$1001,SUBSTITUTE(SUBSTITUTE(SUBSTITUTE(L977,"~","~~"),"*","~*"),"?","~?")))</x:f>
      </x:c>
      <x:c r="J977" s="13" t="str">
        <x:f>IF(OR(NOT(ISNUMBER(E977)),NOT(ISNUMBER(I977))),"",ROUND(E977-I977,2))</x:f>
      </x:c>
      <x:c r="K977" s="2" t="str">
        <x:f>IF(COUNTA(A977:F977)=0,"",IF(OR(A977="",B977="",C977="",D977="",NOT(ISNUMBER(E977))),"Missing / invalid input",IF(G977&gt;1,"Duplicate key in this source",IF(H977=0,"Missing in other source",IF(H977&gt;1,"Duplicate in other source",IF(SUMIFS('External Data'!$M$2:$M$1001,'External Data'!$L$2:$L$1001,SUBSTITUTE(SUBSTITUTE(SUBSTITUTE(L977,"~","~~"),"*","~*"),"?","~?"))&lt;&gt;1,"Other amount is invalid",IF(J977&lt;&gt;0,"Amount differs","Matched")))))))</x:f>
      </x:c>
      <x:c r="L977" t="str">
        <x:f>IF(COUNTA(A977:F977)=0,"",LEN(A977)&amp;":"&amp;A977&amp;LEN(B977)&amp;":"&amp;B977&amp;LEN(C977)&amp;":"&amp;C977&amp;LEN(D977)&amp;":"&amp;D977)</x:f>
      </x:c>
      <x:c r="M977" t="str">
        <x:f>IF(COUNTA(A977:F977)=0,"",IF(ISNUMBER(E977),1,0))</x:f>
      </x:c>
    </x:row>
    <x:row r="978">
      <x:c r="A978" s="11"/>
      <x:c r="B978" s="11"/>
      <x:c r="C978" s="11"/>
      <x:c r="D978" s="11"/>
      <x:c r="E978" s="12"/>
      <x:c r="F978" s="10"/>
      <x:c r="G978" s="2" t="str">
        <x:f>IF(COUNTA(A978:F978)=0,"",COUNTIFS('App Data'!$L$2:$L$1001,SUBSTITUTE(SUBSTITUTE(SUBSTITUTE(L978,"~","~~"),"*","~*"),"?","~?")))</x:f>
      </x:c>
      <x:c r="H978" s="2" t="str">
        <x:f>IF(COUNTA(A978:F978)=0,"",COUNTIFS('External Data'!$L$2:$L$1001,SUBSTITUTE(SUBSTITUTE(SUBSTITUTE(L978,"~","~~"),"*","~*"),"?","~?")))</x:f>
      </x:c>
      <x:c r="I978" s="13" t="str">
        <x:f>IF(OR(H978&lt;&gt;1,G978&lt;&gt;1),"",SUMIFS('External Data'!$E$2:$E$1001,'External Data'!$L$2:$L$1001,SUBSTITUTE(SUBSTITUTE(SUBSTITUTE(L978,"~","~~"),"*","~*"),"?","~?")))</x:f>
      </x:c>
      <x:c r="J978" s="13" t="str">
        <x:f>IF(OR(NOT(ISNUMBER(E978)),NOT(ISNUMBER(I978))),"",ROUND(E978-I978,2))</x:f>
      </x:c>
      <x:c r="K978" s="2" t="str">
        <x:f>IF(COUNTA(A978:F978)=0,"",IF(OR(A978="",B978="",C978="",D978="",NOT(ISNUMBER(E978))),"Missing / invalid input",IF(G978&gt;1,"Duplicate key in this source",IF(H978=0,"Missing in other source",IF(H978&gt;1,"Duplicate in other source",IF(SUMIFS('External Data'!$M$2:$M$1001,'External Data'!$L$2:$L$1001,SUBSTITUTE(SUBSTITUTE(SUBSTITUTE(L978,"~","~~"),"*","~*"),"?","~?"))&lt;&gt;1,"Other amount is invalid",IF(J978&lt;&gt;0,"Amount differs","Matched")))))))</x:f>
      </x:c>
      <x:c r="L978" t="str">
        <x:f>IF(COUNTA(A978:F978)=0,"",LEN(A978)&amp;":"&amp;A978&amp;LEN(B978)&amp;":"&amp;B978&amp;LEN(C978)&amp;":"&amp;C978&amp;LEN(D978)&amp;":"&amp;D978)</x:f>
      </x:c>
      <x:c r="M978" t="str">
        <x:f>IF(COUNTA(A978:F978)=0,"",IF(ISNUMBER(E978),1,0))</x:f>
      </x:c>
    </x:row>
    <x:row r="979">
      <x:c r="A979" s="11"/>
      <x:c r="B979" s="11"/>
      <x:c r="C979" s="11"/>
      <x:c r="D979" s="11"/>
      <x:c r="E979" s="12"/>
      <x:c r="F979" s="10"/>
      <x:c r="G979" s="2" t="str">
        <x:f>IF(COUNTA(A979:F979)=0,"",COUNTIFS('App Data'!$L$2:$L$1001,SUBSTITUTE(SUBSTITUTE(SUBSTITUTE(L979,"~","~~"),"*","~*"),"?","~?")))</x:f>
      </x:c>
      <x:c r="H979" s="2" t="str">
        <x:f>IF(COUNTA(A979:F979)=0,"",COUNTIFS('External Data'!$L$2:$L$1001,SUBSTITUTE(SUBSTITUTE(SUBSTITUTE(L979,"~","~~"),"*","~*"),"?","~?")))</x:f>
      </x:c>
      <x:c r="I979" s="13" t="str">
        <x:f>IF(OR(H979&lt;&gt;1,G979&lt;&gt;1),"",SUMIFS('External Data'!$E$2:$E$1001,'External Data'!$L$2:$L$1001,SUBSTITUTE(SUBSTITUTE(SUBSTITUTE(L979,"~","~~"),"*","~*"),"?","~?")))</x:f>
      </x:c>
      <x:c r="J979" s="13" t="str">
        <x:f>IF(OR(NOT(ISNUMBER(E979)),NOT(ISNUMBER(I979))),"",ROUND(E979-I979,2))</x:f>
      </x:c>
      <x:c r="K979" s="2" t="str">
        <x:f>IF(COUNTA(A979:F979)=0,"",IF(OR(A979="",B979="",C979="",D979="",NOT(ISNUMBER(E979))),"Missing / invalid input",IF(G979&gt;1,"Duplicate key in this source",IF(H979=0,"Missing in other source",IF(H979&gt;1,"Duplicate in other source",IF(SUMIFS('External Data'!$M$2:$M$1001,'External Data'!$L$2:$L$1001,SUBSTITUTE(SUBSTITUTE(SUBSTITUTE(L979,"~","~~"),"*","~*"),"?","~?"))&lt;&gt;1,"Other amount is invalid",IF(J979&lt;&gt;0,"Amount differs","Matched")))))))</x:f>
      </x:c>
      <x:c r="L979" t="str">
        <x:f>IF(COUNTA(A979:F979)=0,"",LEN(A979)&amp;":"&amp;A979&amp;LEN(B979)&amp;":"&amp;B979&amp;LEN(C979)&amp;":"&amp;C979&amp;LEN(D979)&amp;":"&amp;D979)</x:f>
      </x:c>
      <x:c r="M979" t="str">
        <x:f>IF(COUNTA(A979:F979)=0,"",IF(ISNUMBER(E979),1,0))</x:f>
      </x:c>
    </x:row>
    <x:row r="980">
      <x:c r="A980" s="11"/>
      <x:c r="B980" s="11"/>
      <x:c r="C980" s="11"/>
      <x:c r="D980" s="11"/>
      <x:c r="E980" s="12"/>
      <x:c r="F980" s="10"/>
      <x:c r="G980" s="2" t="str">
        <x:f>IF(COUNTA(A980:F980)=0,"",COUNTIFS('App Data'!$L$2:$L$1001,SUBSTITUTE(SUBSTITUTE(SUBSTITUTE(L980,"~","~~"),"*","~*"),"?","~?")))</x:f>
      </x:c>
      <x:c r="H980" s="2" t="str">
        <x:f>IF(COUNTA(A980:F980)=0,"",COUNTIFS('External Data'!$L$2:$L$1001,SUBSTITUTE(SUBSTITUTE(SUBSTITUTE(L980,"~","~~"),"*","~*"),"?","~?")))</x:f>
      </x:c>
      <x:c r="I980" s="13" t="str">
        <x:f>IF(OR(H980&lt;&gt;1,G980&lt;&gt;1),"",SUMIFS('External Data'!$E$2:$E$1001,'External Data'!$L$2:$L$1001,SUBSTITUTE(SUBSTITUTE(SUBSTITUTE(L980,"~","~~"),"*","~*"),"?","~?")))</x:f>
      </x:c>
      <x:c r="J980" s="13" t="str">
        <x:f>IF(OR(NOT(ISNUMBER(E980)),NOT(ISNUMBER(I980))),"",ROUND(E980-I980,2))</x:f>
      </x:c>
      <x:c r="K980" s="2" t="str">
        <x:f>IF(COUNTA(A980:F980)=0,"",IF(OR(A980="",B980="",C980="",D980="",NOT(ISNUMBER(E980))),"Missing / invalid input",IF(G980&gt;1,"Duplicate key in this source",IF(H980=0,"Missing in other source",IF(H980&gt;1,"Duplicate in other source",IF(SUMIFS('External Data'!$M$2:$M$1001,'External Data'!$L$2:$L$1001,SUBSTITUTE(SUBSTITUTE(SUBSTITUTE(L980,"~","~~"),"*","~*"),"?","~?"))&lt;&gt;1,"Other amount is invalid",IF(J980&lt;&gt;0,"Amount differs","Matched")))))))</x:f>
      </x:c>
      <x:c r="L980" t="str">
        <x:f>IF(COUNTA(A980:F980)=0,"",LEN(A980)&amp;":"&amp;A980&amp;LEN(B980)&amp;":"&amp;B980&amp;LEN(C980)&amp;":"&amp;C980&amp;LEN(D980)&amp;":"&amp;D980)</x:f>
      </x:c>
      <x:c r="M980" t="str">
        <x:f>IF(COUNTA(A980:F980)=0,"",IF(ISNUMBER(E980),1,0))</x:f>
      </x:c>
    </x:row>
    <x:row r="981">
      <x:c r="A981" s="11"/>
      <x:c r="B981" s="11"/>
      <x:c r="C981" s="11"/>
      <x:c r="D981" s="11"/>
      <x:c r="E981" s="12"/>
      <x:c r="F981" s="10"/>
      <x:c r="G981" s="2" t="str">
        <x:f>IF(COUNTA(A981:F981)=0,"",COUNTIFS('App Data'!$L$2:$L$1001,SUBSTITUTE(SUBSTITUTE(SUBSTITUTE(L981,"~","~~"),"*","~*"),"?","~?")))</x:f>
      </x:c>
      <x:c r="H981" s="2" t="str">
        <x:f>IF(COUNTA(A981:F981)=0,"",COUNTIFS('External Data'!$L$2:$L$1001,SUBSTITUTE(SUBSTITUTE(SUBSTITUTE(L981,"~","~~"),"*","~*"),"?","~?")))</x:f>
      </x:c>
      <x:c r="I981" s="13" t="str">
        <x:f>IF(OR(H981&lt;&gt;1,G981&lt;&gt;1),"",SUMIFS('External Data'!$E$2:$E$1001,'External Data'!$L$2:$L$1001,SUBSTITUTE(SUBSTITUTE(SUBSTITUTE(L981,"~","~~"),"*","~*"),"?","~?")))</x:f>
      </x:c>
      <x:c r="J981" s="13" t="str">
        <x:f>IF(OR(NOT(ISNUMBER(E981)),NOT(ISNUMBER(I981))),"",ROUND(E981-I981,2))</x:f>
      </x:c>
      <x:c r="K981" s="2" t="str">
        <x:f>IF(COUNTA(A981:F981)=0,"",IF(OR(A981="",B981="",C981="",D981="",NOT(ISNUMBER(E981))),"Missing / invalid input",IF(G981&gt;1,"Duplicate key in this source",IF(H981=0,"Missing in other source",IF(H981&gt;1,"Duplicate in other source",IF(SUMIFS('External Data'!$M$2:$M$1001,'External Data'!$L$2:$L$1001,SUBSTITUTE(SUBSTITUTE(SUBSTITUTE(L981,"~","~~"),"*","~*"),"?","~?"))&lt;&gt;1,"Other amount is invalid",IF(J981&lt;&gt;0,"Amount differs","Matched")))))))</x:f>
      </x:c>
      <x:c r="L981" t="str">
        <x:f>IF(COUNTA(A981:F981)=0,"",LEN(A981)&amp;":"&amp;A981&amp;LEN(B981)&amp;":"&amp;B981&amp;LEN(C981)&amp;":"&amp;C981&amp;LEN(D981)&amp;":"&amp;D981)</x:f>
      </x:c>
      <x:c r="M981" t="str">
        <x:f>IF(COUNTA(A981:F981)=0,"",IF(ISNUMBER(E981),1,0))</x:f>
      </x:c>
    </x:row>
    <x:row r="982">
      <x:c r="A982" s="11"/>
      <x:c r="B982" s="11"/>
      <x:c r="C982" s="11"/>
      <x:c r="D982" s="11"/>
      <x:c r="E982" s="12"/>
      <x:c r="F982" s="10"/>
      <x:c r="G982" s="2" t="str">
        <x:f>IF(COUNTA(A982:F982)=0,"",COUNTIFS('App Data'!$L$2:$L$1001,SUBSTITUTE(SUBSTITUTE(SUBSTITUTE(L982,"~","~~"),"*","~*"),"?","~?")))</x:f>
      </x:c>
      <x:c r="H982" s="2" t="str">
        <x:f>IF(COUNTA(A982:F982)=0,"",COUNTIFS('External Data'!$L$2:$L$1001,SUBSTITUTE(SUBSTITUTE(SUBSTITUTE(L982,"~","~~"),"*","~*"),"?","~?")))</x:f>
      </x:c>
      <x:c r="I982" s="13" t="str">
        <x:f>IF(OR(H982&lt;&gt;1,G982&lt;&gt;1),"",SUMIFS('External Data'!$E$2:$E$1001,'External Data'!$L$2:$L$1001,SUBSTITUTE(SUBSTITUTE(SUBSTITUTE(L982,"~","~~"),"*","~*"),"?","~?")))</x:f>
      </x:c>
      <x:c r="J982" s="13" t="str">
        <x:f>IF(OR(NOT(ISNUMBER(E982)),NOT(ISNUMBER(I982))),"",ROUND(E982-I982,2))</x:f>
      </x:c>
      <x:c r="K982" s="2" t="str">
        <x:f>IF(COUNTA(A982:F982)=0,"",IF(OR(A982="",B982="",C982="",D982="",NOT(ISNUMBER(E982))),"Missing / invalid input",IF(G982&gt;1,"Duplicate key in this source",IF(H982=0,"Missing in other source",IF(H982&gt;1,"Duplicate in other source",IF(SUMIFS('External Data'!$M$2:$M$1001,'External Data'!$L$2:$L$1001,SUBSTITUTE(SUBSTITUTE(SUBSTITUTE(L982,"~","~~"),"*","~*"),"?","~?"))&lt;&gt;1,"Other amount is invalid",IF(J982&lt;&gt;0,"Amount differs","Matched")))))))</x:f>
      </x:c>
      <x:c r="L982" t="str">
        <x:f>IF(COUNTA(A982:F982)=0,"",LEN(A982)&amp;":"&amp;A982&amp;LEN(B982)&amp;":"&amp;B982&amp;LEN(C982)&amp;":"&amp;C982&amp;LEN(D982)&amp;":"&amp;D982)</x:f>
      </x:c>
      <x:c r="M982" t="str">
        <x:f>IF(COUNTA(A982:F982)=0,"",IF(ISNUMBER(E982),1,0))</x:f>
      </x:c>
    </x:row>
    <x:row r="983">
      <x:c r="A983" s="11"/>
      <x:c r="B983" s="11"/>
      <x:c r="C983" s="11"/>
      <x:c r="D983" s="11"/>
      <x:c r="E983" s="12"/>
      <x:c r="F983" s="10"/>
      <x:c r="G983" s="2" t="str">
        <x:f>IF(COUNTA(A983:F983)=0,"",COUNTIFS('App Data'!$L$2:$L$1001,SUBSTITUTE(SUBSTITUTE(SUBSTITUTE(L983,"~","~~"),"*","~*"),"?","~?")))</x:f>
      </x:c>
      <x:c r="H983" s="2" t="str">
        <x:f>IF(COUNTA(A983:F983)=0,"",COUNTIFS('External Data'!$L$2:$L$1001,SUBSTITUTE(SUBSTITUTE(SUBSTITUTE(L983,"~","~~"),"*","~*"),"?","~?")))</x:f>
      </x:c>
      <x:c r="I983" s="13" t="str">
        <x:f>IF(OR(H983&lt;&gt;1,G983&lt;&gt;1),"",SUMIFS('External Data'!$E$2:$E$1001,'External Data'!$L$2:$L$1001,SUBSTITUTE(SUBSTITUTE(SUBSTITUTE(L983,"~","~~"),"*","~*"),"?","~?")))</x:f>
      </x:c>
      <x:c r="J983" s="13" t="str">
        <x:f>IF(OR(NOT(ISNUMBER(E983)),NOT(ISNUMBER(I983))),"",ROUND(E983-I983,2))</x:f>
      </x:c>
      <x:c r="K983" s="2" t="str">
        <x:f>IF(COUNTA(A983:F983)=0,"",IF(OR(A983="",B983="",C983="",D983="",NOT(ISNUMBER(E983))),"Missing / invalid input",IF(G983&gt;1,"Duplicate key in this source",IF(H983=0,"Missing in other source",IF(H983&gt;1,"Duplicate in other source",IF(SUMIFS('External Data'!$M$2:$M$1001,'External Data'!$L$2:$L$1001,SUBSTITUTE(SUBSTITUTE(SUBSTITUTE(L983,"~","~~"),"*","~*"),"?","~?"))&lt;&gt;1,"Other amount is invalid",IF(J983&lt;&gt;0,"Amount differs","Matched")))))))</x:f>
      </x:c>
      <x:c r="L983" t="str">
        <x:f>IF(COUNTA(A983:F983)=0,"",LEN(A983)&amp;":"&amp;A983&amp;LEN(B983)&amp;":"&amp;B983&amp;LEN(C983)&amp;":"&amp;C983&amp;LEN(D983)&amp;":"&amp;D983)</x:f>
      </x:c>
      <x:c r="M983" t="str">
        <x:f>IF(COUNTA(A983:F983)=0,"",IF(ISNUMBER(E983),1,0))</x:f>
      </x:c>
    </x:row>
    <x:row r="984">
      <x:c r="A984" s="11"/>
      <x:c r="B984" s="11"/>
      <x:c r="C984" s="11"/>
      <x:c r="D984" s="11"/>
      <x:c r="E984" s="12"/>
      <x:c r="F984" s="10"/>
      <x:c r="G984" s="2" t="str">
        <x:f>IF(COUNTA(A984:F984)=0,"",COUNTIFS('App Data'!$L$2:$L$1001,SUBSTITUTE(SUBSTITUTE(SUBSTITUTE(L984,"~","~~"),"*","~*"),"?","~?")))</x:f>
      </x:c>
      <x:c r="H984" s="2" t="str">
        <x:f>IF(COUNTA(A984:F984)=0,"",COUNTIFS('External Data'!$L$2:$L$1001,SUBSTITUTE(SUBSTITUTE(SUBSTITUTE(L984,"~","~~"),"*","~*"),"?","~?")))</x:f>
      </x:c>
      <x:c r="I984" s="13" t="str">
        <x:f>IF(OR(H984&lt;&gt;1,G984&lt;&gt;1),"",SUMIFS('External Data'!$E$2:$E$1001,'External Data'!$L$2:$L$1001,SUBSTITUTE(SUBSTITUTE(SUBSTITUTE(L984,"~","~~"),"*","~*"),"?","~?")))</x:f>
      </x:c>
      <x:c r="J984" s="13" t="str">
        <x:f>IF(OR(NOT(ISNUMBER(E984)),NOT(ISNUMBER(I984))),"",ROUND(E984-I984,2))</x:f>
      </x:c>
      <x:c r="K984" s="2" t="str">
        <x:f>IF(COUNTA(A984:F984)=0,"",IF(OR(A984="",B984="",C984="",D984="",NOT(ISNUMBER(E984))),"Missing / invalid input",IF(G984&gt;1,"Duplicate key in this source",IF(H984=0,"Missing in other source",IF(H984&gt;1,"Duplicate in other source",IF(SUMIFS('External Data'!$M$2:$M$1001,'External Data'!$L$2:$L$1001,SUBSTITUTE(SUBSTITUTE(SUBSTITUTE(L984,"~","~~"),"*","~*"),"?","~?"))&lt;&gt;1,"Other amount is invalid",IF(J984&lt;&gt;0,"Amount differs","Matched")))))))</x:f>
      </x:c>
      <x:c r="L984" t="str">
        <x:f>IF(COUNTA(A984:F984)=0,"",LEN(A984)&amp;":"&amp;A984&amp;LEN(B984)&amp;":"&amp;B984&amp;LEN(C984)&amp;":"&amp;C984&amp;LEN(D984)&amp;":"&amp;D984)</x:f>
      </x:c>
      <x:c r="M984" t="str">
        <x:f>IF(COUNTA(A984:F984)=0,"",IF(ISNUMBER(E984),1,0))</x:f>
      </x:c>
    </x:row>
    <x:row r="985">
      <x:c r="A985" s="11"/>
      <x:c r="B985" s="11"/>
      <x:c r="C985" s="11"/>
      <x:c r="D985" s="11"/>
      <x:c r="E985" s="12"/>
      <x:c r="F985" s="10"/>
      <x:c r="G985" s="2" t="str">
        <x:f>IF(COUNTA(A985:F985)=0,"",COUNTIFS('App Data'!$L$2:$L$1001,SUBSTITUTE(SUBSTITUTE(SUBSTITUTE(L985,"~","~~"),"*","~*"),"?","~?")))</x:f>
      </x:c>
      <x:c r="H985" s="2" t="str">
        <x:f>IF(COUNTA(A985:F985)=0,"",COUNTIFS('External Data'!$L$2:$L$1001,SUBSTITUTE(SUBSTITUTE(SUBSTITUTE(L985,"~","~~"),"*","~*"),"?","~?")))</x:f>
      </x:c>
      <x:c r="I985" s="13" t="str">
        <x:f>IF(OR(H985&lt;&gt;1,G985&lt;&gt;1),"",SUMIFS('External Data'!$E$2:$E$1001,'External Data'!$L$2:$L$1001,SUBSTITUTE(SUBSTITUTE(SUBSTITUTE(L985,"~","~~"),"*","~*"),"?","~?")))</x:f>
      </x:c>
      <x:c r="J985" s="13" t="str">
        <x:f>IF(OR(NOT(ISNUMBER(E985)),NOT(ISNUMBER(I985))),"",ROUND(E985-I985,2))</x:f>
      </x:c>
      <x:c r="K985" s="2" t="str">
        <x:f>IF(COUNTA(A985:F985)=0,"",IF(OR(A985="",B985="",C985="",D985="",NOT(ISNUMBER(E985))),"Missing / invalid input",IF(G985&gt;1,"Duplicate key in this source",IF(H985=0,"Missing in other source",IF(H985&gt;1,"Duplicate in other source",IF(SUMIFS('External Data'!$M$2:$M$1001,'External Data'!$L$2:$L$1001,SUBSTITUTE(SUBSTITUTE(SUBSTITUTE(L985,"~","~~"),"*","~*"),"?","~?"))&lt;&gt;1,"Other amount is invalid",IF(J985&lt;&gt;0,"Amount differs","Matched")))))))</x:f>
      </x:c>
      <x:c r="L985" t="str">
        <x:f>IF(COUNTA(A985:F985)=0,"",LEN(A985)&amp;":"&amp;A985&amp;LEN(B985)&amp;":"&amp;B985&amp;LEN(C985)&amp;":"&amp;C985&amp;LEN(D985)&amp;":"&amp;D985)</x:f>
      </x:c>
      <x:c r="M985" t="str">
        <x:f>IF(COUNTA(A985:F985)=0,"",IF(ISNUMBER(E985),1,0))</x:f>
      </x:c>
    </x:row>
    <x:row r="986">
      <x:c r="A986" s="11"/>
      <x:c r="B986" s="11"/>
      <x:c r="C986" s="11"/>
      <x:c r="D986" s="11"/>
      <x:c r="E986" s="12"/>
      <x:c r="F986" s="10"/>
      <x:c r="G986" s="2" t="str">
        <x:f>IF(COUNTA(A986:F986)=0,"",COUNTIFS('App Data'!$L$2:$L$1001,SUBSTITUTE(SUBSTITUTE(SUBSTITUTE(L986,"~","~~"),"*","~*"),"?","~?")))</x:f>
      </x:c>
      <x:c r="H986" s="2" t="str">
        <x:f>IF(COUNTA(A986:F986)=0,"",COUNTIFS('External Data'!$L$2:$L$1001,SUBSTITUTE(SUBSTITUTE(SUBSTITUTE(L986,"~","~~"),"*","~*"),"?","~?")))</x:f>
      </x:c>
      <x:c r="I986" s="13" t="str">
        <x:f>IF(OR(H986&lt;&gt;1,G986&lt;&gt;1),"",SUMIFS('External Data'!$E$2:$E$1001,'External Data'!$L$2:$L$1001,SUBSTITUTE(SUBSTITUTE(SUBSTITUTE(L986,"~","~~"),"*","~*"),"?","~?")))</x:f>
      </x:c>
      <x:c r="J986" s="13" t="str">
        <x:f>IF(OR(NOT(ISNUMBER(E986)),NOT(ISNUMBER(I986))),"",ROUND(E986-I986,2))</x:f>
      </x:c>
      <x:c r="K986" s="2" t="str">
        <x:f>IF(COUNTA(A986:F986)=0,"",IF(OR(A986="",B986="",C986="",D986="",NOT(ISNUMBER(E986))),"Missing / invalid input",IF(G986&gt;1,"Duplicate key in this source",IF(H986=0,"Missing in other source",IF(H986&gt;1,"Duplicate in other source",IF(SUMIFS('External Data'!$M$2:$M$1001,'External Data'!$L$2:$L$1001,SUBSTITUTE(SUBSTITUTE(SUBSTITUTE(L986,"~","~~"),"*","~*"),"?","~?"))&lt;&gt;1,"Other amount is invalid",IF(J986&lt;&gt;0,"Amount differs","Matched")))))))</x:f>
      </x:c>
      <x:c r="L986" t="str">
        <x:f>IF(COUNTA(A986:F986)=0,"",LEN(A986)&amp;":"&amp;A986&amp;LEN(B986)&amp;":"&amp;B986&amp;LEN(C986)&amp;":"&amp;C986&amp;LEN(D986)&amp;":"&amp;D986)</x:f>
      </x:c>
      <x:c r="M986" t="str">
        <x:f>IF(COUNTA(A986:F986)=0,"",IF(ISNUMBER(E986),1,0))</x:f>
      </x:c>
    </x:row>
    <x:row r="987">
      <x:c r="A987" s="11"/>
      <x:c r="B987" s="11"/>
      <x:c r="C987" s="11"/>
      <x:c r="D987" s="11"/>
      <x:c r="E987" s="12"/>
      <x:c r="F987" s="10"/>
      <x:c r="G987" s="2" t="str">
        <x:f>IF(COUNTA(A987:F987)=0,"",COUNTIFS('App Data'!$L$2:$L$1001,SUBSTITUTE(SUBSTITUTE(SUBSTITUTE(L987,"~","~~"),"*","~*"),"?","~?")))</x:f>
      </x:c>
      <x:c r="H987" s="2" t="str">
        <x:f>IF(COUNTA(A987:F987)=0,"",COUNTIFS('External Data'!$L$2:$L$1001,SUBSTITUTE(SUBSTITUTE(SUBSTITUTE(L987,"~","~~"),"*","~*"),"?","~?")))</x:f>
      </x:c>
      <x:c r="I987" s="13" t="str">
        <x:f>IF(OR(H987&lt;&gt;1,G987&lt;&gt;1),"",SUMIFS('External Data'!$E$2:$E$1001,'External Data'!$L$2:$L$1001,SUBSTITUTE(SUBSTITUTE(SUBSTITUTE(L987,"~","~~"),"*","~*"),"?","~?")))</x:f>
      </x:c>
      <x:c r="J987" s="13" t="str">
        <x:f>IF(OR(NOT(ISNUMBER(E987)),NOT(ISNUMBER(I987))),"",ROUND(E987-I987,2))</x:f>
      </x:c>
      <x:c r="K987" s="2" t="str">
        <x:f>IF(COUNTA(A987:F987)=0,"",IF(OR(A987="",B987="",C987="",D987="",NOT(ISNUMBER(E987))),"Missing / invalid input",IF(G987&gt;1,"Duplicate key in this source",IF(H987=0,"Missing in other source",IF(H987&gt;1,"Duplicate in other source",IF(SUMIFS('External Data'!$M$2:$M$1001,'External Data'!$L$2:$L$1001,SUBSTITUTE(SUBSTITUTE(SUBSTITUTE(L987,"~","~~"),"*","~*"),"?","~?"))&lt;&gt;1,"Other amount is invalid",IF(J987&lt;&gt;0,"Amount differs","Matched")))))))</x:f>
      </x:c>
      <x:c r="L987" t="str">
        <x:f>IF(COUNTA(A987:F987)=0,"",LEN(A987)&amp;":"&amp;A987&amp;LEN(B987)&amp;":"&amp;B987&amp;LEN(C987)&amp;":"&amp;C987&amp;LEN(D987)&amp;":"&amp;D987)</x:f>
      </x:c>
      <x:c r="M987" t="str">
        <x:f>IF(COUNTA(A987:F987)=0,"",IF(ISNUMBER(E987),1,0))</x:f>
      </x:c>
    </x:row>
    <x:row r="988">
      <x:c r="A988" s="11"/>
      <x:c r="B988" s="11"/>
      <x:c r="C988" s="11"/>
      <x:c r="D988" s="11"/>
      <x:c r="E988" s="12"/>
      <x:c r="F988" s="10"/>
      <x:c r="G988" s="2" t="str">
        <x:f>IF(COUNTA(A988:F988)=0,"",COUNTIFS('App Data'!$L$2:$L$1001,SUBSTITUTE(SUBSTITUTE(SUBSTITUTE(L988,"~","~~"),"*","~*"),"?","~?")))</x:f>
      </x:c>
      <x:c r="H988" s="2" t="str">
        <x:f>IF(COUNTA(A988:F988)=0,"",COUNTIFS('External Data'!$L$2:$L$1001,SUBSTITUTE(SUBSTITUTE(SUBSTITUTE(L988,"~","~~"),"*","~*"),"?","~?")))</x:f>
      </x:c>
      <x:c r="I988" s="13" t="str">
        <x:f>IF(OR(H988&lt;&gt;1,G988&lt;&gt;1),"",SUMIFS('External Data'!$E$2:$E$1001,'External Data'!$L$2:$L$1001,SUBSTITUTE(SUBSTITUTE(SUBSTITUTE(L988,"~","~~"),"*","~*"),"?","~?")))</x:f>
      </x:c>
      <x:c r="J988" s="13" t="str">
        <x:f>IF(OR(NOT(ISNUMBER(E988)),NOT(ISNUMBER(I988))),"",ROUND(E988-I988,2))</x:f>
      </x:c>
      <x:c r="K988" s="2" t="str">
        <x:f>IF(COUNTA(A988:F988)=0,"",IF(OR(A988="",B988="",C988="",D988="",NOT(ISNUMBER(E988))),"Missing / invalid input",IF(G988&gt;1,"Duplicate key in this source",IF(H988=0,"Missing in other source",IF(H988&gt;1,"Duplicate in other source",IF(SUMIFS('External Data'!$M$2:$M$1001,'External Data'!$L$2:$L$1001,SUBSTITUTE(SUBSTITUTE(SUBSTITUTE(L988,"~","~~"),"*","~*"),"?","~?"))&lt;&gt;1,"Other amount is invalid",IF(J988&lt;&gt;0,"Amount differs","Matched")))))))</x:f>
      </x:c>
      <x:c r="L988" t="str">
        <x:f>IF(COUNTA(A988:F988)=0,"",LEN(A988)&amp;":"&amp;A988&amp;LEN(B988)&amp;":"&amp;B988&amp;LEN(C988)&amp;":"&amp;C988&amp;LEN(D988)&amp;":"&amp;D988)</x:f>
      </x:c>
      <x:c r="M988" t="str">
        <x:f>IF(COUNTA(A988:F988)=0,"",IF(ISNUMBER(E988),1,0))</x:f>
      </x:c>
    </x:row>
    <x:row r="989">
      <x:c r="A989" s="11"/>
      <x:c r="B989" s="11"/>
      <x:c r="C989" s="11"/>
      <x:c r="D989" s="11"/>
      <x:c r="E989" s="12"/>
      <x:c r="F989" s="10"/>
      <x:c r="G989" s="2" t="str">
        <x:f>IF(COUNTA(A989:F989)=0,"",COUNTIFS('App Data'!$L$2:$L$1001,SUBSTITUTE(SUBSTITUTE(SUBSTITUTE(L989,"~","~~"),"*","~*"),"?","~?")))</x:f>
      </x:c>
      <x:c r="H989" s="2" t="str">
        <x:f>IF(COUNTA(A989:F989)=0,"",COUNTIFS('External Data'!$L$2:$L$1001,SUBSTITUTE(SUBSTITUTE(SUBSTITUTE(L989,"~","~~"),"*","~*"),"?","~?")))</x:f>
      </x:c>
      <x:c r="I989" s="13" t="str">
        <x:f>IF(OR(H989&lt;&gt;1,G989&lt;&gt;1),"",SUMIFS('External Data'!$E$2:$E$1001,'External Data'!$L$2:$L$1001,SUBSTITUTE(SUBSTITUTE(SUBSTITUTE(L989,"~","~~"),"*","~*"),"?","~?")))</x:f>
      </x:c>
      <x:c r="J989" s="13" t="str">
        <x:f>IF(OR(NOT(ISNUMBER(E989)),NOT(ISNUMBER(I989))),"",ROUND(E989-I989,2))</x:f>
      </x:c>
      <x:c r="K989" s="2" t="str">
        <x:f>IF(COUNTA(A989:F989)=0,"",IF(OR(A989="",B989="",C989="",D989="",NOT(ISNUMBER(E989))),"Missing / invalid input",IF(G989&gt;1,"Duplicate key in this source",IF(H989=0,"Missing in other source",IF(H989&gt;1,"Duplicate in other source",IF(SUMIFS('External Data'!$M$2:$M$1001,'External Data'!$L$2:$L$1001,SUBSTITUTE(SUBSTITUTE(SUBSTITUTE(L989,"~","~~"),"*","~*"),"?","~?"))&lt;&gt;1,"Other amount is invalid",IF(J989&lt;&gt;0,"Amount differs","Matched")))))))</x:f>
      </x:c>
      <x:c r="L989" t="str">
        <x:f>IF(COUNTA(A989:F989)=0,"",LEN(A989)&amp;":"&amp;A989&amp;LEN(B989)&amp;":"&amp;B989&amp;LEN(C989)&amp;":"&amp;C989&amp;LEN(D989)&amp;":"&amp;D989)</x:f>
      </x:c>
      <x:c r="M989" t="str">
        <x:f>IF(COUNTA(A989:F989)=0,"",IF(ISNUMBER(E989),1,0))</x:f>
      </x:c>
    </x:row>
    <x:row r="990">
      <x:c r="A990" s="11"/>
      <x:c r="B990" s="11"/>
      <x:c r="C990" s="11"/>
      <x:c r="D990" s="11"/>
      <x:c r="E990" s="12"/>
      <x:c r="F990" s="10"/>
      <x:c r="G990" s="2" t="str">
        <x:f>IF(COUNTA(A990:F990)=0,"",COUNTIFS('App Data'!$L$2:$L$1001,SUBSTITUTE(SUBSTITUTE(SUBSTITUTE(L990,"~","~~"),"*","~*"),"?","~?")))</x:f>
      </x:c>
      <x:c r="H990" s="2" t="str">
        <x:f>IF(COUNTA(A990:F990)=0,"",COUNTIFS('External Data'!$L$2:$L$1001,SUBSTITUTE(SUBSTITUTE(SUBSTITUTE(L990,"~","~~"),"*","~*"),"?","~?")))</x:f>
      </x:c>
      <x:c r="I990" s="13" t="str">
        <x:f>IF(OR(H990&lt;&gt;1,G990&lt;&gt;1),"",SUMIFS('External Data'!$E$2:$E$1001,'External Data'!$L$2:$L$1001,SUBSTITUTE(SUBSTITUTE(SUBSTITUTE(L990,"~","~~"),"*","~*"),"?","~?")))</x:f>
      </x:c>
      <x:c r="J990" s="13" t="str">
        <x:f>IF(OR(NOT(ISNUMBER(E990)),NOT(ISNUMBER(I990))),"",ROUND(E990-I990,2))</x:f>
      </x:c>
      <x:c r="K990" s="2" t="str">
        <x:f>IF(COUNTA(A990:F990)=0,"",IF(OR(A990="",B990="",C990="",D990="",NOT(ISNUMBER(E990))),"Missing / invalid input",IF(G990&gt;1,"Duplicate key in this source",IF(H990=0,"Missing in other source",IF(H990&gt;1,"Duplicate in other source",IF(SUMIFS('External Data'!$M$2:$M$1001,'External Data'!$L$2:$L$1001,SUBSTITUTE(SUBSTITUTE(SUBSTITUTE(L990,"~","~~"),"*","~*"),"?","~?"))&lt;&gt;1,"Other amount is invalid",IF(J990&lt;&gt;0,"Amount differs","Matched")))))))</x:f>
      </x:c>
      <x:c r="L990" t="str">
        <x:f>IF(COUNTA(A990:F990)=0,"",LEN(A990)&amp;":"&amp;A990&amp;LEN(B990)&amp;":"&amp;B990&amp;LEN(C990)&amp;":"&amp;C990&amp;LEN(D990)&amp;":"&amp;D990)</x:f>
      </x:c>
      <x:c r="M990" t="str">
        <x:f>IF(COUNTA(A990:F990)=0,"",IF(ISNUMBER(E990),1,0))</x:f>
      </x:c>
    </x:row>
    <x:row r="991">
      <x:c r="A991" s="11"/>
      <x:c r="B991" s="11"/>
      <x:c r="C991" s="11"/>
      <x:c r="D991" s="11"/>
      <x:c r="E991" s="12"/>
      <x:c r="F991" s="10"/>
      <x:c r="G991" s="2" t="str">
        <x:f>IF(COUNTA(A991:F991)=0,"",COUNTIFS('App Data'!$L$2:$L$1001,SUBSTITUTE(SUBSTITUTE(SUBSTITUTE(L991,"~","~~"),"*","~*"),"?","~?")))</x:f>
      </x:c>
      <x:c r="H991" s="2" t="str">
        <x:f>IF(COUNTA(A991:F991)=0,"",COUNTIFS('External Data'!$L$2:$L$1001,SUBSTITUTE(SUBSTITUTE(SUBSTITUTE(L991,"~","~~"),"*","~*"),"?","~?")))</x:f>
      </x:c>
      <x:c r="I991" s="13" t="str">
        <x:f>IF(OR(H991&lt;&gt;1,G991&lt;&gt;1),"",SUMIFS('External Data'!$E$2:$E$1001,'External Data'!$L$2:$L$1001,SUBSTITUTE(SUBSTITUTE(SUBSTITUTE(L991,"~","~~"),"*","~*"),"?","~?")))</x:f>
      </x:c>
      <x:c r="J991" s="13" t="str">
        <x:f>IF(OR(NOT(ISNUMBER(E991)),NOT(ISNUMBER(I991))),"",ROUND(E991-I991,2))</x:f>
      </x:c>
      <x:c r="K991" s="2" t="str">
        <x:f>IF(COUNTA(A991:F991)=0,"",IF(OR(A991="",B991="",C991="",D991="",NOT(ISNUMBER(E991))),"Missing / invalid input",IF(G991&gt;1,"Duplicate key in this source",IF(H991=0,"Missing in other source",IF(H991&gt;1,"Duplicate in other source",IF(SUMIFS('External Data'!$M$2:$M$1001,'External Data'!$L$2:$L$1001,SUBSTITUTE(SUBSTITUTE(SUBSTITUTE(L991,"~","~~"),"*","~*"),"?","~?"))&lt;&gt;1,"Other amount is invalid",IF(J991&lt;&gt;0,"Amount differs","Matched")))))))</x:f>
      </x:c>
      <x:c r="L991" t="str">
        <x:f>IF(COUNTA(A991:F991)=0,"",LEN(A991)&amp;":"&amp;A991&amp;LEN(B991)&amp;":"&amp;B991&amp;LEN(C991)&amp;":"&amp;C991&amp;LEN(D991)&amp;":"&amp;D991)</x:f>
      </x:c>
      <x:c r="M991" t="str">
        <x:f>IF(COUNTA(A991:F991)=0,"",IF(ISNUMBER(E991),1,0))</x:f>
      </x:c>
    </x:row>
    <x:row r="992">
      <x:c r="A992" s="11"/>
      <x:c r="B992" s="11"/>
      <x:c r="C992" s="11"/>
      <x:c r="D992" s="11"/>
      <x:c r="E992" s="12"/>
      <x:c r="F992" s="10"/>
      <x:c r="G992" s="2" t="str">
        <x:f>IF(COUNTA(A992:F992)=0,"",COUNTIFS('App Data'!$L$2:$L$1001,SUBSTITUTE(SUBSTITUTE(SUBSTITUTE(L992,"~","~~"),"*","~*"),"?","~?")))</x:f>
      </x:c>
      <x:c r="H992" s="2" t="str">
        <x:f>IF(COUNTA(A992:F992)=0,"",COUNTIFS('External Data'!$L$2:$L$1001,SUBSTITUTE(SUBSTITUTE(SUBSTITUTE(L992,"~","~~"),"*","~*"),"?","~?")))</x:f>
      </x:c>
      <x:c r="I992" s="13" t="str">
        <x:f>IF(OR(H992&lt;&gt;1,G992&lt;&gt;1),"",SUMIFS('External Data'!$E$2:$E$1001,'External Data'!$L$2:$L$1001,SUBSTITUTE(SUBSTITUTE(SUBSTITUTE(L992,"~","~~"),"*","~*"),"?","~?")))</x:f>
      </x:c>
      <x:c r="J992" s="13" t="str">
        <x:f>IF(OR(NOT(ISNUMBER(E992)),NOT(ISNUMBER(I992))),"",ROUND(E992-I992,2))</x:f>
      </x:c>
      <x:c r="K992" s="2" t="str">
        <x:f>IF(COUNTA(A992:F992)=0,"",IF(OR(A992="",B992="",C992="",D992="",NOT(ISNUMBER(E992))),"Missing / invalid input",IF(G992&gt;1,"Duplicate key in this source",IF(H992=0,"Missing in other source",IF(H992&gt;1,"Duplicate in other source",IF(SUMIFS('External Data'!$M$2:$M$1001,'External Data'!$L$2:$L$1001,SUBSTITUTE(SUBSTITUTE(SUBSTITUTE(L992,"~","~~"),"*","~*"),"?","~?"))&lt;&gt;1,"Other amount is invalid",IF(J992&lt;&gt;0,"Amount differs","Matched")))))))</x:f>
      </x:c>
      <x:c r="L992" t="str">
        <x:f>IF(COUNTA(A992:F992)=0,"",LEN(A992)&amp;":"&amp;A992&amp;LEN(B992)&amp;":"&amp;B992&amp;LEN(C992)&amp;":"&amp;C992&amp;LEN(D992)&amp;":"&amp;D992)</x:f>
      </x:c>
      <x:c r="M992" t="str">
        <x:f>IF(COUNTA(A992:F992)=0,"",IF(ISNUMBER(E992),1,0))</x:f>
      </x:c>
    </x:row>
    <x:row r="993">
      <x:c r="A993" s="11"/>
      <x:c r="B993" s="11"/>
      <x:c r="C993" s="11"/>
      <x:c r="D993" s="11"/>
      <x:c r="E993" s="12"/>
      <x:c r="F993" s="10"/>
      <x:c r="G993" s="2" t="str">
        <x:f>IF(COUNTA(A993:F993)=0,"",COUNTIFS('App Data'!$L$2:$L$1001,SUBSTITUTE(SUBSTITUTE(SUBSTITUTE(L993,"~","~~"),"*","~*"),"?","~?")))</x:f>
      </x:c>
      <x:c r="H993" s="2" t="str">
        <x:f>IF(COUNTA(A993:F993)=0,"",COUNTIFS('External Data'!$L$2:$L$1001,SUBSTITUTE(SUBSTITUTE(SUBSTITUTE(L993,"~","~~"),"*","~*"),"?","~?")))</x:f>
      </x:c>
      <x:c r="I993" s="13" t="str">
        <x:f>IF(OR(H993&lt;&gt;1,G993&lt;&gt;1),"",SUMIFS('External Data'!$E$2:$E$1001,'External Data'!$L$2:$L$1001,SUBSTITUTE(SUBSTITUTE(SUBSTITUTE(L993,"~","~~"),"*","~*"),"?","~?")))</x:f>
      </x:c>
      <x:c r="J993" s="13" t="str">
        <x:f>IF(OR(NOT(ISNUMBER(E993)),NOT(ISNUMBER(I993))),"",ROUND(E993-I993,2))</x:f>
      </x:c>
      <x:c r="K993" s="2" t="str">
        <x:f>IF(COUNTA(A993:F993)=0,"",IF(OR(A993="",B993="",C993="",D993="",NOT(ISNUMBER(E993))),"Missing / invalid input",IF(G993&gt;1,"Duplicate key in this source",IF(H993=0,"Missing in other source",IF(H993&gt;1,"Duplicate in other source",IF(SUMIFS('External Data'!$M$2:$M$1001,'External Data'!$L$2:$L$1001,SUBSTITUTE(SUBSTITUTE(SUBSTITUTE(L993,"~","~~"),"*","~*"),"?","~?"))&lt;&gt;1,"Other amount is invalid",IF(J993&lt;&gt;0,"Amount differs","Matched")))))))</x:f>
      </x:c>
      <x:c r="L993" t="str">
        <x:f>IF(COUNTA(A993:F993)=0,"",LEN(A993)&amp;":"&amp;A993&amp;LEN(B993)&amp;":"&amp;B993&amp;LEN(C993)&amp;":"&amp;C993&amp;LEN(D993)&amp;":"&amp;D993)</x:f>
      </x:c>
      <x:c r="M993" t="str">
        <x:f>IF(COUNTA(A993:F993)=0,"",IF(ISNUMBER(E993),1,0))</x:f>
      </x:c>
    </x:row>
    <x:row r="994">
      <x:c r="A994" s="11"/>
      <x:c r="B994" s="11"/>
      <x:c r="C994" s="11"/>
      <x:c r="D994" s="11"/>
      <x:c r="E994" s="12"/>
      <x:c r="F994" s="10"/>
      <x:c r="G994" s="2" t="str">
        <x:f>IF(COUNTA(A994:F994)=0,"",COUNTIFS('App Data'!$L$2:$L$1001,SUBSTITUTE(SUBSTITUTE(SUBSTITUTE(L994,"~","~~"),"*","~*"),"?","~?")))</x:f>
      </x:c>
      <x:c r="H994" s="2" t="str">
        <x:f>IF(COUNTA(A994:F994)=0,"",COUNTIFS('External Data'!$L$2:$L$1001,SUBSTITUTE(SUBSTITUTE(SUBSTITUTE(L994,"~","~~"),"*","~*"),"?","~?")))</x:f>
      </x:c>
      <x:c r="I994" s="13" t="str">
        <x:f>IF(OR(H994&lt;&gt;1,G994&lt;&gt;1),"",SUMIFS('External Data'!$E$2:$E$1001,'External Data'!$L$2:$L$1001,SUBSTITUTE(SUBSTITUTE(SUBSTITUTE(L994,"~","~~"),"*","~*"),"?","~?")))</x:f>
      </x:c>
      <x:c r="J994" s="13" t="str">
        <x:f>IF(OR(NOT(ISNUMBER(E994)),NOT(ISNUMBER(I994))),"",ROUND(E994-I994,2))</x:f>
      </x:c>
      <x:c r="K994" s="2" t="str">
        <x:f>IF(COUNTA(A994:F994)=0,"",IF(OR(A994="",B994="",C994="",D994="",NOT(ISNUMBER(E994))),"Missing / invalid input",IF(G994&gt;1,"Duplicate key in this source",IF(H994=0,"Missing in other source",IF(H994&gt;1,"Duplicate in other source",IF(SUMIFS('External Data'!$M$2:$M$1001,'External Data'!$L$2:$L$1001,SUBSTITUTE(SUBSTITUTE(SUBSTITUTE(L994,"~","~~"),"*","~*"),"?","~?"))&lt;&gt;1,"Other amount is invalid",IF(J994&lt;&gt;0,"Amount differs","Matched")))))))</x:f>
      </x:c>
      <x:c r="L994" t="str">
        <x:f>IF(COUNTA(A994:F994)=0,"",LEN(A994)&amp;":"&amp;A994&amp;LEN(B994)&amp;":"&amp;B994&amp;LEN(C994)&amp;":"&amp;C994&amp;LEN(D994)&amp;":"&amp;D994)</x:f>
      </x:c>
      <x:c r="M994" t="str">
        <x:f>IF(COUNTA(A994:F994)=0,"",IF(ISNUMBER(E994),1,0))</x:f>
      </x:c>
    </x:row>
    <x:row r="995">
      <x:c r="A995" s="11"/>
      <x:c r="B995" s="11"/>
      <x:c r="C995" s="11"/>
      <x:c r="D995" s="11"/>
      <x:c r="E995" s="12"/>
      <x:c r="F995" s="10"/>
      <x:c r="G995" s="2" t="str">
        <x:f>IF(COUNTA(A995:F995)=0,"",COUNTIFS('App Data'!$L$2:$L$1001,SUBSTITUTE(SUBSTITUTE(SUBSTITUTE(L995,"~","~~"),"*","~*"),"?","~?")))</x:f>
      </x:c>
      <x:c r="H995" s="2" t="str">
        <x:f>IF(COUNTA(A995:F995)=0,"",COUNTIFS('External Data'!$L$2:$L$1001,SUBSTITUTE(SUBSTITUTE(SUBSTITUTE(L995,"~","~~"),"*","~*"),"?","~?")))</x:f>
      </x:c>
      <x:c r="I995" s="13" t="str">
        <x:f>IF(OR(H995&lt;&gt;1,G995&lt;&gt;1),"",SUMIFS('External Data'!$E$2:$E$1001,'External Data'!$L$2:$L$1001,SUBSTITUTE(SUBSTITUTE(SUBSTITUTE(L995,"~","~~"),"*","~*"),"?","~?")))</x:f>
      </x:c>
      <x:c r="J995" s="13" t="str">
        <x:f>IF(OR(NOT(ISNUMBER(E995)),NOT(ISNUMBER(I995))),"",ROUND(E995-I995,2))</x:f>
      </x:c>
      <x:c r="K995" s="2" t="str">
        <x:f>IF(COUNTA(A995:F995)=0,"",IF(OR(A995="",B995="",C995="",D995="",NOT(ISNUMBER(E995))),"Missing / invalid input",IF(G995&gt;1,"Duplicate key in this source",IF(H995=0,"Missing in other source",IF(H995&gt;1,"Duplicate in other source",IF(SUMIFS('External Data'!$M$2:$M$1001,'External Data'!$L$2:$L$1001,SUBSTITUTE(SUBSTITUTE(SUBSTITUTE(L995,"~","~~"),"*","~*"),"?","~?"))&lt;&gt;1,"Other amount is invalid",IF(J995&lt;&gt;0,"Amount differs","Matched")))))))</x:f>
      </x:c>
      <x:c r="L995" t="str">
        <x:f>IF(COUNTA(A995:F995)=0,"",LEN(A995)&amp;":"&amp;A995&amp;LEN(B995)&amp;":"&amp;B995&amp;LEN(C995)&amp;":"&amp;C995&amp;LEN(D995)&amp;":"&amp;D995)</x:f>
      </x:c>
      <x:c r="M995" t="str">
        <x:f>IF(COUNTA(A995:F995)=0,"",IF(ISNUMBER(E995),1,0))</x:f>
      </x:c>
    </x:row>
    <x:row r="996">
      <x:c r="A996" s="11"/>
      <x:c r="B996" s="11"/>
      <x:c r="C996" s="11"/>
      <x:c r="D996" s="11"/>
      <x:c r="E996" s="12"/>
      <x:c r="F996" s="10"/>
      <x:c r="G996" s="2" t="str">
        <x:f>IF(COUNTA(A996:F996)=0,"",COUNTIFS('App Data'!$L$2:$L$1001,SUBSTITUTE(SUBSTITUTE(SUBSTITUTE(L996,"~","~~"),"*","~*"),"?","~?")))</x:f>
      </x:c>
      <x:c r="H996" s="2" t="str">
        <x:f>IF(COUNTA(A996:F996)=0,"",COUNTIFS('External Data'!$L$2:$L$1001,SUBSTITUTE(SUBSTITUTE(SUBSTITUTE(L996,"~","~~"),"*","~*"),"?","~?")))</x:f>
      </x:c>
      <x:c r="I996" s="13" t="str">
        <x:f>IF(OR(H996&lt;&gt;1,G996&lt;&gt;1),"",SUMIFS('External Data'!$E$2:$E$1001,'External Data'!$L$2:$L$1001,SUBSTITUTE(SUBSTITUTE(SUBSTITUTE(L996,"~","~~"),"*","~*"),"?","~?")))</x:f>
      </x:c>
      <x:c r="J996" s="13" t="str">
        <x:f>IF(OR(NOT(ISNUMBER(E996)),NOT(ISNUMBER(I996))),"",ROUND(E996-I996,2))</x:f>
      </x:c>
      <x:c r="K996" s="2" t="str">
        <x:f>IF(COUNTA(A996:F996)=0,"",IF(OR(A996="",B996="",C996="",D996="",NOT(ISNUMBER(E996))),"Missing / invalid input",IF(G996&gt;1,"Duplicate key in this source",IF(H996=0,"Missing in other source",IF(H996&gt;1,"Duplicate in other source",IF(SUMIFS('External Data'!$M$2:$M$1001,'External Data'!$L$2:$L$1001,SUBSTITUTE(SUBSTITUTE(SUBSTITUTE(L996,"~","~~"),"*","~*"),"?","~?"))&lt;&gt;1,"Other amount is invalid",IF(J996&lt;&gt;0,"Amount differs","Matched")))))))</x:f>
      </x:c>
      <x:c r="L996" t="str">
        <x:f>IF(COUNTA(A996:F996)=0,"",LEN(A996)&amp;":"&amp;A996&amp;LEN(B996)&amp;":"&amp;B996&amp;LEN(C996)&amp;":"&amp;C996&amp;LEN(D996)&amp;":"&amp;D996)</x:f>
      </x:c>
      <x:c r="M996" t="str">
        <x:f>IF(COUNTA(A996:F996)=0,"",IF(ISNUMBER(E996),1,0))</x:f>
      </x:c>
    </x:row>
    <x:row r="997">
      <x:c r="A997" s="11"/>
      <x:c r="B997" s="11"/>
      <x:c r="C997" s="11"/>
      <x:c r="D997" s="11"/>
      <x:c r="E997" s="12"/>
      <x:c r="F997" s="10"/>
      <x:c r="G997" s="2" t="str">
        <x:f>IF(COUNTA(A997:F997)=0,"",COUNTIFS('App Data'!$L$2:$L$1001,SUBSTITUTE(SUBSTITUTE(SUBSTITUTE(L997,"~","~~"),"*","~*"),"?","~?")))</x:f>
      </x:c>
      <x:c r="H997" s="2" t="str">
        <x:f>IF(COUNTA(A997:F997)=0,"",COUNTIFS('External Data'!$L$2:$L$1001,SUBSTITUTE(SUBSTITUTE(SUBSTITUTE(L997,"~","~~"),"*","~*"),"?","~?")))</x:f>
      </x:c>
      <x:c r="I997" s="13" t="str">
        <x:f>IF(OR(H997&lt;&gt;1,G997&lt;&gt;1),"",SUMIFS('External Data'!$E$2:$E$1001,'External Data'!$L$2:$L$1001,SUBSTITUTE(SUBSTITUTE(SUBSTITUTE(L997,"~","~~"),"*","~*"),"?","~?")))</x:f>
      </x:c>
      <x:c r="J997" s="13" t="str">
        <x:f>IF(OR(NOT(ISNUMBER(E997)),NOT(ISNUMBER(I997))),"",ROUND(E997-I997,2))</x:f>
      </x:c>
      <x:c r="K997" s="2" t="str">
        <x:f>IF(COUNTA(A997:F997)=0,"",IF(OR(A997="",B997="",C997="",D997="",NOT(ISNUMBER(E997))),"Missing / invalid input",IF(G997&gt;1,"Duplicate key in this source",IF(H997=0,"Missing in other source",IF(H997&gt;1,"Duplicate in other source",IF(SUMIFS('External Data'!$M$2:$M$1001,'External Data'!$L$2:$L$1001,SUBSTITUTE(SUBSTITUTE(SUBSTITUTE(L997,"~","~~"),"*","~*"),"?","~?"))&lt;&gt;1,"Other amount is invalid",IF(J997&lt;&gt;0,"Amount differs","Matched")))))))</x:f>
      </x:c>
      <x:c r="L997" t="str">
        <x:f>IF(COUNTA(A997:F997)=0,"",LEN(A997)&amp;":"&amp;A997&amp;LEN(B997)&amp;":"&amp;B997&amp;LEN(C997)&amp;":"&amp;C997&amp;LEN(D997)&amp;":"&amp;D997)</x:f>
      </x:c>
      <x:c r="M997" t="str">
        <x:f>IF(COUNTA(A997:F997)=0,"",IF(ISNUMBER(E997),1,0))</x:f>
      </x:c>
    </x:row>
    <x:row r="998">
      <x:c r="A998" s="11"/>
      <x:c r="B998" s="11"/>
      <x:c r="C998" s="11"/>
      <x:c r="D998" s="11"/>
      <x:c r="E998" s="12"/>
      <x:c r="F998" s="10"/>
      <x:c r="G998" s="2" t="str">
        <x:f>IF(COUNTA(A998:F998)=0,"",COUNTIFS('App Data'!$L$2:$L$1001,SUBSTITUTE(SUBSTITUTE(SUBSTITUTE(L998,"~","~~"),"*","~*"),"?","~?")))</x:f>
      </x:c>
      <x:c r="H998" s="2" t="str">
        <x:f>IF(COUNTA(A998:F998)=0,"",COUNTIFS('External Data'!$L$2:$L$1001,SUBSTITUTE(SUBSTITUTE(SUBSTITUTE(L998,"~","~~"),"*","~*"),"?","~?")))</x:f>
      </x:c>
      <x:c r="I998" s="13" t="str">
        <x:f>IF(OR(H998&lt;&gt;1,G998&lt;&gt;1),"",SUMIFS('External Data'!$E$2:$E$1001,'External Data'!$L$2:$L$1001,SUBSTITUTE(SUBSTITUTE(SUBSTITUTE(L998,"~","~~"),"*","~*"),"?","~?")))</x:f>
      </x:c>
      <x:c r="J998" s="13" t="str">
        <x:f>IF(OR(NOT(ISNUMBER(E998)),NOT(ISNUMBER(I998))),"",ROUND(E998-I998,2))</x:f>
      </x:c>
      <x:c r="K998" s="2" t="str">
        <x:f>IF(COUNTA(A998:F998)=0,"",IF(OR(A998="",B998="",C998="",D998="",NOT(ISNUMBER(E998))),"Missing / invalid input",IF(G998&gt;1,"Duplicate key in this source",IF(H998=0,"Missing in other source",IF(H998&gt;1,"Duplicate in other source",IF(SUMIFS('External Data'!$M$2:$M$1001,'External Data'!$L$2:$L$1001,SUBSTITUTE(SUBSTITUTE(SUBSTITUTE(L998,"~","~~"),"*","~*"),"?","~?"))&lt;&gt;1,"Other amount is invalid",IF(J998&lt;&gt;0,"Amount differs","Matched")))))))</x:f>
      </x:c>
      <x:c r="L998" t="str">
        <x:f>IF(COUNTA(A998:F998)=0,"",LEN(A998)&amp;":"&amp;A998&amp;LEN(B998)&amp;":"&amp;B998&amp;LEN(C998)&amp;":"&amp;C998&amp;LEN(D998)&amp;":"&amp;D998)</x:f>
      </x:c>
      <x:c r="M998" t="str">
        <x:f>IF(COUNTA(A998:F998)=0,"",IF(ISNUMBER(E998),1,0))</x:f>
      </x:c>
    </x:row>
    <x:row r="999">
      <x:c r="A999" s="11"/>
      <x:c r="B999" s="11"/>
      <x:c r="C999" s="11"/>
      <x:c r="D999" s="11"/>
      <x:c r="E999" s="12"/>
      <x:c r="F999" s="10"/>
      <x:c r="G999" s="2" t="str">
        <x:f>IF(COUNTA(A999:F999)=0,"",COUNTIFS('App Data'!$L$2:$L$1001,SUBSTITUTE(SUBSTITUTE(SUBSTITUTE(L999,"~","~~"),"*","~*"),"?","~?")))</x:f>
      </x:c>
      <x:c r="H999" s="2" t="str">
        <x:f>IF(COUNTA(A999:F999)=0,"",COUNTIFS('External Data'!$L$2:$L$1001,SUBSTITUTE(SUBSTITUTE(SUBSTITUTE(L999,"~","~~"),"*","~*"),"?","~?")))</x:f>
      </x:c>
      <x:c r="I999" s="13" t="str">
        <x:f>IF(OR(H999&lt;&gt;1,G999&lt;&gt;1),"",SUMIFS('External Data'!$E$2:$E$1001,'External Data'!$L$2:$L$1001,SUBSTITUTE(SUBSTITUTE(SUBSTITUTE(L999,"~","~~"),"*","~*"),"?","~?")))</x:f>
      </x:c>
      <x:c r="J999" s="13" t="str">
        <x:f>IF(OR(NOT(ISNUMBER(E999)),NOT(ISNUMBER(I999))),"",ROUND(E999-I999,2))</x:f>
      </x:c>
      <x:c r="K999" s="2" t="str">
        <x:f>IF(COUNTA(A999:F999)=0,"",IF(OR(A999="",B999="",C999="",D999="",NOT(ISNUMBER(E999))),"Missing / invalid input",IF(G999&gt;1,"Duplicate key in this source",IF(H999=0,"Missing in other source",IF(H999&gt;1,"Duplicate in other source",IF(SUMIFS('External Data'!$M$2:$M$1001,'External Data'!$L$2:$L$1001,SUBSTITUTE(SUBSTITUTE(SUBSTITUTE(L999,"~","~~"),"*","~*"),"?","~?"))&lt;&gt;1,"Other amount is invalid",IF(J999&lt;&gt;0,"Amount differs","Matched")))))))</x:f>
      </x:c>
      <x:c r="L999" t="str">
        <x:f>IF(COUNTA(A999:F999)=0,"",LEN(A999)&amp;":"&amp;A999&amp;LEN(B999)&amp;":"&amp;B999&amp;LEN(C999)&amp;":"&amp;C999&amp;LEN(D999)&amp;":"&amp;D999)</x:f>
      </x:c>
      <x:c r="M999" t="str">
        <x:f>IF(COUNTA(A999:F999)=0,"",IF(ISNUMBER(E999),1,0))</x:f>
      </x:c>
    </x:row>
    <x:row r="1000">
      <x:c r="A1000" s="11"/>
      <x:c r="B1000" s="11"/>
      <x:c r="C1000" s="11"/>
      <x:c r="D1000" s="11"/>
      <x:c r="E1000" s="12"/>
      <x:c r="F1000" s="10"/>
      <x:c r="G1000" s="2" t="str">
        <x:f>IF(COUNTA(A1000:F1000)=0,"",COUNTIFS('App Data'!$L$2:$L$1001,SUBSTITUTE(SUBSTITUTE(SUBSTITUTE(L1000,"~","~~"),"*","~*"),"?","~?")))</x:f>
      </x:c>
      <x:c r="H1000" s="2" t="str">
        <x:f>IF(COUNTA(A1000:F1000)=0,"",COUNTIFS('External Data'!$L$2:$L$1001,SUBSTITUTE(SUBSTITUTE(SUBSTITUTE(L1000,"~","~~"),"*","~*"),"?","~?")))</x:f>
      </x:c>
      <x:c r="I1000" s="13" t="str">
        <x:f>IF(OR(H1000&lt;&gt;1,G1000&lt;&gt;1),"",SUMIFS('External Data'!$E$2:$E$1001,'External Data'!$L$2:$L$1001,SUBSTITUTE(SUBSTITUTE(SUBSTITUTE(L1000,"~","~~"),"*","~*"),"?","~?")))</x:f>
      </x:c>
      <x:c r="J1000" s="13" t="str">
        <x:f>IF(OR(NOT(ISNUMBER(E1000)),NOT(ISNUMBER(I1000))),"",ROUND(E1000-I1000,2))</x:f>
      </x:c>
      <x:c r="K1000" s="2" t="str">
        <x:f>IF(COUNTA(A1000:F1000)=0,"",IF(OR(A1000="",B1000="",C1000="",D1000="",NOT(ISNUMBER(E1000))),"Missing / invalid input",IF(G1000&gt;1,"Duplicate key in this source",IF(H1000=0,"Missing in other source",IF(H1000&gt;1,"Duplicate in other source",IF(SUMIFS('External Data'!$M$2:$M$1001,'External Data'!$L$2:$L$1001,SUBSTITUTE(SUBSTITUTE(SUBSTITUTE(L1000,"~","~~"),"*","~*"),"?","~?"))&lt;&gt;1,"Other amount is invalid",IF(J1000&lt;&gt;0,"Amount differs","Matched")))))))</x:f>
      </x:c>
      <x:c r="L1000" t="str">
        <x:f>IF(COUNTA(A1000:F1000)=0,"",LEN(A1000)&amp;":"&amp;A1000&amp;LEN(B1000)&amp;":"&amp;B1000&amp;LEN(C1000)&amp;":"&amp;C1000&amp;LEN(D1000)&amp;":"&amp;D1000)</x:f>
      </x:c>
      <x:c r="M1000" t="str">
        <x:f>IF(COUNTA(A1000:F1000)=0,"",IF(ISNUMBER(E1000),1,0))</x:f>
      </x:c>
    </x:row>
    <x:row r="1001">
      <x:c r="A1001" s="11"/>
      <x:c r="B1001" s="11"/>
      <x:c r="C1001" s="11"/>
      <x:c r="D1001" s="11"/>
      <x:c r="E1001" s="12"/>
      <x:c r="F1001" s="10"/>
      <x:c r="G1001" s="2" t="str">
        <x:f>IF(COUNTA(A1001:F1001)=0,"",COUNTIFS('App Data'!$L$2:$L$1001,SUBSTITUTE(SUBSTITUTE(SUBSTITUTE(L1001,"~","~~"),"*","~*"),"?","~?")))</x:f>
      </x:c>
      <x:c r="H1001" s="2" t="str">
        <x:f>IF(COUNTA(A1001:F1001)=0,"",COUNTIFS('External Data'!$L$2:$L$1001,SUBSTITUTE(SUBSTITUTE(SUBSTITUTE(L1001,"~","~~"),"*","~*"),"?","~?")))</x:f>
      </x:c>
      <x:c r="I1001" s="13" t="str">
        <x:f>IF(OR(H1001&lt;&gt;1,G1001&lt;&gt;1),"",SUMIFS('External Data'!$E$2:$E$1001,'External Data'!$L$2:$L$1001,SUBSTITUTE(SUBSTITUTE(SUBSTITUTE(L1001,"~","~~"),"*","~*"),"?","~?")))</x:f>
      </x:c>
      <x:c r="J1001" s="13" t="str">
        <x:f>IF(OR(NOT(ISNUMBER(E1001)),NOT(ISNUMBER(I1001))),"",ROUND(E1001-I1001,2))</x:f>
      </x:c>
      <x:c r="K1001" s="2" t="str">
        <x:f>IF(COUNTA(A1001:F1001)=0,"",IF(OR(A1001="",B1001="",C1001="",D1001="",NOT(ISNUMBER(E1001))),"Missing / invalid input",IF(G1001&gt;1,"Duplicate key in this source",IF(H1001=0,"Missing in other source",IF(H1001&gt;1,"Duplicate in other source",IF(SUMIFS('External Data'!$M$2:$M$1001,'External Data'!$L$2:$L$1001,SUBSTITUTE(SUBSTITUTE(SUBSTITUTE(L1001,"~","~~"),"*","~*"),"?","~?"))&lt;&gt;1,"Other amount is invalid",IF(J1001&lt;&gt;0,"Amount differs","Matched")))))))</x:f>
      </x:c>
      <x:c r="L1001" t="str">
        <x:f>IF(COUNTA(A1001:F1001)=0,"",LEN(A1001)&amp;":"&amp;A1001&amp;LEN(B1001)&amp;":"&amp;B1001&amp;LEN(C1001)&amp;":"&amp;C1001&amp;LEN(D1001)&amp;":"&amp;D1001)</x:f>
      </x:c>
      <x:c r="M1001" t="str">
        <x:f>IF(COUNTA(A1001:F1001)=0,"",IF(ISNUMBER(E1001),1,0))</x:f>
      </x:c>
    </x:row>
  </x:sheetData>
  <x:conditionalFormatting sqref="K2:K1001">
    <x:cfRule type="expression" dxfId="0" priority="1">
      <x:formula>AND(K2&lt;&gt;"",K2&lt;&gt;"Matched")</x:formula>
    </x:cfRule>
  </x:conditionalFormatting>
  <x:conditionalFormatting sqref="J2:J1001">
    <x:cfRule type="expression" dxfId="1" priority="2">
      <x:formula>AND(ISNUMBER(J2),ABS(J2)&gt;0.005)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956ae7c97443a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3" hidden="0" customWidth="1"/>
    <x:col min="2" max="2" width="40" hidden="0" customWidth="1"/>
    <x:col min="3" max="3" width="13" hidden="0" customWidth="1"/>
    <x:col min="4" max="4" width="13" hidden="0" customWidth="1"/>
    <x:col min="5" max="5" width="18" hidden="0" customWidth="1"/>
    <x:col min="6" max="6" width="32" hidden="0" customWidth="1"/>
    <x:col min="7" max="7" width="13" hidden="0" customWidth="1"/>
    <x:col min="8" max="8" width="13" hidden="0" customWidth="1"/>
    <x:col min="9" max="9" width="18" hidden="0" customWidth="1"/>
    <x:col min="10" max="10" width="18" hidden="0" customWidth="1"/>
    <x:col min="11" max="11" width="26" hidden="0" customWidth="1"/>
    <x:col min="12" max="12" width="24" hidden="0" customWidth="1"/>
    <x:col min="13" max="13" width="24" hidden="0" customWidth="1"/>
  </x:cols>
  <x:sheetData>
    <x:row r="1" ht="30" customHeight="1">
      <x:c r="A1" s="8" t="str">
        <x:v>dataset</x:v>
      </x:c>
      <x:c r="B1" s="8" t="str">
        <x:v>record_id</x:v>
      </x:c>
      <x:c r="C1" s="8" t="str">
        <x:v>period</x:v>
      </x:c>
      <x:c r="D1" s="8" t="str">
        <x:v>currency</x:v>
      </x:c>
      <x:c r="E1" s="8" t="str">
        <x:v>amount</x:v>
      </x:c>
      <x:c r="F1" s="8" t="str">
        <x:v>description</x:v>
      </x:c>
      <x:c r="G1" s="8" t="str">
        <x:v>Own key count</x:v>
      </x:c>
      <x:c r="H1" s="8" t="str">
        <x:v>Other key count</x:v>
      </x:c>
      <x:c r="I1" s="8" t="str">
        <x:v>Other amount</x:v>
      </x:c>
      <x:c r="J1" s="8" t="str">
        <x:v>Difference</x:v>
      </x:c>
      <x:c r="K1" s="8" t="str">
        <x:v>Check</x:v>
      </x:c>
      <x:c r="L1" s="15" t="str">
        <x:v>Match key</x:v>
      </x:c>
      <x:c r="M1" s="15" t="str">
        <x:v>Numeric amount</x:v>
      </x:c>
    </x:row>
    <x:row r="2">
      <x:c r="A2" s="11"/>
      <x:c r="B2" s="11"/>
      <x:c r="C2" s="11"/>
      <x:c r="D2" s="11"/>
      <x:c r="E2" s="12"/>
      <x:c r="F2" s="10"/>
      <x:c r="G2" s="2" t="str">
        <x:f>IF(COUNTA(A2:F2)=0,"",COUNTIFS('External Data'!$L$2:$L$1001,SUBSTITUTE(SUBSTITUTE(SUBSTITUTE(L2,"~","~~"),"*","~*"),"?","~?")))</x:f>
      </x:c>
      <x:c r="H2" s="2" t="str">
        <x:f>IF(COUNTA(A2:F2)=0,"",COUNTIFS('App Data'!$L$2:$L$1001,SUBSTITUTE(SUBSTITUTE(SUBSTITUTE(L2,"~","~~"),"*","~*"),"?","~?")))</x:f>
      </x:c>
      <x:c r="I2" s="13" t="str">
        <x:f>IF(OR(H2&lt;&gt;1,G2&lt;&gt;1),"",SUMIFS('App Data'!$E$2:$E$1001,'App Data'!$L$2:$L$1001,SUBSTITUTE(SUBSTITUTE(SUBSTITUTE(L2,"~","~~"),"*","~*"),"?","~?")))</x:f>
      </x:c>
      <x:c r="J2" s="13" t="str">
        <x:f>IF(OR(NOT(ISNUMBER(E2)),NOT(ISNUMBER(I2))),"",ROUND(E2-I2,2))</x:f>
      </x:c>
      <x:c r="K2" s="2" t="str">
        <x:f>IF(COUNTA(A2:F2)=0,"",IF(OR(A2="",B2="",C2="",D2="",NOT(ISNUMBER(E2))),"Missing / invalid input",IF(G2&gt;1,"Duplicate key in this source",IF(H2=0,"Missing in other source",IF(H2&gt;1,"Duplicate in other source",IF(SUMIFS('App Data'!$M$2:$M$1001,'App Data'!$L$2:$L$1001,SUBSTITUTE(SUBSTITUTE(SUBSTITUTE(L2,"~","~~"),"*","~*"),"?","~?"))&lt;&gt;1,"Other amount is invalid",IF(J2&lt;&gt;0,"Amount differs","Matched")))))))</x:f>
      </x:c>
      <x:c r="L2" t="str">
        <x:f>IF(COUNTA(A2:F2)=0,"",LEN(A2)&amp;":"&amp;A2&amp;LEN(B2)&amp;":"&amp;B2&amp;LEN(C2)&amp;":"&amp;C2&amp;LEN(D2)&amp;":"&amp;D2)</x:f>
      </x:c>
      <x:c r="M2" t="str">
        <x:f>IF(COUNTA(A2:F2)=0,"",IF(ISNUMBER(E2),1,0))</x:f>
      </x:c>
    </x:row>
    <x:row r="3">
      <x:c r="A3" s="11"/>
      <x:c r="B3" s="11"/>
      <x:c r="C3" s="11"/>
      <x:c r="D3" s="11"/>
      <x:c r="E3" s="12"/>
      <x:c r="F3" s="10"/>
      <x:c r="G3" s="2" t="str">
        <x:f>IF(COUNTA(A3:F3)=0,"",COUNTIFS('External Data'!$L$2:$L$1001,SUBSTITUTE(SUBSTITUTE(SUBSTITUTE(L3,"~","~~"),"*","~*"),"?","~?")))</x:f>
      </x:c>
      <x:c r="H3" s="2" t="str">
        <x:f>IF(COUNTA(A3:F3)=0,"",COUNTIFS('App Data'!$L$2:$L$1001,SUBSTITUTE(SUBSTITUTE(SUBSTITUTE(L3,"~","~~"),"*","~*"),"?","~?")))</x:f>
      </x:c>
      <x:c r="I3" s="13" t="str">
        <x:f>IF(OR(H3&lt;&gt;1,G3&lt;&gt;1),"",SUMIFS('App Data'!$E$2:$E$1001,'App Data'!$L$2:$L$1001,SUBSTITUTE(SUBSTITUTE(SUBSTITUTE(L3,"~","~~"),"*","~*"),"?","~?")))</x:f>
      </x:c>
      <x:c r="J3" s="13" t="str">
        <x:f>IF(OR(NOT(ISNUMBER(E3)),NOT(ISNUMBER(I3))),"",ROUND(E3-I3,2))</x:f>
      </x:c>
      <x:c r="K3" s="2" t="str">
        <x:f>IF(COUNTA(A3:F3)=0,"",IF(OR(A3="",B3="",C3="",D3="",NOT(ISNUMBER(E3))),"Missing / invalid input",IF(G3&gt;1,"Duplicate key in this source",IF(H3=0,"Missing in other source",IF(H3&gt;1,"Duplicate in other source",IF(SUMIFS('App Data'!$M$2:$M$1001,'App Data'!$L$2:$L$1001,SUBSTITUTE(SUBSTITUTE(SUBSTITUTE(L3,"~","~~"),"*","~*"),"?","~?"))&lt;&gt;1,"Other amount is invalid",IF(J3&lt;&gt;0,"Amount differs","Matched")))))))</x:f>
      </x:c>
      <x:c r="L3" t="str">
        <x:f>IF(COUNTA(A3:F3)=0,"",LEN(A3)&amp;":"&amp;A3&amp;LEN(B3)&amp;":"&amp;B3&amp;LEN(C3)&amp;":"&amp;C3&amp;LEN(D3)&amp;":"&amp;D3)</x:f>
      </x:c>
      <x:c r="M3" t="str">
        <x:f>IF(COUNTA(A3:F3)=0,"",IF(ISNUMBER(E3),1,0))</x:f>
      </x:c>
    </x:row>
    <x:row r="4">
      <x:c r="A4" s="11"/>
      <x:c r="B4" s="11"/>
      <x:c r="C4" s="11"/>
      <x:c r="D4" s="11"/>
      <x:c r="E4" s="12"/>
      <x:c r="F4" s="10"/>
      <x:c r="G4" s="2" t="str">
        <x:f>IF(COUNTA(A4:F4)=0,"",COUNTIFS('External Data'!$L$2:$L$1001,SUBSTITUTE(SUBSTITUTE(SUBSTITUTE(L4,"~","~~"),"*","~*"),"?","~?")))</x:f>
      </x:c>
      <x:c r="H4" s="2" t="str">
        <x:f>IF(COUNTA(A4:F4)=0,"",COUNTIFS('App Data'!$L$2:$L$1001,SUBSTITUTE(SUBSTITUTE(SUBSTITUTE(L4,"~","~~"),"*","~*"),"?","~?")))</x:f>
      </x:c>
      <x:c r="I4" s="13" t="str">
        <x:f>IF(OR(H4&lt;&gt;1,G4&lt;&gt;1),"",SUMIFS('App Data'!$E$2:$E$1001,'App Data'!$L$2:$L$1001,SUBSTITUTE(SUBSTITUTE(SUBSTITUTE(L4,"~","~~"),"*","~*"),"?","~?")))</x:f>
      </x:c>
      <x:c r="J4" s="13" t="str">
        <x:f>IF(OR(NOT(ISNUMBER(E4)),NOT(ISNUMBER(I4))),"",ROUND(E4-I4,2))</x:f>
      </x:c>
      <x:c r="K4" s="2" t="str">
        <x:f>IF(COUNTA(A4:F4)=0,"",IF(OR(A4="",B4="",C4="",D4="",NOT(ISNUMBER(E4))),"Missing / invalid input",IF(G4&gt;1,"Duplicate key in this source",IF(H4=0,"Missing in other source",IF(H4&gt;1,"Duplicate in other source",IF(SUMIFS('App Data'!$M$2:$M$1001,'App Data'!$L$2:$L$1001,SUBSTITUTE(SUBSTITUTE(SUBSTITUTE(L4,"~","~~"),"*","~*"),"?","~?"))&lt;&gt;1,"Other amount is invalid",IF(J4&lt;&gt;0,"Amount differs","Matched")))))))</x:f>
      </x:c>
      <x:c r="L4" t="str">
        <x:f>IF(COUNTA(A4:F4)=0,"",LEN(A4)&amp;":"&amp;A4&amp;LEN(B4)&amp;":"&amp;B4&amp;LEN(C4)&amp;":"&amp;C4&amp;LEN(D4)&amp;":"&amp;D4)</x:f>
      </x:c>
      <x:c r="M4" t="str">
        <x:f>IF(COUNTA(A4:F4)=0,"",IF(ISNUMBER(E4),1,0))</x:f>
      </x:c>
    </x:row>
    <x:row r="5">
      <x:c r="A5" s="11"/>
      <x:c r="B5" s="11"/>
      <x:c r="C5" s="11"/>
      <x:c r="D5" s="11"/>
      <x:c r="E5" s="12"/>
      <x:c r="F5" s="10"/>
      <x:c r="G5" s="2" t="str">
        <x:f>IF(COUNTA(A5:F5)=0,"",COUNTIFS('External Data'!$L$2:$L$1001,SUBSTITUTE(SUBSTITUTE(SUBSTITUTE(L5,"~","~~"),"*","~*"),"?","~?")))</x:f>
      </x:c>
      <x:c r="H5" s="2" t="str">
        <x:f>IF(COUNTA(A5:F5)=0,"",COUNTIFS('App Data'!$L$2:$L$1001,SUBSTITUTE(SUBSTITUTE(SUBSTITUTE(L5,"~","~~"),"*","~*"),"?","~?")))</x:f>
      </x:c>
      <x:c r="I5" s="13" t="str">
        <x:f>IF(OR(H5&lt;&gt;1,G5&lt;&gt;1),"",SUMIFS('App Data'!$E$2:$E$1001,'App Data'!$L$2:$L$1001,SUBSTITUTE(SUBSTITUTE(SUBSTITUTE(L5,"~","~~"),"*","~*"),"?","~?")))</x:f>
      </x:c>
      <x:c r="J5" s="13" t="str">
        <x:f>IF(OR(NOT(ISNUMBER(E5)),NOT(ISNUMBER(I5))),"",ROUND(E5-I5,2))</x:f>
      </x:c>
      <x:c r="K5" s="2" t="str">
        <x:f>IF(COUNTA(A5:F5)=0,"",IF(OR(A5="",B5="",C5="",D5="",NOT(ISNUMBER(E5))),"Missing / invalid input",IF(G5&gt;1,"Duplicate key in this source",IF(H5=0,"Missing in other source",IF(H5&gt;1,"Duplicate in other source",IF(SUMIFS('App Data'!$M$2:$M$1001,'App Data'!$L$2:$L$1001,SUBSTITUTE(SUBSTITUTE(SUBSTITUTE(L5,"~","~~"),"*","~*"),"?","~?"))&lt;&gt;1,"Other amount is invalid",IF(J5&lt;&gt;0,"Amount differs","Matched")))))))</x:f>
      </x:c>
      <x:c r="L5" t="str">
        <x:f>IF(COUNTA(A5:F5)=0,"",LEN(A5)&amp;":"&amp;A5&amp;LEN(B5)&amp;":"&amp;B5&amp;LEN(C5)&amp;":"&amp;C5&amp;LEN(D5)&amp;":"&amp;D5)</x:f>
      </x:c>
      <x:c r="M5" t="str">
        <x:f>IF(COUNTA(A5:F5)=0,"",IF(ISNUMBER(E5),1,0))</x:f>
      </x:c>
    </x:row>
    <x:row r="6">
      <x:c r="A6" s="11"/>
      <x:c r="B6" s="11"/>
      <x:c r="C6" s="11"/>
      <x:c r="D6" s="11"/>
      <x:c r="E6" s="12"/>
      <x:c r="F6" s="10"/>
      <x:c r="G6" s="2" t="str">
        <x:f>IF(COUNTA(A6:F6)=0,"",COUNTIFS('External Data'!$L$2:$L$1001,SUBSTITUTE(SUBSTITUTE(SUBSTITUTE(L6,"~","~~"),"*","~*"),"?","~?")))</x:f>
      </x:c>
      <x:c r="H6" s="2" t="str">
        <x:f>IF(COUNTA(A6:F6)=0,"",COUNTIFS('App Data'!$L$2:$L$1001,SUBSTITUTE(SUBSTITUTE(SUBSTITUTE(L6,"~","~~"),"*","~*"),"?","~?")))</x:f>
      </x:c>
      <x:c r="I6" s="13" t="str">
        <x:f>IF(OR(H6&lt;&gt;1,G6&lt;&gt;1),"",SUMIFS('App Data'!$E$2:$E$1001,'App Data'!$L$2:$L$1001,SUBSTITUTE(SUBSTITUTE(SUBSTITUTE(L6,"~","~~"),"*","~*"),"?","~?")))</x:f>
      </x:c>
      <x:c r="J6" s="13" t="str">
        <x:f>IF(OR(NOT(ISNUMBER(E6)),NOT(ISNUMBER(I6))),"",ROUND(E6-I6,2))</x:f>
      </x:c>
      <x:c r="K6" s="2" t="str">
        <x:f>IF(COUNTA(A6:F6)=0,"",IF(OR(A6="",B6="",C6="",D6="",NOT(ISNUMBER(E6))),"Missing / invalid input",IF(G6&gt;1,"Duplicate key in this source",IF(H6=0,"Missing in other source",IF(H6&gt;1,"Duplicate in other source",IF(SUMIFS('App Data'!$M$2:$M$1001,'App Data'!$L$2:$L$1001,SUBSTITUTE(SUBSTITUTE(SUBSTITUTE(L6,"~","~~"),"*","~*"),"?","~?"))&lt;&gt;1,"Other amount is invalid",IF(J6&lt;&gt;0,"Amount differs","Matched")))))))</x:f>
      </x:c>
      <x:c r="L6" t="str">
        <x:f>IF(COUNTA(A6:F6)=0,"",LEN(A6)&amp;":"&amp;A6&amp;LEN(B6)&amp;":"&amp;B6&amp;LEN(C6)&amp;":"&amp;C6&amp;LEN(D6)&amp;":"&amp;D6)</x:f>
      </x:c>
      <x:c r="M6" t="str">
        <x:f>IF(COUNTA(A6:F6)=0,"",IF(ISNUMBER(E6),1,0))</x:f>
      </x:c>
    </x:row>
    <x:row r="7">
      <x:c r="A7" s="11"/>
      <x:c r="B7" s="11"/>
      <x:c r="C7" s="11"/>
      <x:c r="D7" s="11"/>
      <x:c r="E7" s="12"/>
      <x:c r="F7" s="10"/>
      <x:c r="G7" s="2" t="str">
        <x:f>IF(COUNTA(A7:F7)=0,"",COUNTIFS('External Data'!$L$2:$L$1001,SUBSTITUTE(SUBSTITUTE(SUBSTITUTE(L7,"~","~~"),"*","~*"),"?","~?")))</x:f>
      </x:c>
      <x:c r="H7" s="2" t="str">
        <x:f>IF(COUNTA(A7:F7)=0,"",COUNTIFS('App Data'!$L$2:$L$1001,SUBSTITUTE(SUBSTITUTE(SUBSTITUTE(L7,"~","~~"),"*","~*"),"?","~?")))</x:f>
      </x:c>
      <x:c r="I7" s="13" t="str">
        <x:f>IF(OR(H7&lt;&gt;1,G7&lt;&gt;1),"",SUMIFS('App Data'!$E$2:$E$1001,'App Data'!$L$2:$L$1001,SUBSTITUTE(SUBSTITUTE(SUBSTITUTE(L7,"~","~~"),"*","~*"),"?","~?")))</x:f>
      </x:c>
      <x:c r="J7" s="13" t="str">
        <x:f>IF(OR(NOT(ISNUMBER(E7)),NOT(ISNUMBER(I7))),"",ROUND(E7-I7,2))</x:f>
      </x:c>
      <x:c r="K7" s="2" t="str">
        <x:f>IF(COUNTA(A7:F7)=0,"",IF(OR(A7="",B7="",C7="",D7="",NOT(ISNUMBER(E7))),"Missing / invalid input",IF(G7&gt;1,"Duplicate key in this source",IF(H7=0,"Missing in other source",IF(H7&gt;1,"Duplicate in other source",IF(SUMIFS('App Data'!$M$2:$M$1001,'App Data'!$L$2:$L$1001,SUBSTITUTE(SUBSTITUTE(SUBSTITUTE(L7,"~","~~"),"*","~*"),"?","~?"))&lt;&gt;1,"Other amount is invalid",IF(J7&lt;&gt;0,"Amount differs","Matched")))))))</x:f>
      </x:c>
      <x:c r="L7" t="str">
        <x:f>IF(COUNTA(A7:F7)=0,"",LEN(A7)&amp;":"&amp;A7&amp;LEN(B7)&amp;":"&amp;B7&amp;LEN(C7)&amp;":"&amp;C7&amp;LEN(D7)&amp;":"&amp;D7)</x:f>
      </x:c>
      <x:c r="M7" t="str">
        <x:f>IF(COUNTA(A7:F7)=0,"",IF(ISNUMBER(E7),1,0))</x:f>
      </x:c>
    </x:row>
    <x:row r="8">
      <x:c r="A8" s="11"/>
      <x:c r="B8" s="11"/>
      <x:c r="C8" s="11"/>
      <x:c r="D8" s="11"/>
      <x:c r="E8" s="12"/>
      <x:c r="F8" s="10"/>
      <x:c r="G8" s="2" t="str">
        <x:f>IF(COUNTA(A8:F8)=0,"",COUNTIFS('External Data'!$L$2:$L$1001,SUBSTITUTE(SUBSTITUTE(SUBSTITUTE(L8,"~","~~"),"*","~*"),"?","~?")))</x:f>
      </x:c>
      <x:c r="H8" s="2" t="str">
        <x:f>IF(COUNTA(A8:F8)=0,"",COUNTIFS('App Data'!$L$2:$L$1001,SUBSTITUTE(SUBSTITUTE(SUBSTITUTE(L8,"~","~~"),"*","~*"),"?","~?")))</x:f>
      </x:c>
      <x:c r="I8" s="13" t="str">
        <x:f>IF(OR(H8&lt;&gt;1,G8&lt;&gt;1),"",SUMIFS('App Data'!$E$2:$E$1001,'App Data'!$L$2:$L$1001,SUBSTITUTE(SUBSTITUTE(SUBSTITUTE(L8,"~","~~"),"*","~*"),"?","~?")))</x:f>
      </x:c>
      <x:c r="J8" s="13" t="str">
        <x:f>IF(OR(NOT(ISNUMBER(E8)),NOT(ISNUMBER(I8))),"",ROUND(E8-I8,2))</x:f>
      </x:c>
      <x:c r="K8" s="2" t="str">
        <x:f>IF(COUNTA(A8:F8)=0,"",IF(OR(A8="",B8="",C8="",D8="",NOT(ISNUMBER(E8))),"Missing / invalid input",IF(G8&gt;1,"Duplicate key in this source",IF(H8=0,"Missing in other source",IF(H8&gt;1,"Duplicate in other source",IF(SUMIFS('App Data'!$M$2:$M$1001,'App Data'!$L$2:$L$1001,SUBSTITUTE(SUBSTITUTE(SUBSTITUTE(L8,"~","~~"),"*","~*"),"?","~?"))&lt;&gt;1,"Other amount is invalid",IF(J8&lt;&gt;0,"Amount differs","Matched")))))))</x:f>
      </x:c>
      <x:c r="L8" t="str">
        <x:f>IF(COUNTA(A8:F8)=0,"",LEN(A8)&amp;":"&amp;A8&amp;LEN(B8)&amp;":"&amp;B8&amp;LEN(C8)&amp;":"&amp;C8&amp;LEN(D8)&amp;":"&amp;D8)</x:f>
      </x:c>
      <x:c r="M8" t="str">
        <x:f>IF(COUNTA(A8:F8)=0,"",IF(ISNUMBER(E8),1,0))</x:f>
      </x:c>
    </x:row>
    <x:row r="9">
      <x:c r="A9" s="11"/>
      <x:c r="B9" s="11"/>
      <x:c r="C9" s="11"/>
      <x:c r="D9" s="11"/>
      <x:c r="E9" s="12"/>
      <x:c r="F9" s="10"/>
      <x:c r="G9" s="2" t="str">
        <x:f>IF(COUNTA(A9:F9)=0,"",COUNTIFS('External Data'!$L$2:$L$1001,SUBSTITUTE(SUBSTITUTE(SUBSTITUTE(L9,"~","~~"),"*","~*"),"?","~?")))</x:f>
      </x:c>
      <x:c r="H9" s="2" t="str">
        <x:f>IF(COUNTA(A9:F9)=0,"",COUNTIFS('App Data'!$L$2:$L$1001,SUBSTITUTE(SUBSTITUTE(SUBSTITUTE(L9,"~","~~"),"*","~*"),"?","~?")))</x:f>
      </x:c>
      <x:c r="I9" s="13" t="str">
        <x:f>IF(OR(H9&lt;&gt;1,G9&lt;&gt;1),"",SUMIFS('App Data'!$E$2:$E$1001,'App Data'!$L$2:$L$1001,SUBSTITUTE(SUBSTITUTE(SUBSTITUTE(L9,"~","~~"),"*","~*"),"?","~?")))</x:f>
      </x:c>
      <x:c r="J9" s="13" t="str">
        <x:f>IF(OR(NOT(ISNUMBER(E9)),NOT(ISNUMBER(I9))),"",ROUND(E9-I9,2))</x:f>
      </x:c>
      <x:c r="K9" s="2" t="str">
        <x:f>IF(COUNTA(A9:F9)=0,"",IF(OR(A9="",B9="",C9="",D9="",NOT(ISNUMBER(E9))),"Missing / invalid input",IF(G9&gt;1,"Duplicate key in this source",IF(H9=0,"Missing in other source",IF(H9&gt;1,"Duplicate in other source",IF(SUMIFS('App Data'!$M$2:$M$1001,'App Data'!$L$2:$L$1001,SUBSTITUTE(SUBSTITUTE(SUBSTITUTE(L9,"~","~~"),"*","~*"),"?","~?"))&lt;&gt;1,"Other amount is invalid",IF(J9&lt;&gt;0,"Amount differs","Matched")))))))</x:f>
      </x:c>
      <x:c r="L9" t="str">
        <x:f>IF(COUNTA(A9:F9)=0,"",LEN(A9)&amp;":"&amp;A9&amp;LEN(B9)&amp;":"&amp;B9&amp;LEN(C9)&amp;":"&amp;C9&amp;LEN(D9)&amp;":"&amp;D9)</x:f>
      </x:c>
      <x:c r="M9" t="str">
        <x:f>IF(COUNTA(A9:F9)=0,"",IF(ISNUMBER(E9),1,0))</x:f>
      </x:c>
    </x:row>
    <x:row r="10">
      <x:c r="A10" s="11"/>
      <x:c r="B10" s="11"/>
      <x:c r="C10" s="11"/>
      <x:c r="D10" s="11"/>
      <x:c r="E10" s="12"/>
      <x:c r="F10" s="10"/>
      <x:c r="G10" s="2" t="str">
        <x:f>IF(COUNTA(A10:F10)=0,"",COUNTIFS('External Data'!$L$2:$L$1001,SUBSTITUTE(SUBSTITUTE(SUBSTITUTE(L10,"~","~~"),"*","~*"),"?","~?")))</x:f>
      </x:c>
      <x:c r="H10" s="2" t="str">
        <x:f>IF(COUNTA(A10:F10)=0,"",COUNTIFS('App Data'!$L$2:$L$1001,SUBSTITUTE(SUBSTITUTE(SUBSTITUTE(L10,"~","~~"),"*","~*"),"?","~?")))</x:f>
      </x:c>
      <x:c r="I10" s="13" t="str">
        <x:f>IF(OR(H10&lt;&gt;1,G10&lt;&gt;1),"",SUMIFS('App Data'!$E$2:$E$1001,'App Data'!$L$2:$L$1001,SUBSTITUTE(SUBSTITUTE(SUBSTITUTE(L10,"~","~~"),"*","~*"),"?","~?")))</x:f>
      </x:c>
      <x:c r="J10" s="13" t="str">
        <x:f>IF(OR(NOT(ISNUMBER(E10)),NOT(ISNUMBER(I10))),"",ROUND(E10-I10,2))</x:f>
      </x:c>
      <x:c r="K10" s="2" t="str">
        <x:f>IF(COUNTA(A10:F10)=0,"",IF(OR(A10="",B10="",C10="",D10="",NOT(ISNUMBER(E10))),"Missing / invalid input",IF(G10&gt;1,"Duplicate key in this source",IF(H10=0,"Missing in other source",IF(H10&gt;1,"Duplicate in other source",IF(SUMIFS('App Data'!$M$2:$M$1001,'App Data'!$L$2:$L$1001,SUBSTITUTE(SUBSTITUTE(SUBSTITUTE(L10,"~","~~"),"*","~*"),"?","~?"))&lt;&gt;1,"Other amount is invalid",IF(J10&lt;&gt;0,"Amount differs","Matched")))))))</x:f>
      </x:c>
      <x:c r="L10" t="str">
        <x:f>IF(COUNTA(A10:F10)=0,"",LEN(A10)&amp;":"&amp;A10&amp;LEN(B10)&amp;":"&amp;B10&amp;LEN(C10)&amp;":"&amp;C10&amp;LEN(D10)&amp;":"&amp;D10)</x:f>
      </x:c>
      <x:c r="M10" t="str">
        <x:f>IF(COUNTA(A10:F10)=0,"",IF(ISNUMBER(E10),1,0))</x:f>
      </x:c>
    </x:row>
    <x:row r="11">
      <x:c r="A11" s="11"/>
      <x:c r="B11" s="11"/>
      <x:c r="C11" s="11"/>
      <x:c r="D11" s="11"/>
      <x:c r="E11" s="12"/>
      <x:c r="F11" s="10"/>
      <x:c r="G11" s="2" t="str">
        <x:f>IF(COUNTA(A11:F11)=0,"",COUNTIFS('External Data'!$L$2:$L$1001,SUBSTITUTE(SUBSTITUTE(SUBSTITUTE(L11,"~","~~"),"*","~*"),"?","~?")))</x:f>
      </x:c>
      <x:c r="H11" s="2" t="str">
        <x:f>IF(COUNTA(A11:F11)=0,"",COUNTIFS('App Data'!$L$2:$L$1001,SUBSTITUTE(SUBSTITUTE(SUBSTITUTE(L11,"~","~~"),"*","~*"),"?","~?")))</x:f>
      </x:c>
      <x:c r="I11" s="13" t="str">
        <x:f>IF(OR(H11&lt;&gt;1,G11&lt;&gt;1),"",SUMIFS('App Data'!$E$2:$E$1001,'App Data'!$L$2:$L$1001,SUBSTITUTE(SUBSTITUTE(SUBSTITUTE(L11,"~","~~"),"*","~*"),"?","~?")))</x:f>
      </x:c>
      <x:c r="J11" s="13" t="str">
        <x:f>IF(OR(NOT(ISNUMBER(E11)),NOT(ISNUMBER(I11))),"",ROUND(E11-I11,2))</x:f>
      </x:c>
      <x:c r="K11" s="2" t="str">
        <x:f>IF(COUNTA(A11:F11)=0,"",IF(OR(A11="",B11="",C11="",D11="",NOT(ISNUMBER(E11))),"Missing / invalid input",IF(G11&gt;1,"Duplicate key in this source",IF(H11=0,"Missing in other source",IF(H11&gt;1,"Duplicate in other source",IF(SUMIFS('App Data'!$M$2:$M$1001,'App Data'!$L$2:$L$1001,SUBSTITUTE(SUBSTITUTE(SUBSTITUTE(L11,"~","~~"),"*","~*"),"?","~?"))&lt;&gt;1,"Other amount is invalid",IF(J11&lt;&gt;0,"Amount differs","Matched")))))))</x:f>
      </x:c>
      <x:c r="L11" t="str">
        <x:f>IF(COUNTA(A11:F11)=0,"",LEN(A11)&amp;":"&amp;A11&amp;LEN(B11)&amp;":"&amp;B11&amp;LEN(C11)&amp;":"&amp;C11&amp;LEN(D11)&amp;":"&amp;D11)</x:f>
      </x:c>
      <x:c r="M11" t="str">
        <x:f>IF(COUNTA(A11:F11)=0,"",IF(ISNUMBER(E11),1,0))</x:f>
      </x:c>
    </x:row>
    <x:row r="12">
      <x:c r="A12" s="11"/>
      <x:c r="B12" s="11"/>
      <x:c r="C12" s="11"/>
      <x:c r="D12" s="11"/>
      <x:c r="E12" s="12"/>
      <x:c r="F12" s="10"/>
      <x:c r="G12" s="2" t="str">
        <x:f>IF(COUNTA(A12:F12)=0,"",COUNTIFS('External Data'!$L$2:$L$1001,SUBSTITUTE(SUBSTITUTE(SUBSTITUTE(L12,"~","~~"),"*","~*"),"?","~?")))</x:f>
      </x:c>
      <x:c r="H12" s="2" t="str">
        <x:f>IF(COUNTA(A12:F12)=0,"",COUNTIFS('App Data'!$L$2:$L$1001,SUBSTITUTE(SUBSTITUTE(SUBSTITUTE(L12,"~","~~"),"*","~*"),"?","~?")))</x:f>
      </x:c>
      <x:c r="I12" s="13" t="str">
        <x:f>IF(OR(H12&lt;&gt;1,G12&lt;&gt;1),"",SUMIFS('App Data'!$E$2:$E$1001,'App Data'!$L$2:$L$1001,SUBSTITUTE(SUBSTITUTE(SUBSTITUTE(L12,"~","~~"),"*","~*"),"?","~?")))</x:f>
      </x:c>
      <x:c r="J12" s="13" t="str">
        <x:f>IF(OR(NOT(ISNUMBER(E12)),NOT(ISNUMBER(I12))),"",ROUND(E12-I12,2))</x:f>
      </x:c>
      <x:c r="K12" s="2" t="str">
        <x:f>IF(COUNTA(A12:F12)=0,"",IF(OR(A12="",B12="",C12="",D12="",NOT(ISNUMBER(E12))),"Missing / invalid input",IF(G12&gt;1,"Duplicate key in this source",IF(H12=0,"Missing in other source",IF(H12&gt;1,"Duplicate in other source",IF(SUMIFS('App Data'!$M$2:$M$1001,'App Data'!$L$2:$L$1001,SUBSTITUTE(SUBSTITUTE(SUBSTITUTE(L12,"~","~~"),"*","~*"),"?","~?"))&lt;&gt;1,"Other amount is invalid",IF(J12&lt;&gt;0,"Amount differs","Matched")))))))</x:f>
      </x:c>
      <x:c r="L12" t="str">
        <x:f>IF(COUNTA(A12:F12)=0,"",LEN(A12)&amp;":"&amp;A12&amp;LEN(B12)&amp;":"&amp;B12&amp;LEN(C12)&amp;":"&amp;C12&amp;LEN(D12)&amp;":"&amp;D12)</x:f>
      </x:c>
      <x:c r="M12" t="str">
        <x:f>IF(COUNTA(A12:F12)=0,"",IF(ISNUMBER(E12),1,0))</x:f>
      </x:c>
    </x:row>
    <x:row r="13">
      <x:c r="A13" s="11"/>
      <x:c r="B13" s="11"/>
      <x:c r="C13" s="11"/>
      <x:c r="D13" s="11"/>
      <x:c r="E13" s="12"/>
      <x:c r="F13" s="10"/>
      <x:c r="G13" s="2" t="str">
        <x:f>IF(COUNTA(A13:F13)=0,"",COUNTIFS('External Data'!$L$2:$L$1001,SUBSTITUTE(SUBSTITUTE(SUBSTITUTE(L13,"~","~~"),"*","~*"),"?","~?")))</x:f>
      </x:c>
      <x:c r="H13" s="2" t="str">
        <x:f>IF(COUNTA(A13:F13)=0,"",COUNTIFS('App Data'!$L$2:$L$1001,SUBSTITUTE(SUBSTITUTE(SUBSTITUTE(L13,"~","~~"),"*","~*"),"?","~?")))</x:f>
      </x:c>
      <x:c r="I13" s="13" t="str">
        <x:f>IF(OR(H13&lt;&gt;1,G13&lt;&gt;1),"",SUMIFS('App Data'!$E$2:$E$1001,'App Data'!$L$2:$L$1001,SUBSTITUTE(SUBSTITUTE(SUBSTITUTE(L13,"~","~~"),"*","~*"),"?","~?")))</x:f>
      </x:c>
      <x:c r="J13" s="13" t="str">
        <x:f>IF(OR(NOT(ISNUMBER(E13)),NOT(ISNUMBER(I13))),"",ROUND(E13-I13,2))</x:f>
      </x:c>
      <x:c r="K13" s="2" t="str">
        <x:f>IF(COUNTA(A13:F13)=0,"",IF(OR(A13="",B13="",C13="",D13="",NOT(ISNUMBER(E13))),"Missing / invalid input",IF(G13&gt;1,"Duplicate key in this source",IF(H13=0,"Missing in other source",IF(H13&gt;1,"Duplicate in other source",IF(SUMIFS('App Data'!$M$2:$M$1001,'App Data'!$L$2:$L$1001,SUBSTITUTE(SUBSTITUTE(SUBSTITUTE(L13,"~","~~"),"*","~*"),"?","~?"))&lt;&gt;1,"Other amount is invalid",IF(J13&lt;&gt;0,"Amount differs","Matched")))))))</x:f>
      </x:c>
      <x:c r="L13" t="str">
        <x:f>IF(COUNTA(A13:F13)=0,"",LEN(A13)&amp;":"&amp;A13&amp;LEN(B13)&amp;":"&amp;B13&amp;LEN(C13)&amp;":"&amp;C13&amp;LEN(D13)&amp;":"&amp;D13)</x:f>
      </x:c>
      <x:c r="M13" t="str">
        <x:f>IF(COUNTA(A13:F13)=0,"",IF(ISNUMBER(E13),1,0))</x:f>
      </x:c>
    </x:row>
    <x:row r="14">
      <x:c r="A14" s="11"/>
      <x:c r="B14" s="11"/>
      <x:c r="C14" s="11"/>
      <x:c r="D14" s="11"/>
      <x:c r="E14" s="12"/>
      <x:c r="F14" s="10"/>
      <x:c r="G14" s="2" t="str">
        <x:f>IF(COUNTA(A14:F14)=0,"",COUNTIFS('External Data'!$L$2:$L$1001,SUBSTITUTE(SUBSTITUTE(SUBSTITUTE(L14,"~","~~"),"*","~*"),"?","~?")))</x:f>
      </x:c>
      <x:c r="H14" s="2" t="str">
        <x:f>IF(COUNTA(A14:F14)=0,"",COUNTIFS('App Data'!$L$2:$L$1001,SUBSTITUTE(SUBSTITUTE(SUBSTITUTE(L14,"~","~~"),"*","~*"),"?","~?")))</x:f>
      </x:c>
      <x:c r="I14" s="13" t="str">
        <x:f>IF(OR(H14&lt;&gt;1,G14&lt;&gt;1),"",SUMIFS('App Data'!$E$2:$E$1001,'App Data'!$L$2:$L$1001,SUBSTITUTE(SUBSTITUTE(SUBSTITUTE(L14,"~","~~"),"*","~*"),"?","~?")))</x:f>
      </x:c>
      <x:c r="J14" s="13" t="str">
        <x:f>IF(OR(NOT(ISNUMBER(E14)),NOT(ISNUMBER(I14))),"",ROUND(E14-I14,2))</x:f>
      </x:c>
      <x:c r="K14" s="2" t="str">
        <x:f>IF(COUNTA(A14:F14)=0,"",IF(OR(A14="",B14="",C14="",D14="",NOT(ISNUMBER(E14))),"Missing / invalid input",IF(G14&gt;1,"Duplicate key in this source",IF(H14=0,"Missing in other source",IF(H14&gt;1,"Duplicate in other source",IF(SUMIFS('App Data'!$M$2:$M$1001,'App Data'!$L$2:$L$1001,SUBSTITUTE(SUBSTITUTE(SUBSTITUTE(L14,"~","~~"),"*","~*"),"?","~?"))&lt;&gt;1,"Other amount is invalid",IF(J14&lt;&gt;0,"Amount differs","Matched")))))))</x:f>
      </x:c>
      <x:c r="L14" t="str">
        <x:f>IF(COUNTA(A14:F14)=0,"",LEN(A14)&amp;":"&amp;A14&amp;LEN(B14)&amp;":"&amp;B14&amp;LEN(C14)&amp;":"&amp;C14&amp;LEN(D14)&amp;":"&amp;D14)</x:f>
      </x:c>
      <x:c r="M14" t="str">
        <x:f>IF(COUNTA(A14:F14)=0,"",IF(ISNUMBER(E14),1,0))</x:f>
      </x:c>
    </x:row>
    <x:row r="15">
      <x:c r="A15" s="11"/>
      <x:c r="B15" s="11"/>
      <x:c r="C15" s="11"/>
      <x:c r="D15" s="11"/>
      <x:c r="E15" s="12"/>
      <x:c r="F15" s="10"/>
      <x:c r="G15" s="2" t="str">
        <x:f>IF(COUNTA(A15:F15)=0,"",COUNTIFS('External Data'!$L$2:$L$1001,SUBSTITUTE(SUBSTITUTE(SUBSTITUTE(L15,"~","~~"),"*","~*"),"?","~?")))</x:f>
      </x:c>
      <x:c r="H15" s="2" t="str">
        <x:f>IF(COUNTA(A15:F15)=0,"",COUNTIFS('App Data'!$L$2:$L$1001,SUBSTITUTE(SUBSTITUTE(SUBSTITUTE(L15,"~","~~"),"*","~*"),"?","~?")))</x:f>
      </x:c>
      <x:c r="I15" s="13" t="str">
        <x:f>IF(OR(H15&lt;&gt;1,G15&lt;&gt;1),"",SUMIFS('App Data'!$E$2:$E$1001,'App Data'!$L$2:$L$1001,SUBSTITUTE(SUBSTITUTE(SUBSTITUTE(L15,"~","~~"),"*","~*"),"?","~?")))</x:f>
      </x:c>
      <x:c r="J15" s="13" t="str">
        <x:f>IF(OR(NOT(ISNUMBER(E15)),NOT(ISNUMBER(I15))),"",ROUND(E15-I15,2))</x:f>
      </x:c>
      <x:c r="K15" s="2" t="str">
        <x:f>IF(COUNTA(A15:F15)=0,"",IF(OR(A15="",B15="",C15="",D15="",NOT(ISNUMBER(E15))),"Missing / invalid input",IF(G15&gt;1,"Duplicate key in this source",IF(H15=0,"Missing in other source",IF(H15&gt;1,"Duplicate in other source",IF(SUMIFS('App Data'!$M$2:$M$1001,'App Data'!$L$2:$L$1001,SUBSTITUTE(SUBSTITUTE(SUBSTITUTE(L15,"~","~~"),"*","~*"),"?","~?"))&lt;&gt;1,"Other amount is invalid",IF(J15&lt;&gt;0,"Amount differs","Matched")))))))</x:f>
      </x:c>
      <x:c r="L15" t="str">
        <x:f>IF(COUNTA(A15:F15)=0,"",LEN(A15)&amp;":"&amp;A15&amp;LEN(B15)&amp;":"&amp;B15&amp;LEN(C15)&amp;":"&amp;C15&amp;LEN(D15)&amp;":"&amp;D15)</x:f>
      </x:c>
      <x:c r="M15" t="str">
        <x:f>IF(COUNTA(A15:F15)=0,"",IF(ISNUMBER(E15),1,0))</x:f>
      </x:c>
    </x:row>
    <x:row r="16">
      <x:c r="A16" s="11"/>
      <x:c r="B16" s="11"/>
      <x:c r="C16" s="11"/>
      <x:c r="D16" s="11"/>
      <x:c r="E16" s="12"/>
      <x:c r="F16" s="10"/>
      <x:c r="G16" s="2" t="str">
        <x:f>IF(COUNTA(A16:F16)=0,"",COUNTIFS('External Data'!$L$2:$L$1001,SUBSTITUTE(SUBSTITUTE(SUBSTITUTE(L16,"~","~~"),"*","~*"),"?","~?")))</x:f>
      </x:c>
      <x:c r="H16" s="2" t="str">
        <x:f>IF(COUNTA(A16:F16)=0,"",COUNTIFS('App Data'!$L$2:$L$1001,SUBSTITUTE(SUBSTITUTE(SUBSTITUTE(L16,"~","~~"),"*","~*"),"?","~?")))</x:f>
      </x:c>
      <x:c r="I16" s="13" t="str">
        <x:f>IF(OR(H16&lt;&gt;1,G16&lt;&gt;1),"",SUMIFS('App Data'!$E$2:$E$1001,'App Data'!$L$2:$L$1001,SUBSTITUTE(SUBSTITUTE(SUBSTITUTE(L16,"~","~~"),"*","~*"),"?","~?")))</x:f>
      </x:c>
      <x:c r="J16" s="13" t="str">
        <x:f>IF(OR(NOT(ISNUMBER(E16)),NOT(ISNUMBER(I16))),"",ROUND(E16-I16,2))</x:f>
      </x:c>
      <x:c r="K16" s="2" t="str">
        <x:f>IF(COUNTA(A16:F16)=0,"",IF(OR(A16="",B16="",C16="",D16="",NOT(ISNUMBER(E16))),"Missing / invalid input",IF(G16&gt;1,"Duplicate key in this source",IF(H16=0,"Missing in other source",IF(H16&gt;1,"Duplicate in other source",IF(SUMIFS('App Data'!$M$2:$M$1001,'App Data'!$L$2:$L$1001,SUBSTITUTE(SUBSTITUTE(SUBSTITUTE(L16,"~","~~"),"*","~*"),"?","~?"))&lt;&gt;1,"Other amount is invalid",IF(J16&lt;&gt;0,"Amount differs","Matched")))))))</x:f>
      </x:c>
      <x:c r="L16" t="str">
        <x:f>IF(COUNTA(A16:F16)=0,"",LEN(A16)&amp;":"&amp;A16&amp;LEN(B16)&amp;":"&amp;B16&amp;LEN(C16)&amp;":"&amp;C16&amp;LEN(D16)&amp;":"&amp;D16)</x:f>
      </x:c>
      <x:c r="M16" t="str">
        <x:f>IF(COUNTA(A16:F16)=0,"",IF(ISNUMBER(E16),1,0))</x:f>
      </x:c>
    </x:row>
    <x:row r="17">
      <x:c r="A17" s="11"/>
      <x:c r="B17" s="11"/>
      <x:c r="C17" s="11"/>
      <x:c r="D17" s="11"/>
      <x:c r="E17" s="12"/>
      <x:c r="F17" s="10"/>
      <x:c r="G17" s="2" t="str">
        <x:f>IF(COUNTA(A17:F17)=0,"",COUNTIFS('External Data'!$L$2:$L$1001,SUBSTITUTE(SUBSTITUTE(SUBSTITUTE(L17,"~","~~"),"*","~*"),"?","~?")))</x:f>
      </x:c>
      <x:c r="H17" s="2" t="str">
        <x:f>IF(COUNTA(A17:F17)=0,"",COUNTIFS('App Data'!$L$2:$L$1001,SUBSTITUTE(SUBSTITUTE(SUBSTITUTE(L17,"~","~~"),"*","~*"),"?","~?")))</x:f>
      </x:c>
      <x:c r="I17" s="13" t="str">
        <x:f>IF(OR(H17&lt;&gt;1,G17&lt;&gt;1),"",SUMIFS('App Data'!$E$2:$E$1001,'App Data'!$L$2:$L$1001,SUBSTITUTE(SUBSTITUTE(SUBSTITUTE(L17,"~","~~"),"*","~*"),"?","~?")))</x:f>
      </x:c>
      <x:c r="J17" s="13" t="str">
        <x:f>IF(OR(NOT(ISNUMBER(E17)),NOT(ISNUMBER(I17))),"",ROUND(E17-I17,2))</x:f>
      </x:c>
      <x:c r="K17" s="2" t="str">
        <x:f>IF(COUNTA(A17:F17)=0,"",IF(OR(A17="",B17="",C17="",D17="",NOT(ISNUMBER(E17))),"Missing / invalid input",IF(G17&gt;1,"Duplicate key in this source",IF(H17=0,"Missing in other source",IF(H17&gt;1,"Duplicate in other source",IF(SUMIFS('App Data'!$M$2:$M$1001,'App Data'!$L$2:$L$1001,SUBSTITUTE(SUBSTITUTE(SUBSTITUTE(L17,"~","~~"),"*","~*"),"?","~?"))&lt;&gt;1,"Other amount is invalid",IF(J17&lt;&gt;0,"Amount differs","Matched")))))))</x:f>
      </x:c>
      <x:c r="L17" t="str">
        <x:f>IF(COUNTA(A17:F17)=0,"",LEN(A17)&amp;":"&amp;A17&amp;LEN(B17)&amp;":"&amp;B17&amp;LEN(C17)&amp;":"&amp;C17&amp;LEN(D17)&amp;":"&amp;D17)</x:f>
      </x:c>
      <x:c r="M17" t="str">
        <x:f>IF(COUNTA(A17:F17)=0,"",IF(ISNUMBER(E17),1,0))</x:f>
      </x:c>
    </x:row>
    <x:row r="18">
      <x:c r="A18" s="11"/>
      <x:c r="B18" s="11"/>
      <x:c r="C18" s="11"/>
      <x:c r="D18" s="11"/>
      <x:c r="E18" s="12"/>
      <x:c r="F18" s="10"/>
      <x:c r="G18" s="2" t="str">
        <x:f>IF(COUNTA(A18:F18)=0,"",COUNTIFS('External Data'!$L$2:$L$1001,SUBSTITUTE(SUBSTITUTE(SUBSTITUTE(L18,"~","~~"),"*","~*"),"?","~?")))</x:f>
      </x:c>
      <x:c r="H18" s="2" t="str">
        <x:f>IF(COUNTA(A18:F18)=0,"",COUNTIFS('App Data'!$L$2:$L$1001,SUBSTITUTE(SUBSTITUTE(SUBSTITUTE(L18,"~","~~"),"*","~*"),"?","~?")))</x:f>
      </x:c>
      <x:c r="I18" s="13" t="str">
        <x:f>IF(OR(H18&lt;&gt;1,G18&lt;&gt;1),"",SUMIFS('App Data'!$E$2:$E$1001,'App Data'!$L$2:$L$1001,SUBSTITUTE(SUBSTITUTE(SUBSTITUTE(L18,"~","~~"),"*","~*"),"?","~?")))</x:f>
      </x:c>
      <x:c r="J18" s="13" t="str">
        <x:f>IF(OR(NOT(ISNUMBER(E18)),NOT(ISNUMBER(I18))),"",ROUND(E18-I18,2))</x:f>
      </x:c>
      <x:c r="K18" s="2" t="str">
        <x:f>IF(COUNTA(A18:F18)=0,"",IF(OR(A18="",B18="",C18="",D18="",NOT(ISNUMBER(E18))),"Missing / invalid input",IF(G18&gt;1,"Duplicate key in this source",IF(H18=0,"Missing in other source",IF(H18&gt;1,"Duplicate in other source",IF(SUMIFS('App Data'!$M$2:$M$1001,'App Data'!$L$2:$L$1001,SUBSTITUTE(SUBSTITUTE(SUBSTITUTE(L18,"~","~~"),"*","~*"),"?","~?"))&lt;&gt;1,"Other amount is invalid",IF(J18&lt;&gt;0,"Amount differs","Matched")))))))</x:f>
      </x:c>
      <x:c r="L18" t="str">
        <x:f>IF(COUNTA(A18:F18)=0,"",LEN(A18)&amp;":"&amp;A18&amp;LEN(B18)&amp;":"&amp;B18&amp;LEN(C18)&amp;":"&amp;C18&amp;LEN(D18)&amp;":"&amp;D18)</x:f>
      </x:c>
      <x:c r="M18" t="str">
        <x:f>IF(COUNTA(A18:F18)=0,"",IF(ISNUMBER(E18),1,0))</x:f>
      </x:c>
    </x:row>
    <x:row r="19">
      <x:c r="A19" s="11"/>
      <x:c r="B19" s="11"/>
      <x:c r="C19" s="11"/>
      <x:c r="D19" s="11"/>
      <x:c r="E19" s="12"/>
      <x:c r="F19" s="10"/>
      <x:c r="G19" s="2" t="str">
        <x:f>IF(COUNTA(A19:F19)=0,"",COUNTIFS('External Data'!$L$2:$L$1001,SUBSTITUTE(SUBSTITUTE(SUBSTITUTE(L19,"~","~~"),"*","~*"),"?","~?")))</x:f>
      </x:c>
      <x:c r="H19" s="2" t="str">
        <x:f>IF(COUNTA(A19:F19)=0,"",COUNTIFS('App Data'!$L$2:$L$1001,SUBSTITUTE(SUBSTITUTE(SUBSTITUTE(L19,"~","~~"),"*","~*"),"?","~?")))</x:f>
      </x:c>
      <x:c r="I19" s="13" t="str">
        <x:f>IF(OR(H19&lt;&gt;1,G19&lt;&gt;1),"",SUMIFS('App Data'!$E$2:$E$1001,'App Data'!$L$2:$L$1001,SUBSTITUTE(SUBSTITUTE(SUBSTITUTE(L19,"~","~~"),"*","~*"),"?","~?")))</x:f>
      </x:c>
      <x:c r="J19" s="13" t="str">
        <x:f>IF(OR(NOT(ISNUMBER(E19)),NOT(ISNUMBER(I19))),"",ROUND(E19-I19,2))</x:f>
      </x:c>
      <x:c r="K19" s="2" t="str">
        <x:f>IF(COUNTA(A19:F19)=0,"",IF(OR(A19="",B19="",C19="",D19="",NOT(ISNUMBER(E19))),"Missing / invalid input",IF(G19&gt;1,"Duplicate key in this source",IF(H19=0,"Missing in other source",IF(H19&gt;1,"Duplicate in other source",IF(SUMIFS('App Data'!$M$2:$M$1001,'App Data'!$L$2:$L$1001,SUBSTITUTE(SUBSTITUTE(SUBSTITUTE(L19,"~","~~"),"*","~*"),"?","~?"))&lt;&gt;1,"Other amount is invalid",IF(J19&lt;&gt;0,"Amount differs","Matched")))))))</x:f>
      </x:c>
      <x:c r="L19" t="str">
        <x:f>IF(COUNTA(A19:F19)=0,"",LEN(A19)&amp;":"&amp;A19&amp;LEN(B19)&amp;":"&amp;B19&amp;LEN(C19)&amp;":"&amp;C19&amp;LEN(D19)&amp;":"&amp;D19)</x:f>
      </x:c>
      <x:c r="M19" t="str">
        <x:f>IF(COUNTA(A19:F19)=0,"",IF(ISNUMBER(E19),1,0))</x:f>
      </x:c>
    </x:row>
    <x:row r="20">
      <x:c r="A20" s="11"/>
      <x:c r="B20" s="11"/>
      <x:c r="C20" s="11"/>
      <x:c r="D20" s="11"/>
      <x:c r="E20" s="12"/>
      <x:c r="F20" s="10"/>
      <x:c r="G20" s="2" t="str">
        <x:f>IF(COUNTA(A20:F20)=0,"",COUNTIFS('External Data'!$L$2:$L$1001,SUBSTITUTE(SUBSTITUTE(SUBSTITUTE(L20,"~","~~"),"*","~*"),"?","~?")))</x:f>
      </x:c>
      <x:c r="H20" s="2" t="str">
        <x:f>IF(COUNTA(A20:F20)=0,"",COUNTIFS('App Data'!$L$2:$L$1001,SUBSTITUTE(SUBSTITUTE(SUBSTITUTE(L20,"~","~~"),"*","~*"),"?","~?")))</x:f>
      </x:c>
      <x:c r="I20" s="13" t="str">
        <x:f>IF(OR(H20&lt;&gt;1,G20&lt;&gt;1),"",SUMIFS('App Data'!$E$2:$E$1001,'App Data'!$L$2:$L$1001,SUBSTITUTE(SUBSTITUTE(SUBSTITUTE(L20,"~","~~"),"*","~*"),"?","~?")))</x:f>
      </x:c>
      <x:c r="J20" s="13" t="str">
        <x:f>IF(OR(NOT(ISNUMBER(E20)),NOT(ISNUMBER(I20))),"",ROUND(E20-I20,2))</x:f>
      </x:c>
      <x:c r="K20" s="2" t="str">
        <x:f>IF(COUNTA(A20:F20)=0,"",IF(OR(A20="",B20="",C20="",D20="",NOT(ISNUMBER(E20))),"Missing / invalid input",IF(G20&gt;1,"Duplicate key in this source",IF(H20=0,"Missing in other source",IF(H20&gt;1,"Duplicate in other source",IF(SUMIFS('App Data'!$M$2:$M$1001,'App Data'!$L$2:$L$1001,SUBSTITUTE(SUBSTITUTE(SUBSTITUTE(L20,"~","~~"),"*","~*"),"?","~?"))&lt;&gt;1,"Other amount is invalid",IF(J20&lt;&gt;0,"Amount differs","Matched")))))))</x:f>
      </x:c>
      <x:c r="L20" t="str">
        <x:f>IF(COUNTA(A20:F20)=0,"",LEN(A20)&amp;":"&amp;A20&amp;LEN(B20)&amp;":"&amp;B20&amp;LEN(C20)&amp;":"&amp;C20&amp;LEN(D20)&amp;":"&amp;D20)</x:f>
      </x:c>
      <x:c r="M20" t="str">
        <x:f>IF(COUNTA(A20:F20)=0,"",IF(ISNUMBER(E20),1,0))</x:f>
      </x:c>
    </x:row>
    <x:row r="21">
      <x:c r="A21" s="11"/>
      <x:c r="B21" s="11"/>
      <x:c r="C21" s="11"/>
      <x:c r="D21" s="11"/>
      <x:c r="E21" s="12"/>
      <x:c r="F21" s="10"/>
      <x:c r="G21" s="2" t="str">
        <x:f>IF(COUNTA(A21:F21)=0,"",COUNTIFS('External Data'!$L$2:$L$1001,SUBSTITUTE(SUBSTITUTE(SUBSTITUTE(L21,"~","~~"),"*","~*"),"?","~?")))</x:f>
      </x:c>
      <x:c r="H21" s="2" t="str">
        <x:f>IF(COUNTA(A21:F21)=0,"",COUNTIFS('App Data'!$L$2:$L$1001,SUBSTITUTE(SUBSTITUTE(SUBSTITUTE(L21,"~","~~"),"*","~*"),"?","~?")))</x:f>
      </x:c>
      <x:c r="I21" s="13" t="str">
        <x:f>IF(OR(H21&lt;&gt;1,G21&lt;&gt;1),"",SUMIFS('App Data'!$E$2:$E$1001,'App Data'!$L$2:$L$1001,SUBSTITUTE(SUBSTITUTE(SUBSTITUTE(L21,"~","~~"),"*","~*"),"?","~?")))</x:f>
      </x:c>
      <x:c r="J21" s="13" t="str">
        <x:f>IF(OR(NOT(ISNUMBER(E21)),NOT(ISNUMBER(I21))),"",ROUND(E21-I21,2))</x:f>
      </x:c>
      <x:c r="K21" s="2" t="str">
        <x:f>IF(COUNTA(A21:F21)=0,"",IF(OR(A21="",B21="",C21="",D21="",NOT(ISNUMBER(E21))),"Missing / invalid input",IF(G21&gt;1,"Duplicate key in this source",IF(H21=0,"Missing in other source",IF(H21&gt;1,"Duplicate in other source",IF(SUMIFS('App Data'!$M$2:$M$1001,'App Data'!$L$2:$L$1001,SUBSTITUTE(SUBSTITUTE(SUBSTITUTE(L21,"~","~~"),"*","~*"),"?","~?"))&lt;&gt;1,"Other amount is invalid",IF(J21&lt;&gt;0,"Amount differs","Matched")))))))</x:f>
      </x:c>
      <x:c r="L21" t="str">
        <x:f>IF(COUNTA(A21:F21)=0,"",LEN(A21)&amp;":"&amp;A21&amp;LEN(B21)&amp;":"&amp;B21&amp;LEN(C21)&amp;":"&amp;C21&amp;LEN(D21)&amp;":"&amp;D21)</x:f>
      </x:c>
      <x:c r="M21" t="str">
        <x:f>IF(COUNTA(A21:F21)=0,"",IF(ISNUMBER(E21),1,0))</x:f>
      </x:c>
    </x:row>
    <x:row r="22">
      <x:c r="A22" s="11"/>
      <x:c r="B22" s="11"/>
      <x:c r="C22" s="11"/>
      <x:c r="D22" s="11"/>
      <x:c r="E22" s="12"/>
      <x:c r="F22" s="10"/>
      <x:c r="G22" s="2" t="str">
        <x:f>IF(COUNTA(A22:F22)=0,"",COUNTIFS('External Data'!$L$2:$L$1001,SUBSTITUTE(SUBSTITUTE(SUBSTITUTE(L22,"~","~~"),"*","~*"),"?","~?")))</x:f>
      </x:c>
      <x:c r="H22" s="2" t="str">
        <x:f>IF(COUNTA(A22:F22)=0,"",COUNTIFS('App Data'!$L$2:$L$1001,SUBSTITUTE(SUBSTITUTE(SUBSTITUTE(L22,"~","~~"),"*","~*"),"?","~?")))</x:f>
      </x:c>
      <x:c r="I22" s="13" t="str">
        <x:f>IF(OR(H22&lt;&gt;1,G22&lt;&gt;1),"",SUMIFS('App Data'!$E$2:$E$1001,'App Data'!$L$2:$L$1001,SUBSTITUTE(SUBSTITUTE(SUBSTITUTE(L22,"~","~~"),"*","~*"),"?","~?")))</x:f>
      </x:c>
      <x:c r="J22" s="13" t="str">
        <x:f>IF(OR(NOT(ISNUMBER(E22)),NOT(ISNUMBER(I22))),"",ROUND(E22-I22,2))</x:f>
      </x:c>
      <x:c r="K22" s="2" t="str">
        <x:f>IF(COUNTA(A22:F22)=0,"",IF(OR(A22="",B22="",C22="",D22="",NOT(ISNUMBER(E22))),"Missing / invalid input",IF(G22&gt;1,"Duplicate key in this source",IF(H22=0,"Missing in other source",IF(H22&gt;1,"Duplicate in other source",IF(SUMIFS('App Data'!$M$2:$M$1001,'App Data'!$L$2:$L$1001,SUBSTITUTE(SUBSTITUTE(SUBSTITUTE(L22,"~","~~"),"*","~*"),"?","~?"))&lt;&gt;1,"Other amount is invalid",IF(J22&lt;&gt;0,"Amount differs","Matched")))))))</x:f>
      </x:c>
      <x:c r="L22" t="str">
        <x:f>IF(COUNTA(A22:F22)=0,"",LEN(A22)&amp;":"&amp;A22&amp;LEN(B22)&amp;":"&amp;B22&amp;LEN(C22)&amp;":"&amp;C22&amp;LEN(D22)&amp;":"&amp;D22)</x:f>
      </x:c>
      <x:c r="M22" t="str">
        <x:f>IF(COUNTA(A22:F22)=0,"",IF(ISNUMBER(E22),1,0))</x:f>
      </x:c>
    </x:row>
    <x:row r="23">
      <x:c r="A23" s="11"/>
      <x:c r="B23" s="11"/>
      <x:c r="C23" s="11"/>
      <x:c r="D23" s="11"/>
      <x:c r="E23" s="12"/>
      <x:c r="F23" s="10"/>
      <x:c r="G23" s="2" t="str">
        <x:f>IF(COUNTA(A23:F23)=0,"",COUNTIFS('External Data'!$L$2:$L$1001,SUBSTITUTE(SUBSTITUTE(SUBSTITUTE(L23,"~","~~"),"*","~*"),"?","~?")))</x:f>
      </x:c>
      <x:c r="H23" s="2" t="str">
        <x:f>IF(COUNTA(A23:F23)=0,"",COUNTIFS('App Data'!$L$2:$L$1001,SUBSTITUTE(SUBSTITUTE(SUBSTITUTE(L23,"~","~~"),"*","~*"),"?","~?")))</x:f>
      </x:c>
      <x:c r="I23" s="13" t="str">
        <x:f>IF(OR(H23&lt;&gt;1,G23&lt;&gt;1),"",SUMIFS('App Data'!$E$2:$E$1001,'App Data'!$L$2:$L$1001,SUBSTITUTE(SUBSTITUTE(SUBSTITUTE(L23,"~","~~"),"*","~*"),"?","~?")))</x:f>
      </x:c>
      <x:c r="J23" s="13" t="str">
        <x:f>IF(OR(NOT(ISNUMBER(E23)),NOT(ISNUMBER(I23))),"",ROUND(E23-I23,2))</x:f>
      </x:c>
      <x:c r="K23" s="2" t="str">
        <x:f>IF(COUNTA(A23:F23)=0,"",IF(OR(A23="",B23="",C23="",D23="",NOT(ISNUMBER(E23))),"Missing / invalid input",IF(G23&gt;1,"Duplicate key in this source",IF(H23=0,"Missing in other source",IF(H23&gt;1,"Duplicate in other source",IF(SUMIFS('App Data'!$M$2:$M$1001,'App Data'!$L$2:$L$1001,SUBSTITUTE(SUBSTITUTE(SUBSTITUTE(L23,"~","~~"),"*","~*"),"?","~?"))&lt;&gt;1,"Other amount is invalid",IF(J23&lt;&gt;0,"Amount differs","Matched")))))))</x:f>
      </x:c>
      <x:c r="L23" t="str">
        <x:f>IF(COUNTA(A23:F23)=0,"",LEN(A23)&amp;":"&amp;A23&amp;LEN(B23)&amp;":"&amp;B23&amp;LEN(C23)&amp;":"&amp;C23&amp;LEN(D23)&amp;":"&amp;D23)</x:f>
      </x:c>
      <x:c r="M23" t="str">
        <x:f>IF(COUNTA(A23:F23)=0,"",IF(ISNUMBER(E23),1,0))</x:f>
      </x:c>
    </x:row>
    <x:row r="24">
      <x:c r="A24" s="11"/>
      <x:c r="B24" s="11"/>
      <x:c r="C24" s="11"/>
      <x:c r="D24" s="11"/>
      <x:c r="E24" s="12"/>
      <x:c r="F24" s="10"/>
      <x:c r="G24" s="2" t="str">
        <x:f>IF(COUNTA(A24:F24)=0,"",COUNTIFS('External Data'!$L$2:$L$1001,SUBSTITUTE(SUBSTITUTE(SUBSTITUTE(L24,"~","~~"),"*","~*"),"?","~?")))</x:f>
      </x:c>
      <x:c r="H24" s="2" t="str">
        <x:f>IF(COUNTA(A24:F24)=0,"",COUNTIFS('App Data'!$L$2:$L$1001,SUBSTITUTE(SUBSTITUTE(SUBSTITUTE(L24,"~","~~"),"*","~*"),"?","~?")))</x:f>
      </x:c>
      <x:c r="I24" s="13" t="str">
        <x:f>IF(OR(H24&lt;&gt;1,G24&lt;&gt;1),"",SUMIFS('App Data'!$E$2:$E$1001,'App Data'!$L$2:$L$1001,SUBSTITUTE(SUBSTITUTE(SUBSTITUTE(L24,"~","~~"),"*","~*"),"?","~?")))</x:f>
      </x:c>
      <x:c r="J24" s="13" t="str">
        <x:f>IF(OR(NOT(ISNUMBER(E24)),NOT(ISNUMBER(I24))),"",ROUND(E24-I24,2))</x:f>
      </x:c>
      <x:c r="K24" s="2" t="str">
        <x:f>IF(COUNTA(A24:F24)=0,"",IF(OR(A24="",B24="",C24="",D24="",NOT(ISNUMBER(E24))),"Missing / invalid input",IF(G24&gt;1,"Duplicate key in this source",IF(H24=0,"Missing in other source",IF(H24&gt;1,"Duplicate in other source",IF(SUMIFS('App Data'!$M$2:$M$1001,'App Data'!$L$2:$L$1001,SUBSTITUTE(SUBSTITUTE(SUBSTITUTE(L24,"~","~~"),"*","~*"),"?","~?"))&lt;&gt;1,"Other amount is invalid",IF(J24&lt;&gt;0,"Amount differs","Matched")))))))</x:f>
      </x:c>
      <x:c r="L24" t="str">
        <x:f>IF(COUNTA(A24:F24)=0,"",LEN(A24)&amp;":"&amp;A24&amp;LEN(B24)&amp;":"&amp;B24&amp;LEN(C24)&amp;":"&amp;C24&amp;LEN(D24)&amp;":"&amp;D24)</x:f>
      </x:c>
      <x:c r="M24" t="str">
        <x:f>IF(COUNTA(A24:F24)=0,"",IF(ISNUMBER(E24),1,0))</x:f>
      </x:c>
    </x:row>
    <x:row r="25">
      <x:c r="A25" s="11"/>
      <x:c r="B25" s="11"/>
      <x:c r="C25" s="11"/>
      <x:c r="D25" s="11"/>
      <x:c r="E25" s="12"/>
      <x:c r="F25" s="10"/>
      <x:c r="G25" s="2" t="str">
        <x:f>IF(COUNTA(A25:F25)=0,"",COUNTIFS('External Data'!$L$2:$L$1001,SUBSTITUTE(SUBSTITUTE(SUBSTITUTE(L25,"~","~~"),"*","~*"),"?","~?")))</x:f>
      </x:c>
      <x:c r="H25" s="2" t="str">
        <x:f>IF(COUNTA(A25:F25)=0,"",COUNTIFS('App Data'!$L$2:$L$1001,SUBSTITUTE(SUBSTITUTE(SUBSTITUTE(L25,"~","~~"),"*","~*"),"?","~?")))</x:f>
      </x:c>
      <x:c r="I25" s="13" t="str">
        <x:f>IF(OR(H25&lt;&gt;1,G25&lt;&gt;1),"",SUMIFS('App Data'!$E$2:$E$1001,'App Data'!$L$2:$L$1001,SUBSTITUTE(SUBSTITUTE(SUBSTITUTE(L25,"~","~~"),"*","~*"),"?","~?")))</x:f>
      </x:c>
      <x:c r="J25" s="13" t="str">
        <x:f>IF(OR(NOT(ISNUMBER(E25)),NOT(ISNUMBER(I25))),"",ROUND(E25-I25,2))</x:f>
      </x:c>
      <x:c r="K25" s="2" t="str">
        <x:f>IF(COUNTA(A25:F25)=0,"",IF(OR(A25="",B25="",C25="",D25="",NOT(ISNUMBER(E25))),"Missing / invalid input",IF(G25&gt;1,"Duplicate key in this source",IF(H25=0,"Missing in other source",IF(H25&gt;1,"Duplicate in other source",IF(SUMIFS('App Data'!$M$2:$M$1001,'App Data'!$L$2:$L$1001,SUBSTITUTE(SUBSTITUTE(SUBSTITUTE(L25,"~","~~"),"*","~*"),"?","~?"))&lt;&gt;1,"Other amount is invalid",IF(J25&lt;&gt;0,"Amount differs","Matched")))))))</x:f>
      </x:c>
      <x:c r="L25" t="str">
        <x:f>IF(COUNTA(A25:F25)=0,"",LEN(A25)&amp;":"&amp;A25&amp;LEN(B25)&amp;":"&amp;B25&amp;LEN(C25)&amp;":"&amp;C25&amp;LEN(D25)&amp;":"&amp;D25)</x:f>
      </x:c>
      <x:c r="M25" t="str">
        <x:f>IF(COUNTA(A25:F25)=0,"",IF(ISNUMBER(E25),1,0))</x:f>
      </x:c>
    </x:row>
    <x:row r="26">
      <x:c r="A26" s="11"/>
      <x:c r="B26" s="11"/>
      <x:c r="C26" s="11"/>
      <x:c r="D26" s="11"/>
      <x:c r="E26" s="12"/>
      <x:c r="F26" s="10"/>
      <x:c r="G26" s="2" t="str">
        <x:f>IF(COUNTA(A26:F26)=0,"",COUNTIFS('External Data'!$L$2:$L$1001,SUBSTITUTE(SUBSTITUTE(SUBSTITUTE(L26,"~","~~"),"*","~*"),"?","~?")))</x:f>
      </x:c>
      <x:c r="H26" s="2" t="str">
        <x:f>IF(COUNTA(A26:F26)=0,"",COUNTIFS('App Data'!$L$2:$L$1001,SUBSTITUTE(SUBSTITUTE(SUBSTITUTE(L26,"~","~~"),"*","~*"),"?","~?")))</x:f>
      </x:c>
      <x:c r="I26" s="13" t="str">
        <x:f>IF(OR(H26&lt;&gt;1,G26&lt;&gt;1),"",SUMIFS('App Data'!$E$2:$E$1001,'App Data'!$L$2:$L$1001,SUBSTITUTE(SUBSTITUTE(SUBSTITUTE(L26,"~","~~"),"*","~*"),"?","~?")))</x:f>
      </x:c>
      <x:c r="J26" s="13" t="str">
        <x:f>IF(OR(NOT(ISNUMBER(E26)),NOT(ISNUMBER(I26))),"",ROUND(E26-I26,2))</x:f>
      </x:c>
      <x:c r="K26" s="2" t="str">
        <x:f>IF(COUNTA(A26:F26)=0,"",IF(OR(A26="",B26="",C26="",D26="",NOT(ISNUMBER(E26))),"Missing / invalid input",IF(G26&gt;1,"Duplicate key in this source",IF(H26=0,"Missing in other source",IF(H26&gt;1,"Duplicate in other source",IF(SUMIFS('App Data'!$M$2:$M$1001,'App Data'!$L$2:$L$1001,SUBSTITUTE(SUBSTITUTE(SUBSTITUTE(L26,"~","~~"),"*","~*"),"?","~?"))&lt;&gt;1,"Other amount is invalid",IF(J26&lt;&gt;0,"Amount differs","Matched")))))))</x:f>
      </x:c>
      <x:c r="L26" t="str">
        <x:f>IF(COUNTA(A26:F26)=0,"",LEN(A26)&amp;":"&amp;A26&amp;LEN(B26)&amp;":"&amp;B26&amp;LEN(C26)&amp;":"&amp;C26&amp;LEN(D26)&amp;":"&amp;D26)</x:f>
      </x:c>
      <x:c r="M26" t="str">
        <x:f>IF(COUNTA(A26:F26)=0,"",IF(ISNUMBER(E26),1,0))</x:f>
      </x:c>
    </x:row>
    <x:row r="27">
      <x:c r="A27" s="11"/>
      <x:c r="B27" s="11"/>
      <x:c r="C27" s="11"/>
      <x:c r="D27" s="11"/>
      <x:c r="E27" s="12"/>
      <x:c r="F27" s="10"/>
      <x:c r="G27" s="2" t="str">
        <x:f>IF(COUNTA(A27:F27)=0,"",COUNTIFS('External Data'!$L$2:$L$1001,SUBSTITUTE(SUBSTITUTE(SUBSTITUTE(L27,"~","~~"),"*","~*"),"?","~?")))</x:f>
      </x:c>
      <x:c r="H27" s="2" t="str">
        <x:f>IF(COUNTA(A27:F27)=0,"",COUNTIFS('App Data'!$L$2:$L$1001,SUBSTITUTE(SUBSTITUTE(SUBSTITUTE(L27,"~","~~"),"*","~*"),"?","~?")))</x:f>
      </x:c>
      <x:c r="I27" s="13" t="str">
        <x:f>IF(OR(H27&lt;&gt;1,G27&lt;&gt;1),"",SUMIFS('App Data'!$E$2:$E$1001,'App Data'!$L$2:$L$1001,SUBSTITUTE(SUBSTITUTE(SUBSTITUTE(L27,"~","~~"),"*","~*"),"?","~?")))</x:f>
      </x:c>
      <x:c r="J27" s="13" t="str">
        <x:f>IF(OR(NOT(ISNUMBER(E27)),NOT(ISNUMBER(I27))),"",ROUND(E27-I27,2))</x:f>
      </x:c>
      <x:c r="K27" s="2" t="str">
        <x:f>IF(COUNTA(A27:F27)=0,"",IF(OR(A27="",B27="",C27="",D27="",NOT(ISNUMBER(E27))),"Missing / invalid input",IF(G27&gt;1,"Duplicate key in this source",IF(H27=0,"Missing in other source",IF(H27&gt;1,"Duplicate in other source",IF(SUMIFS('App Data'!$M$2:$M$1001,'App Data'!$L$2:$L$1001,SUBSTITUTE(SUBSTITUTE(SUBSTITUTE(L27,"~","~~"),"*","~*"),"?","~?"))&lt;&gt;1,"Other amount is invalid",IF(J27&lt;&gt;0,"Amount differs","Matched")))))))</x:f>
      </x:c>
      <x:c r="L27" t="str">
        <x:f>IF(COUNTA(A27:F27)=0,"",LEN(A27)&amp;":"&amp;A27&amp;LEN(B27)&amp;":"&amp;B27&amp;LEN(C27)&amp;":"&amp;C27&amp;LEN(D27)&amp;":"&amp;D27)</x:f>
      </x:c>
      <x:c r="M27" t="str">
        <x:f>IF(COUNTA(A27:F27)=0,"",IF(ISNUMBER(E27),1,0))</x:f>
      </x:c>
    </x:row>
    <x:row r="28">
      <x:c r="A28" s="11"/>
      <x:c r="B28" s="11"/>
      <x:c r="C28" s="11"/>
      <x:c r="D28" s="11"/>
      <x:c r="E28" s="12"/>
      <x:c r="F28" s="10"/>
      <x:c r="G28" s="2" t="str">
        <x:f>IF(COUNTA(A28:F28)=0,"",COUNTIFS('External Data'!$L$2:$L$1001,SUBSTITUTE(SUBSTITUTE(SUBSTITUTE(L28,"~","~~"),"*","~*"),"?","~?")))</x:f>
      </x:c>
      <x:c r="H28" s="2" t="str">
        <x:f>IF(COUNTA(A28:F28)=0,"",COUNTIFS('App Data'!$L$2:$L$1001,SUBSTITUTE(SUBSTITUTE(SUBSTITUTE(L28,"~","~~"),"*","~*"),"?","~?")))</x:f>
      </x:c>
      <x:c r="I28" s="13" t="str">
        <x:f>IF(OR(H28&lt;&gt;1,G28&lt;&gt;1),"",SUMIFS('App Data'!$E$2:$E$1001,'App Data'!$L$2:$L$1001,SUBSTITUTE(SUBSTITUTE(SUBSTITUTE(L28,"~","~~"),"*","~*"),"?","~?")))</x:f>
      </x:c>
      <x:c r="J28" s="13" t="str">
        <x:f>IF(OR(NOT(ISNUMBER(E28)),NOT(ISNUMBER(I28))),"",ROUND(E28-I28,2))</x:f>
      </x:c>
      <x:c r="K28" s="2" t="str">
        <x:f>IF(COUNTA(A28:F28)=0,"",IF(OR(A28="",B28="",C28="",D28="",NOT(ISNUMBER(E28))),"Missing / invalid input",IF(G28&gt;1,"Duplicate key in this source",IF(H28=0,"Missing in other source",IF(H28&gt;1,"Duplicate in other source",IF(SUMIFS('App Data'!$M$2:$M$1001,'App Data'!$L$2:$L$1001,SUBSTITUTE(SUBSTITUTE(SUBSTITUTE(L28,"~","~~"),"*","~*"),"?","~?"))&lt;&gt;1,"Other amount is invalid",IF(J28&lt;&gt;0,"Amount differs","Matched")))))))</x:f>
      </x:c>
      <x:c r="L28" t="str">
        <x:f>IF(COUNTA(A28:F28)=0,"",LEN(A28)&amp;":"&amp;A28&amp;LEN(B28)&amp;":"&amp;B28&amp;LEN(C28)&amp;":"&amp;C28&amp;LEN(D28)&amp;":"&amp;D28)</x:f>
      </x:c>
      <x:c r="M28" t="str">
        <x:f>IF(COUNTA(A28:F28)=0,"",IF(ISNUMBER(E28),1,0))</x:f>
      </x:c>
    </x:row>
    <x:row r="29">
      <x:c r="A29" s="11"/>
      <x:c r="B29" s="11"/>
      <x:c r="C29" s="11"/>
      <x:c r="D29" s="11"/>
      <x:c r="E29" s="12"/>
      <x:c r="F29" s="10"/>
      <x:c r="G29" s="2" t="str">
        <x:f>IF(COUNTA(A29:F29)=0,"",COUNTIFS('External Data'!$L$2:$L$1001,SUBSTITUTE(SUBSTITUTE(SUBSTITUTE(L29,"~","~~"),"*","~*"),"?","~?")))</x:f>
      </x:c>
      <x:c r="H29" s="2" t="str">
        <x:f>IF(COUNTA(A29:F29)=0,"",COUNTIFS('App Data'!$L$2:$L$1001,SUBSTITUTE(SUBSTITUTE(SUBSTITUTE(L29,"~","~~"),"*","~*"),"?","~?")))</x:f>
      </x:c>
      <x:c r="I29" s="13" t="str">
        <x:f>IF(OR(H29&lt;&gt;1,G29&lt;&gt;1),"",SUMIFS('App Data'!$E$2:$E$1001,'App Data'!$L$2:$L$1001,SUBSTITUTE(SUBSTITUTE(SUBSTITUTE(L29,"~","~~"),"*","~*"),"?","~?")))</x:f>
      </x:c>
      <x:c r="J29" s="13" t="str">
        <x:f>IF(OR(NOT(ISNUMBER(E29)),NOT(ISNUMBER(I29))),"",ROUND(E29-I29,2))</x:f>
      </x:c>
      <x:c r="K29" s="2" t="str">
        <x:f>IF(COUNTA(A29:F29)=0,"",IF(OR(A29="",B29="",C29="",D29="",NOT(ISNUMBER(E29))),"Missing / invalid input",IF(G29&gt;1,"Duplicate key in this source",IF(H29=0,"Missing in other source",IF(H29&gt;1,"Duplicate in other source",IF(SUMIFS('App Data'!$M$2:$M$1001,'App Data'!$L$2:$L$1001,SUBSTITUTE(SUBSTITUTE(SUBSTITUTE(L29,"~","~~"),"*","~*"),"?","~?"))&lt;&gt;1,"Other amount is invalid",IF(J29&lt;&gt;0,"Amount differs","Matched")))))))</x:f>
      </x:c>
      <x:c r="L29" t="str">
        <x:f>IF(COUNTA(A29:F29)=0,"",LEN(A29)&amp;":"&amp;A29&amp;LEN(B29)&amp;":"&amp;B29&amp;LEN(C29)&amp;":"&amp;C29&amp;LEN(D29)&amp;":"&amp;D29)</x:f>
      </x:c>
      <x:c r="M29" t="str">
        <x:f>IF(COUNTA(A29:F29)=0,"",IF(ISNUMBER(E29),1,0))</x:f>
      </x:c>
    </x:row>
    <x:row r="30">
      <x:c r="A30" s="11"/>
      <x:c r="B30" s="11"/>
      <x:c r="C30" s="11"/>
      <x:c r="D30" s="11"/>
      <x:c r="E30" s="12"/>
      <x:c r="F30" s="10"/>
      <x:c r="G30" s="2" t="str">
        <x:f>IF(COUNTA(A30:F30)=0,"",COUNTIFS('External Data'!$L$2:$L$1001,SUBSTITUTE(SUBSTITUTE(SUBSTITUTE(L30,"~","~~"),"*","~*"),"?","~?")))</x:f>
      </x:c>
      <x:c r="H30" s="2" t="str">
        <x:f>IF(COUNTA(A30:F30)=0,"",COUNTIFS('App Data'!$L$2:$L$1001,SUBSTITUTE(SUBSTITUTE(SUBSTITUTE(L30,"~","~~"),"*","~*"),"?","~?")))</x:f>
      </x:c>
      <x:c r="I30" s="13" t="str">
        <x:f>IF(OR(H30&lt;&gt;1,G30&lt;&gt;1),"",SUMIFS('App Data'!$E$2:$E$1001,'App Data'!$L$2:$L$1001,SUBSTITUTE(SUBSTITUTE(SUBSTITUTE(L30,"~","~~"),"*","~*"),"?","~?")))</x:f>
      </x:c>
      <x:c r="J30" s="13" t="str">
        <x:f>IF(OR(NOT(ISNUMBER(E30)),NOT(ISNUMBER(I30))),"",ROUND(E30-I30,2))</x:f>
      </x:c>
      <x:c r="K30" s="2" t="str">
        <x:f>IF(COUNTA(A30:F30)=0,"",IF(OR(A30="",B30="",C30="",D30="",NOT(ISNUMBER(E30))),"Missing / invalid input",IF(G30&gt;1,"Duplicate key in this source",IF(H30=0,"Missing in other source",IF(H30&gt;1,"Duplicate in other source",IF(SUMIFS('App Data'!$M$2:$M$1001,'App Data'!$L$2:$L$1001,SUBSTITUTE(SUBSTITUTE(SUBSTITUTE(L30,"~","~~"),"*","~*"),"?","~?"))&lt;&gt;1,"Other amount is invalid",IF(J30&lt;&gt;0,"Amount differs","Matched")))))))</x:f>
      </x:c>
      <x:c r="L30" t="str">
        <x:f>IF(COUNTA(A30:F30)=0,"",LEN(A30)&amp;":"&amp;A30&amp;LEN(B30)&amp;":"&amp;B30&amp;LEN(C30)&amp;":"&amp;C30&amp;LEN(D30)&amp;":"&amp;D30)</x:f>
      </x:c>
      <x:c r="M30" t="str">
        <x:f>IF(COUNTA(A30:F30)=0,"",IF(ISNUMBER(E30),1,0))</x:f>
      </x:c>
    </x:row>
    <x:row r="31">
      <x:c r="A31" s="11"/>
      <x:c r="B31" s="11"/>
      <x:c r="C31" s="11"/>
      <x:c r="D31" s="11"/>
      <x:c r="E31" s="12"/>
      <x:c r="F31" s="10"/>
      <x:c r="G31" s="2" t="str">
        <x:f>IF(COUNTA(A31:F31)=0,"",COUNTIFS('External Data'!$L$2:$L$1001,SUBSTITUTE(SUBSTITUTE(SUBSTITUTE(L31,"~","~~"),"*","~*"),"?","~?")))</x:f>
      </x:c>
      <x:c r="H31" s="2" t="str">
        <x:f>IF(COUNTA(A31:F31)=0,"",COUNTIFS('App Data'!$L$2:$L$1001,SUBSTITUTE(SUBSTITUTE(SUBSTITUTE(L31,"~","~~"),"*","~*"),"?","~?")))</x:f>
      </x:c>
      <x:c r="I31" s="13" t="str">
        <x:f>IF(OR(H31&lt;&gt;1,G31&lt;&gt;1),"",SUMIFS('App Data'!$E$2:$E$1001,'App Data'!$L$2:$L$1001,SUBSTITUTE(SUBSTITUTE(SUBSTITUTE(L31,"~","~~"),"*","~*"),"?","~?")))</x:f>
      </x:c>
      <x:c r="J31" s="13" t="str">
        <x:f>IF(OR(NOT(ISNUMBER(E31)),NOT(ISNUMBER(I31))),"",ROUND(E31-I31,2))</x:f>
      </x:c>
      <x:c r="K31" s="2" t="str">
        <x:f>IF(COUNTA(A31:F31)=0,"",IF(OR(A31="",B31="",C31="",D31="",NOT(ISNUMBER(E31))),"Missing / invalid input",IF(G31&gt;1,"Duplicate key in this source",IF(H31=0,"Missing in other source",IF(H31&gt;1,"Duplicate in other source",IF(SUMIFS('App Data'!$M$2:$M$1001,'App Data'!$L$2:$L$1001,SUBSTITUTE(SUBSTITUTE(SUBSTITUTE(L31,"~","~~"),"*","~*"),"?","~?"))&lt;&gt;1,"Other amount is invalid",IF(J31&lt;&gt;0,"Amount differs","Matched")))))))</x:f>
      </x:c>
      <x:c r="L31" t="str">
        <x:f>IF(COUNTA(A31:F31)=0,"",LEN(A31)&amp;":"&amp;A31&amp;LEN(B31)&amp;":"&amp;B31&amp;LEN(C31)&amp;":"&amp;C31&amp;LEN(D31)&amp;":"&amp;D31)</x:f>
      </x:c>
      <x:c r="M31" t="str">
        <x:f>IF(COUNTA(A31:F31)=0,"",IF(ISNUMBER(E31),1,0))</x:f>
      </x:c>
    </x:row>
    <x:row r="32">
      <x:c r="A32" s="11"/>
      <x:c r="B32" s="11"/>
      <x:c r="C32" s="11"/>
      <x:c r="D32" s="11"/>
      <x:c r="E32" s="12"/>
      <x:c r="F32" s="10"/>
      <x:c r="G32" s="2" t="str">
        <x:f>IF(COUNTA(A32:F32)=0,"",COUNTIFS('External Data'!$L$2:$L$1001,SUBSTITUTE(SUBSTITUTE(SUBSTITUTE(L32,"~","~~"),"*","~*"),"?","~?")))</x:f>
      </x:c>
      <x:c r="H32" s="2" t="str">
        <x:f>IF(COUNTA(A32:F32)=0,"",COUNTIFS('App Data'!$L$2:$L$1001,SUBSTITUTE(SUBSTITUTE(SUBSTITUTE(L32,"~","~~"),"*","~*"),"?","~?")))</x:f>
      </x:c>
      <x:c r="I32" s="13" t="str">
        <x:f>IF(OR(H32&lt;&gt;1,G32&lt;&gt;1),"",SUMIFS('App Data'!$E$2:$E$1001,'App Data'!$L$2:$L$1001,SUBSTITUTE(SUBSTITUTE(SUBSTITUTE(L32,"~","~~"),"*","~*"),"?","~?")))</x:f>
      </x:c>
      <x:c r="J32" s="13" t="str">
        <x:f>IF(OR(NOT(ISNUMBER(E32)),NOT(ISNUMBER(I32))),"",ROUND(E32-I32,2))</x:f>
      </x:c>
      <x:c r="K32" s="2" t="str">
        <x:f>IF(COUNTA(A32:F32)=0,"",IF(OR(A32="",B32="",C32="",D32="",NOT(ISNUMBER(E32))),"Missing / invalid input",IF(G32&gt;1,"Duplicate key in this source",IF(H32=0,"Missing in other source",IF(H32&gt;1,"Duplicate in other source",IF(SUMIFS('App Data'!$M$2:$M$1001,'App Data'!$L$2:$L$1001,SUBSTITUTE(SUBSTITUTE(SUBSTITUTE(L32,"~","~~"),"*","~*"),"?","~?"))&lt;&gt;1,"Other amount is invalid",IF(J32&lt;&gt;0,"Amount differs","Matched")))))))</x:f>
      </x:c>
      <x:c r="L32" t="str">
        <x:f>IF(COUNTA(A32:F32)=0,"",LEN(A32)&amp;":"&amp;A32&amp;LEN(B32)&amp;":"&amp;B32&amp;LEN(C32)&amp;":"&amp;C32&amp;LEN(D32)&amp;":"&amp;D32)</x:f>
      </x:c>
      <x:c r="M32" t="str">
        <x:f>IF(COUNTA(A32:F32)=0,"",IF(ISNUMBER(E32),1,0))</x:f>
      </x:c>
    </x:row>
    <x:row r="33">
      <x:c r="A33" s="11"/>
      <x:c r="B33" s="11"/>
      <x:c r="C33" s="11"/>
      <x:c r="D33" s="11"/>
      <x:c r="E33" s="12"/>
      <x:c r="F33" s="10"/>
      <x:c r="G33" s="2" t="str">
        <x:f>IF(COUNTA(A33:F33)=0,"",COUNTIFS('External Data'!$L$2:$L$1001,SUBSTITUTE(SUBSTITUTE(SUBSTITUTE(L33,"~","~~"),"*","~*"),"?","~?")))</x:f>
      </x:c>
      <x:c r="H33" s="2" t="str">
        <x:f>IF(COUNTA(A33:F33)=0,"",COUNTIFS('App Data'!$L$2:$L$1001,SUBSTITUTE(SUBSTITUTE(SUBSTITUTE(L33,"~","~~"),"*","~*"),"?","~?")))</x:f>
      </x:c>
      <x:c r="I33" s="13" t="str">
        <x:f>IF(OR(H33&lt;&gt;1,G33&lt;&gt;1),"",SUMIFS('App Data'!$E$2:$E$1001,'App Data'!$L$2:$L$1001,SUBSTITUTE(SUBSTITUTE(SUBSTITUTE(L33,"~","~~"),"*","~*"),"?","~?")))</x:f>
      </x:c>
      <x:c r="J33" s="13" t="str">
        <x:f>IF(OR(NOT(ISNUMBER(E33)),NOT(ISNUMBER(I33))),"",ROUND(E33-I33,2))</x:f>
      </x:c>
      <x:c r="K33" s="2" t="str">
        <x:f>IF(COUNTA(A33:F33)=0,"",IF(OR(A33="",B33="",C33="",D33="",NOT(ISNUMBER(E33))),"Missing / invalid input",IF(G33&gt;1,"Duplicate key in this source",IF(H33=0,"Missing in other source",IF(H33&gt;1,"Duplicate in other source",IF(SUMIFS('App Data'!$M$2:$M$1001,'App Data'!$L$2:$L$1001,SUBSTITUTE(SUBSTITUTE(SUBSTITUTE(L33,"~","~~"),"*","~*"),"?","~?"))&lt;&gt;1,"Other amount is invalid",IF(J33&lt;&gt;0,"Amount differs","Matched")))))))</x:f>
      </x:c>
      <x:c r="L33" t="str">
        <x:f>IF(COUNTA(A33:F33)=0,"",LEN(A33)&amp;":"&amp;A33&amp;LEN(B33)&amp;":"&amp;B33&amp;LEN(C33)&amp;":"&amp;C33&amp;LEN(D33)&amp;":"&amp;D33)</x:f>
      </x:c>
      <x:c r="M33" t="str">
        <x:f>IF(COUNTA(A33:F33)=0,"",IF(ISNUMBER(E33),1,0))</x:f>
      </x:c>
    </x:row>
    <x:row r="34">
      <x:c r="A34" s="11"/>
      <x:c r="B34" s="11"/>
      <x:c r="C34" s="11"/>
      <x:c r="D34" s="11"/>
      <x:c r="E34" s="12"/>
      <x:c r="F34" s="10"/>
      <x:c r="G34" s="2" t="str">
        <x:f>IF(COUNTA(A34:F34)=0,"",COUNTIFS('External Data'!$L$2:$L$1001,SUBSTITUTE(SUBSTITUTE(SUBSTITUTE(L34,"~","~~"),"*","~*"),"?","~?")))</x:f>
      </x:c>
      <x:c r="H34" s="2" t="str">
        <x:f>IF(COUNTA(A34:F34)=0,"",COUNTIFS('App Data'!$L$2:$L$1001,SUBSTITUTE(SUBSTITUTE(SUBSTITUTE(L34,"~","~~"),"*","~*"),"?","~?")))</x:f>
      </x:c>
      <x:c r="I34" s="13" t="str">
        <x:f>IF(OR(H34&lt;&gt;1,G34&lt;&gt;1),"",SUMIFS('App Data'!$E$2:$E$1001,'App Data'!$L$2:$L$1001,SUBSTITUTE(SUBSTITUTE(SUBSTITUTE(L34,"~","~~"),"*","~*"),"?","~?")))</x:f>
      </x:c>
      <x:c r="J34" s="13" t="str">
        <x:f>IF(OR(NOT(ISNUMBER(E34)),NOT(ISNUMBER(I34))),"",ROUND(E34-I34,2))</x:f>
      </x:c>
      <x:c r="K34" s="2" t="str">
        <x:f>IF(COUNTA(A34:F34)=0,"",IF(OR(A34="",B34="",C34="",D34="",NOT(ISNUMBER(E34))),"Missing / invalid input",IF(G34&gt;1,"Duplicate key in this source",IF(H34=0,"Missing in other source",IF(H34&gt;1,"Duplicate in other source",IF(SUMIFS('App Data'!$M$2:$M$1001,'App Data'!$L$2:$L$1001,SUBSTITUTE(SUBSTITUTE(SUBSTITUTE(L34,"~","~~"),"*","~*"),"?","~?"))&lt;&gt;1,"Other amount is invalid",IF(J34&lt;&gt;0,"Amount differs","Matched")))))))</x:f>
      </x:c>
      <x:c r="L34" t="str">
        <x:f>IF(COUNTA(A34:F34)=0,"",LEN(A34)&amp;":"&amp;A34&amp;LEN(B34)&amp;":"&amp;B34&amp;LEN(C34)&amp;":"&amp;C34&amp;LEN(D34)&amp;":"&amp;D34)</x:f>
      </x:c>
      <x:c r="M34" t="str">
        <x:f>IF(COUNTA(A34:F34)=0,"",IF(ISNUMBER(E34),1,0))</x:f>
      </x:c>
    </x:row>
    <x:row r="35">
      <x:c r="A35" s="11"/>
      <x:c r="B35" s="11"/>
      <x:c r="C35" s="11"/>
      <x:c r="D35" s="11"/>
      <x:c r="E35" s="12"/>
      <x:c r="F35" s="10"/>
      <x:c r="G35" s="2" t="str">
        <x:f>IF(COUNTA(A35:F35)=0,"",COUNTIFS('External Data'!$L$2:$L$1001,SUBSTITUTE(SUBSTITUTE(SUBSTITUTE(L35,"~","~~"),"*","~*"),"?","~?")))</x:f>
      </x:c>
      <x:c r="H35" s="2" t="str">
        <x:f>IF(COUNTA(A35:F35)=0,"",COUNTIFS('App Data'!$L$2:$L$1001,SUBSTITUTE(SUBSTITUTE(SUBSTITUTE(L35,"~","~~"),"*","~*"),"?","~?")))</x:f>
      </x:c>
      <x:c r="I35" s="13" t="str">
        <x:f>IF(OR(H35&lt;&gt;1,G35&lt;&gt;1),"",SUMIFS('App Data'!$E$2:$E$1001,'App Data'!$L$2:$L$1001,SUBSTITUTE(SUBSTITUTE(SUBSTITUTE(L35,"~","~~"),"*","~*"),"?","~?")))</x:f>
      </x:c>
      <x:c r="J35" s="13" t="str">
        <x:f>IF(OR(NOT(ISNUMBER(E35)),NOT(ISNUMBER(I35))),"",ROUND(E35-I35,2))</x:f>
      </x:c>
      <x:c r="K35" s="2" t="str">
        <x:f>IF(COUNTA(A35:F35)=0,"",IF(OR(A35="",B35="",C35="",D35="",NOT(ISNUMBER(E35))),"Missing / invalid input",IF(G35&gt;1,"Duplicate key in this source",IF(H35=0,"Missing in other source",IF(H35&gt;1,"Duplicate in other source",IF(SUMIFS('App Data'!$M$2:$M$1001,'App Data'!$L$2:$L$1001,SUBSTITUTE(SUBSTITUTE(SUBSTITUTE(L35,"~","~~"),"*","~*"),"?","~?"))&lt;&gt;1,"Other amount is invalid",IF(J35&lt;&gt;0,"Amount differs","Matched")))))))</x:f>
      </x:c>
      <x:c r="L35" t="str">
        <x:f>IF(COUNTA(A35:F35)=0,"",LEN(A35)&amp;":"&amp;A35&amp;LEN(B35)&amp;":"&amp;B35&amp;LEN(C35)&amp;":"&amp;C35&amp;LEN(D35)&amp;":"&amp;D35)</x:f>
      </x:c>
      <x:c r="M35" t="str">
        <x:f>IF(COUNTA(A35:F35)=0,"",IF(ISNUMBER(E35),1,0))</x:f>
      </x:c>
    </x:row>
    <x:row r="36">
      <x:c r="A36" s="11"/>
      <x:c r="B36" s="11"/>
      <x:c r="C36" s="11"/>
      <x:c r="D36" s="11"/>
      <x:c r="E36" s="12"/>
      <x:c r="F36" s="10"/>
      <x:c r="G36" s="2" t="str">
        <x:f>IF(COUNTA(A36:F36)=0,"",COUNTIFS('External Data'!$L$2:$L$1001,SUBSTITUTE(SUBSTITUTE(SUBSTITUTE(L36,"~","~~"),"*","~*"),"?","~?")))</x:f>
      </x:c>
      <x:c r="H36" s="2" t="str">
        <x:f>IF(COUNTA(A36:F36)=0,"",COUNTIFS('App Data'!$L$2:$L$1001,SUBSTITUTE(SUBSTITUTE(SUBSTITUTE(L36,"~","~~"),"*","~*"),"?","~?")))</x:f>
      </x:c>
      <x:c r="I36" s="13" t="str">
        <x:f>IF(OR(H36&lt;&gt;1,G36&lt;&gt;1),"",SUMIFS('App Data'!$E$2:$E$1001,'App Data'!$L$2:$L$1001,SUBSTITUTE(SUBSTITUTE(SUBSTITUTE(L36,"~","~~"),"*","~*"),"?","~?")))</x:f>
      </x:c>
      <x:c r="J36" s="13" t="str">
        <x:f>IF(OR(NOT(ISNUMBER(E36)),NOT(ISNUMBER(I36))),"",ROUND(E36-I36,2))</x:f>
      </x:c>
      <x:c r="K36" s="2" t="str">
        <x:f>IF(COUNTA(A36:F36)=0,"",IF(OR(A36="",B36="",C36="",D36="",NOT(ISNUMBER(E36))),"Missing / invalid input",IF(G36&gt;1,"Duplicate key in this source",IF(H36=0,"Missing in other source",IF(H36&gt;1,"Duplicate in other source",IF(SUMIFS('App Data'!$M$2:$M$1001,'App Data'!$L$2:$L$1001,SUBSTITUTE(SUBSTITUTE(SUBSTITUTE(L36,"~","~~"),"*","~*"),"?","~?"))&lt;&gt;1,"Other amount is invalid",IF(J36&lt;&gt;0,"Amount differs","Matched")))))))</x:f>
      </x:c>
      <x:c r="L36" t="str">
        <x:f>IF(COUNTA(A36:F36)=0,"",LEN(A36)&amp;":"&amp;A36&amp;LEN(B36)&amp;":"&amp;B36&amp;LEN(C36)&amp;":"&amp;C36&amp;LEN(D36)&amp;":"&amp;D36)</x:f>
      </x:c>
      <x:c r="M36" t="str">
        <x:f>IF(COUNTA(A36:F36)=0,"",IF(ISNUMBER(E36),1,0))</x:f>
      </x:c>
    </x:row>
    <x:row r="37">
      <x:c r="A37" s="11"/>
      <x:c r="B37" s="11"/>
      <x:c r="C37" s="11"/>
      <x:c r="D37" s="11"/>
      <x:c r="E37" s="12"/>
      <x:c r="F37" s="10"/>
      <x:c r="G37" s="2" t="str">
        <x:f>IF(COUNTA(A37:F37)=0,"",COUNTIFS('External Data'!$L$2:$L$1001,SUBSTITUTE(SUBSTITUTE(SUBSTITUTE(L37,"~","~~"),"*","~*"),"?","~?")))</x:f>
      </x:c>
      <x:c r="H37" s="2" t="str">
        <x:f>IF(COUNTA(A37:F37)=0,"",COUNTIFS('App Data'!$L$2:$L$1001,SUBSTITUTE(SUBSTITUTE(SUBSTITUTE(L37,"~","~~"),"*","~*"),"?","~?")))</x:f>
      </x:c>
      <x:c r="I37" s="13" t="str">
        <x:f>IF(OR(H37&lt;&gt;1,G37&lt;&gt;1),"",SUMIFS('App Data'!$E$2:$E$1001,'App Data'!$L$2:$L$1001,SUBSTITUTE(SUBSTITUTE(SUBSTITUTE(L37,"~","~~"),"*","~*"),"?","~?")))</x:f>
      </x:c>
      <x:c r="J37" s="13" t="str">
        <x:f>IF(OR(NOT(ISNUMBER(E37)),NOT(ISNUMBER(I37))),"",ROUND(E37-I37,2))</x:f>
      </x:c>
      <x:c r="K37" s="2" t="str">
        <x:f>IF(COUNTA(A37:F37)=0,"",IF(OR(A37="",B37="",C37="",D37="",NOT(ISNUMBER(E37))),"Missing / invalid input",IF(G37&gt;1,"Duplicate key in this source",IF(H37=0,"Missing in other source",IF(H37&gt;1,"Duplicate in other source",IF(SUMIFS('App Data'!$M$2:$M$1001,'App Data'!$L$2:$L$1001,SUBSTITUTE(SUBSTITUTE(SUBSTITUTE(L37,"~","~~"),"*","~*"),"?","~?"))&lt;&gt;1,"Other amount is invalid",IF(J37&lt;&gt;0,"Amount differs","Matched")))))))</x:f>
      </x:c>
      <x:c r="L37" t="str">
        <x:f>IF(COUNTA(A37:F37)=0,"",LEN(A37)&amp;":"&amp;A37&amp;LEN(B37)&amp;":"&amp;B37&amp;LEN(C37)&amp;":"&amp;C37&amp;LEN(D37)&amp;":"&amp;D37)</x:f>
      </x:c>
      <x:c r="M37" t="str">
        <x:f>IF(COUNTA(A37:F37)=0,"",IF(ISNUMBER(E37),1,0))</x:f>
      </x:c>
    </x:row>
    <x:row r="38">
      <x:c r="A38" s="11"/>
      <x:c r="B38" s="11"/>
      <x:c r="C38" s="11"/>
      <x:c r="D38" s="11"/>
      <x:c r="E38" s="12"/>
      <x:c r="F38" s="10"/>
      <x:c r="G38" s="2" t="str">
        <x:f>IF(COUNTA(A38:F38)=0,"",COUNTIFS('External Data'!$L$2:$L$1001,SUBSTITUTE(SUBSTITUTE(SUBSTITUTE(L38,"~","~~"),"*","~*"),"?","~?")))</x:f>
      </x:c>
      <x:c r="H38" s="2" t="str">
        <x:f>IF(COUNTA(A38:F38)=0,"",COUNTIFS('App Data'!$L$2:$L$1001,SUBSTITUTE(SUBSTITUTE(SUBSTITUTE(L38,"~","~~"),"*","~*"),"?","~?")))</x:f>
      </x:c>
      <x:c r="I38" s="13" t="str">
        <x:f>IF(OR(H38&lt;&gt;1,G38&lt;&gt;1),"",SUMIFS('App Data'!$E$2:$E$1001,'App Data'!$L$2:$L$1001,SUBSTITUTE(SUBSTITUTE(SUBSTITUTE(L38,"~","~~"),"*","~*"),"?","~?")))</x:f>
      </x:c>
      <x:c r="J38" s="13" t="str">
        <x:f>IF(OR(NOT(ISNUMBER(E38)),NOT(ISNUMBER(I38))),"",ROUND(E38-I38,2))</x:f>
      </x:c>
      <x:c r="K38" s="2" t="str">
        <x:f>IF(COUNTA(A38:F38)=0,"",IF(OR(A38="",B38="",C38="",D38="",NOT(ISNUMBER(E38))),"Missing / invalid input",IF(G38&gt;1,"Duplicate key in this source",IF(H38=0,"Missing in other source",IF(H38&gt;1,"Duplicate in other source",IF(SUMIFS('App Data'!$M$2:$M$1001,'App Data'!$L$2:$L$1001,SUBSTITUTE(SUBSTITUTE(SUBSTITUTE(L38,"~","~~"),"*","~*"),"?","~?"))&lt;&gt;1,"Other amount is invalid",IF(J38&lt;&gt;0,"Amount differs","Matched")))))))</x:f>
      </x:c>
      <x:c r="L38" t="str">
        <x:f>IF(COUNTA(A38:F38)=0,"",LEN(A38)&amp;":"&amp;A38&amp;LEN(B38)&amp;":"&amp;B38&amp;LEN(C38)&amp;":"&amp;C38&amp;LEN(D38)&amp;":"&amp;D38)</x:f>
      </x:c>
      <x:c r="M38" t="str">
        <x:f>IF(COUNTA(A38:F38)=0,"",IF(ISNUMBER(E38),1,0))</x:f>
      </x:c>
    </x:row>
    <x:row r="39">
      <x:c r="A39" s="11"/>
      <x:c r="B39" s="11"/>
      <x:c r="C39" s="11"/>
      <x:c r="D39" s="11"/>
      <x:c r="E39" s="12"/>
      <x:c r="F39" s="10"/>
      <x:c r="G39" s="2" t="str">
        <x:f>IF(COUNTA(A39:F39)=0,"",COUNTIFS('External Data'!$L$2:$L$1001,SUBSTITUTE(SUBSTITUTE(SUBSTITUTE(L39,"~","~~"),"*","~*"),"?","~?")))</x:f>
      </x:c>
      <x:c r="H39" s="2" t="str">
        <x:f>IF(COUNTA(A39:F39)=0,"",COUNTIFS('App Data'!$L$2:$L$1001,SUBSTITUTE(SUBSTITUTE(SUBSTITUTE(L39,"~","~~"),"*","~*"),"?","~?")))</x:f>
      </x:c>
      <x:c r="I39" s="13" t="str">
        <x:f>IF(OR(H39&lt;&gt;1,G39&lt;&gt;1),"",SUMIFS('App Data'!$E$2:$E$1001,'App Data'!$L$2:$L$1001,SUBSTITUTE(SUBSTITUTE(SUBSTITUTE(L39,"~","~~"),"*","~*"),"?","~?")))</x:f>
      </x:c>
      <x:c r="J39" s="13" t="str">
        <x:f>IF(OR(NOT(ISNUMBER(E39)),NOT(ISNUMBER(I39))),"",ROUND(E39-I39,2))</x:f>
      </x:c>
      <x:c r="K39" s="2" t="str">
        <x:f>IF(COUNTA(A39:F39)=0,"",IF(OR(A39="",B39="",C39="",D39="",NOT(ISNUMBER(E39))),"Missing / invalid input",IF(G39&gt;1,"Duplicate key in this source",IF(H39=0,"Missing in other source",IF(H39&gt;1,"Duplicate in other source",IF(SUMIFS('App Data'!$M$2:$M$1001,'App Data'!$L$2:$L$1001,SUBSTITUTE(SUBSTITUTE(SUBSTITUTE(L39,"~","~~"),"*","~*"),"?","~?"))&lt;&gt;1,"Other amount is invalid",IF(J39&lt;&gt;0,"Amount differs","Matched")))))))</x:f>
      </x:c>
      <x:c r="L39" t="str">
        <x:f>IF(COUNTA(A39:F39)=0,"",LEN(A39)&amp;":"&amp;A39&amp;LEN(B39)&amp;":"&amp;B39&amp;LEN(C39)&amp;":"&amp;C39&amp;LEN(D39)&amp;":"&amp;D39)</x:f>
      </x:c>
      <x:c r="M39" t="str">
        <x:f>IF(COUNTA(A39:F39)=0,"",IF(ISNUMBER(E39),1,0))</x:f>
      </x:c>
    </x:row>
    <x:row r="40">
      <x:c r="A40" s="11"/>
      <x:c r="B40" s="11"/>
      <x:c r="C40" s="11"/>
      <x:c r="D40" s="11"/>
      <x:c r="E40" s="12"/>
      <x:c r="F40" s="10"/>
      <x:c r="G40" s="2" t="str">
        <x:f>IF(COUNTA(A40:F40)=0,"",COUNTIFS('External Data'!$L$2:$L$1001,SUBSTITUTE(SUBSTITUTE(SUBSTITUTE(L40,"~","~~"),"*","~*"),"?","~?")))</x:f>
      </x:c>
      <x:c r="H40" s="2" t="str">
        <x:f>IF(COUNTA(A40:F40)=0,"",COUNTIFS('App Data'!$L$2:$L$1001,SUBSTITUTE(SUBSTITUTE(SUBSTITUTE(L40,"~","~~"),"*","~*"),"?","~?")))</x:f>
      </x:c>
      <x:c r="I40" s="13" t="str">
        <x:f>IF(OR(H40&lt;&gt;1,G40&lt;&gt;1),"",SUMIFS('App Data'!$E$2:$E$1001,'App Data'!$L$2:$L$1001,SUBSTITUTE(SUBSTITUTE(SUBSTITUTE(L40,"~","~~"),"*","~*"),"?","~?")))</x:f>
      </x:c>
      <x:c r="J40" s="13" t="str">
        <x:f>IF(OR(NOT(ISNUMBER(E40)),NOT(ISNUMBER(I40))),"",ROUND(E40-I40,2))</x:f>
      </x:c>
      <x:c r="K40" s="2" t="str">
        <x:f>IF(COUNTA(A40:F40)=0,"",IF(OR(A40="",B40="",C40="",D40="",NOT(ISNUMBER(E40))),"Missing / invalid input",IF(G40&gt;1,"Duplicate key in this source",IF(H40=0,"Missing in other source",IF(H40&gt;1,"Duplicate in other source",IF(SUMIFS('App Data'!$M$2:$M$1001,'App Data'!$L$2:$L$1001,SUBSTITUTE(SUBSTITUTE(SUBSTITUTE(L40,"~","~~"),"*","~*"),"?","~?"))&lt;&gt;1,"Other amount is invalid",IF(J40&lt;&gt;0,"Amount differs","Matched")))))))</x:f>
      </x:c>
      <x:c r="L40" t="str">
        <x:f>IF(COUNTA(A40:F40)=0,"",LEN(A40)&amp;":"&amp;A40&amp;LEN(B40)&amp;":"&amp;B40&amp;LEN(C40)&amp;":"&amp;C40&amp;LEN(D40)&amp;":"&amp;D40)</x:f>
      </x:c>
      <x:c r="M40" t="str">
        <x:f>IF(COUNTA(A40:F40)=0,"",IF(ISNUMBER(E40),1,0))</x:f>
      </x:c>
    </x:row>
    <x:row r="41">
      <x:c r="A41" s="11"/>
      <x:c r="B41" s="11"/>
      <x:c r="C41" s="11"/>
      <x:c r="D41" s="11"/>
      <x:c r="E41" s="12"/>
      <x:c r="F41" s="10"/>
      <x:c r="G41" s="2" t="str">
        <x:f>IF(COUNTA(A41:F41)=0,"",COUNTIFS('External Data'!$L$2:$L$1001,SUBSTITUTE(SUBSTITUTE(SUBSTITUTE(L41,"~","~~"),"*","~*"),"?","~?")))</x:f>
      </x:c>
      <x:c r="H41" s="2" t="str">
        <x:f>IF(COUNTA(A41:F41)=0,"",COUNTIFS('App Data'!$L$2:$L$1001,SUBSTITUTE(SUBSTITUTE(SUBSTITUTE(L41,"~","~~"),"*","~*"),"?","~?")))</x:f>
      </x:c>
      <x:c r="I41" s="13" t="str">
        <x:f>IF(OR(H41&lt;&gt;1,G41&lt;&gt;1),"",SUMIFS('App Data'!$E$2:$E$1001,'App Data'!$L$2:$L$1001,SUBSTITUTE(SUBSTITUTE(SUBSTITUTE(L41,"~","~~"),"*","~*"),"?","~?")))</x:f>
      </x:c>
      <x:c r="J41" s="13" t="str">
        <x:f>IF(OR(NOT(ISNUMBER(E41)),NOT(ISNUMBER(I41))),"",ROUND(E41-I41,2))</x:f>
      </x:c>
      <x:c r="K41" s="2" t="str">
        <x:f>IF(COUNTA(A41:F41)=0,"",IF(OR(A41="",B41="",C41="",D41="",NOT(ISNUMBER(E41))),"Missing / invalid input",IF(G41&gt;1,"Duplicate key in this source",IF(H41=0,"Missing in other source",IF(H41&gt;1,"Duplicate in other source",IF(SUMIFS('App Data'!$M$2:$M$1001,'App Data'!$L$2:$L$1001,SUBSTITUTE(SUBSTITUTE(SUBSTITUTE(L41,"~","~~"),"*","~*"),"?","~?"))&lt;&gt;1,"Other amount is invalid",IF(J41&lt;&gt;0,"Amount differs","Matched")))))))</x:f>
      </x:c>
      <x:c r="L41" t="str">
        <x:f>IF(COUNTA(A41:F41)=0,"",LEN(A41)&amp;":"&amp;A41&amp;LEN(B41)&amp;":"&amp;B41&amp;LEN(C41)&amp;":"&amp;C41&amp;LEN(D41)&amp;":"&amp;D41)</x:f>
      </x:c>
      <x:c r="M41" t="str">
        <x:f>IF(COUNTA(A41:F41)=0,"",IF(ISNUMBER(E41),1,0))</x:f>
      </x:c>
    </x:row>
    <x:row r="42">
      <x:c r="A42" s="11"/>
      <x:c r="B42" s="11"/>
      <x:c r="C42" s="11"/>
      <x:c r="D42" s="11"/>
      <x:c r="E42" s="12"/>
      <x:c r="F42" s="10"/>
      <x:c r="G42" s="2" t="str">
        <x:f>IF(COUNTA(A42:F42)=0,"",COUNTIFS('External Data'!$L$2:$L$1001,SUBSTITUTE(SUBSTITUTE(SUBSTITUTE(L42,"~","~~"),"*","~*"),"?","~?")))</x:f>
      </x:c>
      <x:c r="H42" s="2" t="str">
        <x:f>IF(COUNTA(A42:F42)=0,"",COUNTIFS('App Data'!$L$2:$L$1001,SUBSTITUTE(SUBSTITUTE(SUBSTITUTE(L42,"~","~~"),"*","~*"),"?","~?")))</x:f>
      </x:c>
      <x:c r="I42" s="13" t="str">
        <x:f>IF(OR(H42&lt;&gt;1,G42&lt;&gt;1),"",SUMIFS('App Data'!$E$2:$E$1001,'App Data'!$L$2:$L$1001,SUBSTITUTE(SUBSTITUTE(SUBSTITUTE(L42,"~","~~"),"*","~*"),"?","~?")))</x:f>
      </x:c>
      <x:c r="J42" s="13" t="str">
        <x:f>IF(OR(NOT(ISNUMBER(E42)),NOT(ISNUMBER(I42))),"",ROUND(E42-I42,2))</x:f>
      </x:c>
      <x:c r="K42" s="2" t="str">
        <x:f>IF(COUNTA(A42:F42)=0,"",IF(OR(A42="",B42="",C42="",D42="",NOT(ISNUMBER(E42))),"Missing / invalid input",IF(G42&gt;1,"Duplicate key in this source",IF(H42=0,"Missing in other source",IF(H42&gt;1,"Duplicate in other source",IF(SUMIFS('App Data'!$M$2:$M$1001,'App Data'!$L$2:$L$1001,SUBSTITUTE(SUBSTITUTE(SUBSTITUTE(L42,"~","~~"),"*","~*"),"?","~?"))&lt;&gt;1,"Other amount is invalid",IF(J42&lt;&gt;0,"Amount differs","Matched")))))))</x:f>
      </x:c>
      <x:c r="L42" t="str">
        <x:f>IF(COUNTA(A42:F42)=0,"",LEN(A42)&amp;":"&amp;A42&amp;LEN(B42)&amp;":"&amp;B42&amp;LEN(C42)&amp;":"&amp;C42&amp;LEN(D42)&amp;":"&amp;D42)</x:f>
      </x:c>
      <x:c r="M42" t="str">
        <x:f>IF(COUNTA(A42:F42)=0,"",IF(ISNUMBER(E42),1,0))</x:f>
      </x:c>
    </x:row>
    <x:row r="43">
      <x:c r="A43" s="11"/>
      <x:c r="B43" s="11"/>
      <x:c r="C43" s="11"/>
      <x:c r="D43" s="11"/>
      <x:c r="E43" s="12"/>
      <x:c r="F43" s="10"/>
      <x:c r="G43" s="2" t="str">
        <x:f>IF(COUNTA(A43:F43)=0,"",COUNTIFS('External Data'!$L$2:$L$1001,SUBSTITUTE(SUBSTITUTE(SUBSTITUTE(L43,"~","~~"),"*","~*"),"?","~?")))</x:f>
      </x:c>
      <x:c r="H43" s="2" t="str">
        <x:f>IF(COUNTA(A43:F43)=0,"",COUNTIFS('App Data'!$L$2:$L$1001,SUBSTITUTE(SUBSTITUTE(SUBSTITUTE(L43,"~","~~"),"*","~*"),"?","~?")))</x:f>
      </x:c>
      <x:c r="I43" s="13" t="str">
        <x:f>IF(OR(H43&lt;&gt;1,G43&lt;&gt;1),"",SUMIFS('App Data'!$E$2:$E$1001,'App Data'!$L$2:$L$1001,SUBSTITUTE(SUBSTITUTE(SUBSTITUTE(L43,"~","~~"),"*","~*"),"?","~?")))</x:f>
      </x:c>
      <x:c r="J43" s="13" t="str">
        <x:f>IF(OR(NOT(ISNUMBER(E43)),NOT(ISNUMBER(I43))),"",ROUND(E43-I43,2))</x:f>
      </x:c>
      <x:c r="K43" s="2" t="str">
        <x:f>IF(COUNTA(A43:F43)=0,"",IF(OR(A43="",B43="",C43="",D43="",NOT(ISNUMBER(E43))),"Missing / invalid input",IF(G43&gt;1,"Duplicate key in this source",IF(H43=0,"Missing in other source",IF(H43&gt;1,"Duplicate in other source",IF(SUMIFS('App Data'!$M$2:$M$1001,'App Data'!$L$2:$L$1001,SUBSTITUTE(SUBSTITUTE(SUBSTITUTE(L43,"~","~~"),"*","~*"),"?","~?"))&lt;&gt;1,"Other amount is invalid",IF(J43&lt;&gt;0,"Amount differs","Matched")))))))</x:f>
      </x:c>
      <x:c r="L43" t="str">
        <x:f>IF(COUNTA(A43:F43)=0,"",LEN(A43)&amp;":"&amp;A43&amp;LEN(B43)&amp;":"&amp;B43&amp;LEN(C43)&amp;":"&amp;C43&amp;LEN(D43)&amp;":"&amp;D43)</x:f>
      </x:c>
      <x:c r="M43" t="str">
        <x:f>IF(COUNTA(A43:F43)=0,"",IF(ISNUMBER(E43),1,0))</x:f>
      </x:c>
    </x:row>
    <x:row r="44">
      <x:c r="A44" s="11"/>
      <x:c r="B44" s="11"/>
      <x:c r="C44" s="11"/>
      <x:c r="D44" s="11"/>
      <x:c r="E44" s="12"/>
      <x:c r="F44" s="10"/>
      <x:c r="G44" s="2" t="str">
        <x:f>IF(COUNTA(A44:F44)=0,"",COUNTIFS('External Data'!$L$2:$L$1001,SUBSTITUTE(SUBSTITUTE(SUBSTITUTE(L44,"~","~~"),"*","~*"),"?","~?")))</x:f>
      </x:c>
      <x:c r="H44" s="2" t="str">
        <x:f>IF(COUNTA(A44:F44)=0,"",COUNTIFS('App Data'!$L$2:$L$1001,SUBSTITUTE(SUBSTITUTE(SUBSTITUTE(L44,"~","~~"),"*","~*"),"?","~?")))</x:f>
      </x:c>
      <x:c r="I44" s="13" t="str">
        <x:f>IF(OR(H44&lt;&gt;1,G44&lt;&gt;1),"",SUMIFS('App Data'!$E$2:$E$1001,'App Data'!$L$2:$L$1001,SUBSTITUTE(SUBSTITUTE(SUBSTITUTE(L44,"~","~~"),"*","~*"),"?","~?")))</x:f>
      </x:c>
      <x:c r="J44" s="13" t="str">
        <x:f>IF(OR(NOT(ISNUMBER(E44)),NOT(ISNUMBER(I44))),"",ROUND(E44-I44,2))</x:f>
      </x:c>
      <x:c r="K44" s="2" t="str">
        <x:f>IF(COUNTA(A44:F44)=0,"",IF(OR(A44="",B44="",C44="",D44="",NOT(ISNUMBER(E44))),"Missing / invalid input",IF(G44&gt;1,"Duplicate key in this source",IF(H44=0,"Missing in other source",IF(H44&gt;1,"Duplicate in other source",IF(SUMIFS('App Data'!$M$2:$M$1001,'App Data'!$L$2:$L$1001,SUBSTITUTE(SUBSTITUTE(SUBSTITUTE(L44,"~","~~"),"*","~*"),"?","~?"))&lt;&gt;1,"Other amount is invalid",IF(J44&lt;&gt;0,"Amount differs","Matched")))))))</x:f>
      </x:c>
      <x:c r="L44" t="str">
        <x:f>IF(COUNTA(A44:F44)=0,"",LEN(A44)&amp;":"&amp;A44&amp;LEN(B44)&amp;":"&amp;B44&amp;LEN(C44)&amp;":"&amp;C44&amp;LEN(D44)&amp;":"&amp;D44)</x:f>
      </x:c>
      <x:c r="M44" t="str">
        <x:f>IF(COUNTA(A44:F44)=0,"",IF(ISNUMBER(E44),1,0))</x:f>
      </x:c>
    </x:row>
    <x:row r="45">
      <x:c r="A45" s="11"/>
      <x:c r="B45" s="11"/>
      <x:c r="C45" s="11"/>
      <x:c r="D45" s="11"/>
      <x:c r="E45" s="12"/>
      <x:c r="F45" s="10"/>
      <x:c r="G45" s="2" t="str">
        <x:f>IF(COUNTA(A45:F45)=0,"",COUNTIFS('External Data'!$L$2:$L$1001,SUBSTITUTE(SUBSTITUTE(SUBSTITUTE(L45,"~","~~"),"*","~*"),"?","~?")))</x:f>
      </x:c>
      <x:c r="H45" s="2" t="str">
        <x:f>IF(COUNTA(A45:F45)=0,"",COUNTIFS('App Data'!$L$2:$L$1001,SUBSTITUTE(SUBSTITUTE(SUBSTITUTE(L45,"~","~~"),"*","~*"),"?","~?")))</x:f>
      </x:c>
      <x:c r="I45" s="13" t="str">
        <x:f>IF(OR(H45&lt;&gt;1,G45&lt;&gt;1),"",SUMIFS('App Data'!$E$2:$E$1001,'App Data'!$L$2:$L$1001,SUBSTITUTE(SUBSTITUTE(SUBSTITUTE(L45,"~","~~"),"*","~*"),"?","~?")))</x:f>
      </x:c>
      <x:c r="J45" s="13" t="str">
        <x:f>IF(OR(NOT(ISNUMBER(E45)),NOT(ISNUMBER(I45))),"",ROUND(E45-I45,2))</x:f>
      </x:c>
      <x:c r="K45" s="2" t="str">
        <x:f>IF(COUNTA(A45:F45)=0,"",IF(OR(A45="",B45="",C45="",D45="",NOT(ISNUMBER(E45))),"Missing / invalid input",IF(G45&gt;1,"Duplicate key in this source",IF(H45=0,"Missing in other source",IF(H45&gt;1,"Duplicate in other source",IF(SUMIFS('App Data'!$M$2:$M$1001,'App Data'!$L$2:$L$1001,SUBSTITUTE(SUBSTITUTE(SUBSTITUTE(L45,"~","~~"),"*","~*"),"?","~?"))&lt;&gt;1,"Other amount is invalid",IF(J45&lt;&gt;0,"Amount differs","Matched")))))))</x:f>
      </x:c>
      <x:c r="L45" t="str">
        <x:f>IF(COUNTA(A45:F45)=0,"",LEN(A45)&amp;":"&amp;A45&amp;LEN(B45)&amp;":"&amp;B45&amp;LEN(C45)&amp;":"&amp;C45&amp;LEN(D45)&amp;":"&amp;D45)</x:f>
      </x:c>
      <x:c r="M45" t="str">
        <x:f>IF(COUNTA(A45:F45)=0,"",IF(ISNUMBER(E45),1,0))</x:f>
      </x:c>
    </x:row>
    <x:row r="46">
      <x:c r="A46" s="11"/>
      <x:c r="B46" s="11"/>
      <x:c r="C46" s="11"/>
      <x:c r="D46" s="11"/>
      <x:c r="E46" s="12"/>
      <x:c r="F46" s="10"/>
      <x:c r="G46" s="2" t="str">
        <x:f>IF(COUNTA(A46:F46)=0,"",COUNTIFS('External Data'!$L$2:$L$1001,SUBSTITUTE(SUBSTITUTE(SUBSTITUTE(L46,"~","~~"),"*","~*"),"?","~?")))</x:f>
      </x:c>
      <x:c r="H46" s="2" t="str">
        <x:f>IF(COUNTA(A46:F46)=0,"",COUNTIFS('App Data'!$L$2:$L$1001,SUBSTITUTE(SUBSTITUTE(SUBSTITUTE(L46,"~","~~"),"*","~*"),"?","~?")))</x:f>
      </x:c>
      <x:c r="I46" s="13" t="str">
        <x:f>IF(OR(H46&lt;&gt;1,G46&lt;&gt;1),"",SUMIFS('App Data'!$E$2:$E$1001,'App Data'!$L$2:$L$1001,SUBSTITUTE(SUBSTITUTE(SUBSTITUTE(L46,"~","~~"),"*","~*"),"?","~?")))</x:f>
      </x:c>
      <x:c r="J46" s="13" t="str">
        <x:f>IF(OR(NOT(ISNUMBER(E46)),NOT(ISNUMBER(I46))),"",ROUND(E46-I46,2))</x:f>
      </x:c>
      <x:c r="K46" s="2" t="str">
        <x:f>IF(COUNTA(A46:F46)=0,"",IF(OR(A46="",B46="",C46="",D46="",NOT(ISNUMBER(E46))),"Missing / invalid input",IF(G46&gt;1,"Duplicate key in this source",IF(H46=0,"Missing in other source",IF(H46&gt;1,"Duplicate in other source",IF(SUMIFS('App Data'!$M$2:$M$1001,'App Data'!$L$2:$L$1001,SUBSTITUTE(SUBSTITUTE(SUBSTITUTE(L46,"~","~~"),"*","~*"),"?","~?"))&lt;&gt;1,"Other amount is invalid",IF(J46&lt;&gt;0,"Amount differs","Matched")))))))</x:f>
      </x:c>
      <x:c r="L46" t="str">
        <x:f>IF(COUNTA(A46:F46)=0,"",LEN(A46)&amp;":"&amp;A46&amp;LEN(B46)&amp;":"&amp;B46&amp;LEN(C46)&amp;":"&amp;C46&amp;LEN(D46)&amp;":"&amp;D46)</x:f>
      </x:c>
      <x:c r="M46" t="str">
        <x:f>IF(COUNTA(A46:F46)=0,"",IF(ISNUMBER(E46),1,0))</x:f>
      </x:c>
    </x:row>
    <x:row r="47">
      <x:c r="A47" s="11"/>
      <x:c r="B47" s="11"/>
      <x:c r="C47" s="11"/>
      <x:c r="D47" s="11"/>
      <x:c r="E47" s="12"/>
      <x:c r="F47" s="10"/>
      <x:c r="G47" s="2" t="str">
        <x:f>IF(COUNTA(A47:F47)=0,"",COUNTIFS('External Data'!$L$2:$L$1001,SUBSTITUTE(SUBSTITUTE(SUBSTITUTE(L47,"~","~~"),"*","~*"),"?","~?")))</x:f>
      </x:c>
      <x:c r="H47" s="2" t="str">
        <x:f>IF(COUNTA(A47:F47)=0,"",COUNTIFS('App Data'!$L$2:$L$1001,SUBSTITUTE(SUBSTITUTE(SUBSTITUTE(L47,"~","~~"),"*","~*"),"?","~?")))</x:f>
      </x:c>
      <x:c r="I47" s="13" t="str">
        <x:f>IF(OR(H47&lt;&gt;1,G47&lt;&gt;1),"",SUMIFS('App Data'!$E$2:$E$1001,'App Data'!$L$2:$L$1001,SUBSTITUTE(SUBSTITUTE(SUBSTITUTE(L47,"~","~~"),"*","~*"),"?","~?")))</x:f>
      </x:c>
      <x:c r="J47" s="13" t="str">
        <x:f>IF(OR(NOT(ISNUMBER(E47)),NOT(ISNUMBER(I47))),"",ROUND(E47-I47,2))</x:f>
      </x:c>
      <x:c r="K47" s="2" t="str">
        <x:f>IF(COUNTA(A47:F47)=0,"",IF(OR(A47="",B47="",C47="",D47="",NOT(ISNUMBER(E47))),"Missing / invalid input",IF(G47&gt;1,"Duplicate key in this source",IF(H47=0,"Missing in other source",IF(H47&gt;1,"Duplicate in other source",IF(SUMIFS('App Data'!$M$2:$M$1001,'App Data'!$L$2:$L$1001,SUBSTITUTE(SUBSTITUTE(SUBSTITUTE(L47,"~","~~"),"*","~*"),"?","~?"))&lt;&gt;1,"Other amount is invalid",IF(J47&lt;&gt;0,"Amount differs","Matched")))))))</x:f>
      </x:c>
      <x:c r="L47" t="str">
        <x:f>IF(COUNTA(A47:F47)=0,"",LEN(A47)&amp;":"&amp;A47&amp;LEN(B47)&amp;":"&amp;B47&amp;LEN(C47)&amp;":"&amp;C47&amp;LEN(D47)&amp;":"&amp;D47)</x:f>
      </x:c>
      <x:c r="M47" t="str">
        <x:f>IF(COUNTA(A47:F47)=0,"",IF(ISNUMBER(E47),1,0))</x:f>
      </x:c>
    </x:row>
    <x:row r="48">
      <x:c r="A48" s="11"/>
      <x:c r="B48" s="11"/>
      <x:c r="C48" s="11"/>
      <x:c r="D48" s="11"/>
      <x:c r="E48" s="12"/>
      <x:c r="F48" s="10"/>
      <x:c r="G48" s="2" t="str">
        <x:f>IF(COUNTA(A48:F48)=0,"",COUNTIFS('External Data'!$L$2:$L$1001,SUBSTITUTE(SUBSTITUTE(SUBSTITUTE(L48,"~","~~"),"*","~*"),"?","~?")))</x:f>
      </x:c>
      <x:c r="H48" s="2" t="str">
        <x:f>IF(COUNTA(A48:F48)=0,"",COUNTIFS('App Data'!$L$2:$L$1001,SUBSTITUTE(SUBSTITUTE(SUBSTITUTE(L48,"~","~~"),"*","~*"),"?","~?")))</x:f>
      </x:c>
      <x:c r="I48" s="13" t="str">
        <x:f>IF(OR(H48&lt;&gt;1,G48&lt;&gt;1),"",SUMIFS('App Data'!$E$2:$E$1001,'App Data'!$L$2:$L$1001,SUBSTITUTE(SUBSTITUTE(SUBSTITUTE(L48,"~","~~"),"*","~*"),"?","~?")))</x:f>
      </x:c>
      <x:c r="J48" s="13" t="str">
        <x:f>IF(OR(NOT(ISNUMBER(E48)),NOT(ISNUMBER(I48))),"",ROUND(E48-I48,2))</x:f>
      </x:c>
      <x:c r="K48" s="2" t="str">
        <x:f>IF(COUNTA(A48:F48)=0,"",IF(OR(A48="",B48="",C48="",D48="",NOT(ISNUMBER(E48))),"Missing / invalid input",IF(G48&gt;1,"Duplicate key in this source",IF(H48=0,"Missing in other source",IF(H48&gt;1,"Duplicate in other source",IF(SUMIFS('App Data'!$M$2:$M$1001,'App Data'!$L$2:$L$1001,SUBSTITUTE(SUBSTITUTE(SUBSTITUTE(L48,"~","~~"),"*","~*"),"?","~?"))&lt;&gt;1,"Other amount is invalid",IF(J48&lt;&gt;0,"Amount differs","Matched")))))))</x:f>
      </x:c>
      <x:c r="L48" t="str">
        <x:f>IF(COUNTA(A48:F48)=0,"",LEN(A48)&amp;":"&amp;A48&amp;LEN(B48)&amp;":"&amp;B48&amp;LEN(C48)&amp;":"&amp;C48&amp;LEN(D48)&amp;":"&amp;D48)</x:f>
      </x:c>
      <x:c r="M48" t="str">
        <x:f>IF(COUNTA(A48:F48)=0,"",IF(ISNUMBER(E48),1,0))</x:f>
      </x:c>
    </x:row>
    <x:row r="49">
      <x:c r="A49" s="11"/>
      <x:c r="B49" s="11"/>
      <x:c r="C49" s="11"/>
      <x:c r="D49" s="11"/>
      <x:c r="E49" s="12"/>
      <x:c r="F49" s="10"/>
      <x:c r="G49" s="2" t="str">
        <x:f>IF(COUNTA(A49:F49)=0,"",COUNTIFS('External Data'!$L$2:$L$1001,SUBSTITUTE(SUBSTITUTE(SUBSTITUTE(L49,"~","~~"),"*","~*"),"?","~?")))</x:f>
      </x:c>
      <x:c r="H49" s="2" t="str">
        <x:f>IF(COUNTA(A49:F49)=0,"",COUNTIFS('App Data'!$L$2:$L$1001,SUBSTITUTE(SUBSTITUTE(SUBSTITUTE(L49,"~","~~"),"*","~*"),"?","~?")))</x:f>
      </x:c>
      <x:c r="I49" s="13" t="str">
        <x:f>IF(OR(H49&lt;&gt;1,G49&lt;&gt;1),"",SUMIFS('App Data'!$E$2:$E$1001,'App Data'!$L$2:$L$1001,SUBSTITUTE(SUBSTITUTE(SUBSTITUTE(L49,"~","~~"),"*","~*"),"?","~?")))</x:f>
      </x:c>
      <x:c r="J49" s="13" t="str">
        <x:f>IF(OR(NOT(ISNUMBER(E49)),NOT(ISNUMBER(I49))),"",ROUND(E49-I49,2))</x:f>
      </x:c>
      <x:c r="K49" s="2" t="str">
        <x:f>IF(COUNTA(A49:F49)=0,"",IF(OR(A49="",B49="",C49="",D49="",NOT(ISNUMBER(E49))),"Missing / invalid input",IF(G49&gt;1,"Duplicate key in this source",IF(H49=0,"Missing in other source",IF(H49&gt;1,"Duplicate in other source",IF(SUMIFS('App Data'!$M$2:$M$1001,'App Data'!$L$2:$L$1001,SUBSTITUTE(SUBSTITUTE(SUBSTITUTE(L49,"~","~~"),"*","~*"),"?","~?"))&lt;&gt;1,"Other amount is invalid",IF(J49&lt;&gt;0,"Amount differs","Matched")))))))</x:f>
      </x:c>
      <x:c r="L49" t="str">
        <x:f>IF(COUNTA(A49:F49)=0,"",LEN(A49)&amp;":"&amp;A49&amp;LEN(B49)&amp;":"&amp;B49&amp;LEN(C49)&amp;":"&amp;C49&amp;LEN(D49)&amp;":"&amp;D49)</x:f>
      </x:c>
      <x:c r="M49" t="str">
        <x:f>IF(COUNTA(A49:F49)=0,"",IF(ISNUMBER(E49),1,0))</x:f>
      </x:c>
    </x:row>
    <x:row r="50">
      <x:c r="A50" s="11"/>
      <x:c r="B50" s="11"/>
      <x:c r="C50" s="11"/>
      <x:c r="D50" s="11"/>
      <x:c r="E50" s="12"/>
      <x:c r="F50" s="10"/>
      <x:c r="G50" s="2" t="str">
        <x:f>IF(COUNTA(A50:F50)=0,"",COUNTIFS('External Data'!$L$2:$L$1001,SUBSTITUTE(SUBSTITUTE(SUBSTITUTE(L50,"~","~~"),"*","~*"),"?","~?")))</x:f>
      </x:c>
      <x:c r="H50" s="2" t="str">
        <x:f>IF(COUNTA(A50:F50)=0,"",COUNTIFS('App Data'!$L$2:$L$1001,SUBSTITUTE(SUBSTITUTE(SUBSTITUTE(L50,"~","~~"),"*","~*"),"?","~?")))</x:f>
      </x:c>
      <x:c r="I50" s="13" t="str">
        <x:f>IF(OR(H50&lt;&gt;1,G50&lt;&gt;1),"",SUMIFS('App Data'!$E$2:$E$1001,'App Data'!$L$2:$L$1001,SUBSTITUTE(SUBSTITUTE(SUBSTITUTE(L50,"~","~~"),"*","~*"),"?","~?")))</x:f>
      </x:c>
      <x:c r="J50" s="13" t="str">
        <x:f>IF(OR(NOT(ISNUMBER(E50)),NOT(ISNUMBER(I50))),"",ROUND(E50-I50,2))</x:f>
      </x:c>
      <x:c r="K50" s="2" t="str">
        <x:f>IF(COUNTA(A50:F50)=0,"",IF(OR(A50="",B50="",C50="",D50="",NOT(ISNUMBER(E50))),"Missing / invalid input",IF(G50&gt;1,"Duplicate key in this source",IF(H50=0,"Missing in other source",IF(H50&gt;1,"Duplicate in other source",IF(SUMIFS('App Data'!$M$2:$M$1001,'App Data'!$L$2:$L$1001,SUBSTITUTE(SUBSTITUTE(SUBSTITUTE(L50,"~","~~"),"*","~*"),"?","~?"))&lt;&gt;1,"Other amount is invalid",IF(J50&lt;&gt;0,"Amount differs","Matched")))))))</x:f>
      </x:c>
      <x:c r="L50" t="str">
        <x:f>IF(COUNTA(A50:F50)=0,"",LEN(A50)&amp;":"&amp;A50&amp;LEN(B50)&amp;":"&amp;B50&amp;LEN(C50)&amp;":"&amp;C50&amp;LEN(D50)&amp;":"&amp;D50)</x:f>
      </x:c>
      <x:c r="M50" t="str">
        <x:f>IF(COUNTA(A50:F50)=0,"",IF(ISNUMBER(E50),1,0))</x:f>
      </x:c>
    </x:row>
    <x:row r="51">
      <x:c r="A51" s="11"/>
      <x:c r="B51" s="11"/>
      <x:c r="C51" s="11"/>
      <x:c r="D51" s="11"/>
      <x:c r="E51" s="12"/>
      <x:c r="F51" s="10"/>
      <x:c r="G51" s="2" t="str">
        <x:f>IF(COUNTA(A51:F51)=0,"",COUNTIFS('External Data'!$L$2:$L$1001,SUBSTITUTE(SUBSTITUTE(SUBSTITUTE(L51,"~","~~"),"*","~*"),"?","~?")))</x:f>
      </x:c>
      <x:c r="H51" s="2" t="str">
        <x:f>IF(COUNTA(A51:F51)=0,"",COUNTIFS('App Data'!$L$2:$L$1001,SUBSTITUTE(SUBSTITUTE(SUBSTITUTE(L51,"~","~~"),"*","~*"),"?","~?")))</x:f>
      </x:c>
      <x:c r="I51" s="13" t="str">
        <x:f>IF(OR(H51&lt;&gt;1,G51&lt;&gt;1),"",SUMIFS('App Data'!$E$2:$E$1001,'App Data'!$L$2:$L$1001,SUBSTITUTE(SUBSTITUTE(SUBSTITUTE(L51,"~","~~"),"*","~*"),"?","~?")))</x:f>
      </x:c>
      <x:c r="J51" s="13" t="str">
        <x:f>IF(OR(NOT(ISNUMBER(E51)),NOT(ISNUMBER(I51))),"",ROUND(E51-I51,2))</x:f>
      </x:c>
      <x:c r="K51" s="2" t="str">
        <x:f>IF(COUNTA(A51:F51)=0,"",IF(OR(A51="",B51="",C51="",D51="",NOT(ISNUMBER(E51))),"Missing / invalid input",IF(G51&gt;1,"Duplicate key in this source",IF(H51=0,"Missing in other source",IF(H51&gt;1,"Duplicate in other source",IF(SUMIFS('App Data'!$M$2:$M$1001,'App Data'!$L$2:$L$1001,SUBSTITUTE(SUBSTITUTE(SUBSTITUTE(L51,"~","~~"),"*","~*"),"?","~?"))&lt;&gt;1,"Other amount is invalid",IF(J51&lt;&gt;0,"Amount differs","Matched")))))))</x:f>
      </x:c>
      <x:c r="L51" t="str">
        <x:f>IF(COUNTA(A51:F51)=0,"",LEN(A51)&amp;":"&amp;A51&amp;LEN(B51)&amp;":"&amp;B51&amp;LEN(C51)&amp;":"&amp;C51&amp;LEN(D51)&amp;":"&amp;D51)</x:f>
      </x:c>
      <x:c r="M51" t="str">
        <x:f>IF(COUNTA(A51:F51)=0,"",IF(ISNUMBER(E51),1,0))</x:f>
      </x:c>
    </x:row>
    <x:row r="52">
      <x:c r="A52" s="11"/>
      <x:c r="B52" s="11"/>
      <x:c r="C52" s="11"/>
      <x:c r="D52" s="11"/>
      <x:c r="E52" s="12"/>
      <x:c r="F52" s="10"/>
      <x:c r="G52" s="2" t="str">
        <x:f>IF(COUNTA(A52:F52)=0,"",COUNTIFS('External Data'!$L$2:$L$1001,SUBSTITUTE(SUBSTITUTE(SUBSTITUTE(L52,"~","~~"),"*","~*"),"?","~?")))</x:f>
      </x:c>
      <x:c r="H52" s="2" t="str">
        <x:f>IF(COUNTA(A52:F52)=0,"",COUNTIFS('App Data'!$L$2:$L$1001,SUBSTITUTE(SUBSTITUTE(SUBSTITUTE(L52,"~","~~"),"*","~*"),"?","~?")))</x:f>
      </x:c>
      <x:c r="I52" s="13" t="str">
        <x:f>IF(OR(H52&lt;&gt;1,G52&lt;&gt;1),"",SUMIFS('App Data'!$E$2:$E$1001,'App Data'!$L$2:$L$1001,SUBSTITUTE(SUBSTITUTE(SUBSTITUTE(L52,"~","~~"),"*","~*"),"?","~?")))</x:f>
      </x:c>
      <x:c r="J52" s="13" t="str">
        <x:f>IF(OR(NOT(ISNUMBER(E52)),NOT(ISNUMBER(I52))),"",ROUND(E52-I52,2))</x:f>
      </x:c>
      <x:c r="K52" s="2" t="str">
        <x:f>IF(COUNTA(A52:F52)=0,"",IF(OR(A52="",B52="",C52="",D52="",NOT(ISNUMBER(E52))),"Missing / invalid input",IF(G52&gt;1,"Duplicate key in this source",IF(H52=0,"Missing in other source",IF(H52&gt;1,"Duplicate in other source",IF(SUMIFS('App Data'!$M$2:$M$1001,'App Data'!$L$2:$L$1001,SUBSTITUTE(SUBSTITUTE(SUBSTITUTE(L52,"~","~~"),"*","~*"),"?","~?"))&lt;&gt;1,"Other amount is invalid",IF(J52&lt;&gt;0,"Amount differs","Matched")))))))</x:f>
      </x:c>
      <x:c r="L52" t="str">
        <x:f>IF(COUNTA(A52:F52)=0,"",LEN(A52)&amp;":"&amp;A52&amp;LEN(B52)&amp;":"&amp;B52&amp;LEN(C52)&amp;":"&amp;C52&amp;LEN(D52)&amp;":"&amp;D52)</x:f>
      </x:c>
      <x:c r="M52" t="str">
        <x:f>IF(COUNTA(A52:F52)=0,"",IF(ISNUMBER(E52),1,0))</x:f>
      </x:c>
    </x:row>
    <x:row r="53">
      <x:c r="A53" s="11"/>
      <x:c r="B53" s="11"/>
      <x:c r="C53" s="11"/>
      <x:c r="D53" s="11"/>
      <x:c r="E53" s="12"/>
      <x:c r="F53" s="10"/>
      <x:c r="G53" s="2" t="str">
        <x:f>IF(COUNTA(A53:F53)=0,"",COUNTIFS('External Data'!$L$2:$L$1001,SUBSTITUTE(SUBSTITUTE(SUBSTITUTE(L53,"~","~~"),"*","~*"),"?","~?")))</x:f>
      </x:c>
      <x:c r="H53" s="2" t="str">
        <x:f>IF(COUNTA(A53:F53)=0,"",COUNTIFS('App Data'!$L$2:$L$1001,SUBSTITUTE(SUBSTITUTE(SUBSTITUTE(L53,"~","~~"),"*","~*"),"?","~?")))</x:f>
      </x:c>
      <x:c r="I53" s="13" t="str">
        <x:f>IF(OR(H53&lt;&gt;1,G53&lt;&gt;1),"",SUMIFS('App Data'!$E$2:$E$1001,'App Data'!$L$2:$L$1001,SUBSTITUTE(SUBSTITUTE(SUBSTITUTE(L53,"~","~~"),"*","~*"),"?","~?")))</x:f>
      </x:c>
      <x:c r="J53" s="13" t="str">
        <x:f>IF(OR(NOT(ISNUMBER(E53)),NOT(ISNUMBER(I53))),"",ROUND(E53-I53,2))</x:f>
      </x:c>
      <x:c r="K53" s="2" t="str">
        <x:f>IF(COUNTA(A53:F53)=0,"",IF(OR(A53="",B53="",C53="",D53="",NOT(ISNUMBER(E53))),"Missing / invalid input",IF(G53&gt;1,"Duplicate key in this source",IF(H53=0,"Missing in other source",IF(H53&gt;1,"Duplicate in other source",IF(SUMIFS('App Data'!$M$2:$M$1001,'App Data'!$L$2:$L$1001,SUBSTITUTE(SUBSTITUTE(SUBSTITUTE(L53,"~","~~"),"*","~*"),"?","~?"))&lt;&gt;1,"Other amount is invalid",IF(J53&lt;&gt;0,"Amount differs","Matched")))))))</x:f>
      </x:c>
      <x:c r="L53" t="str">
        <x:f>IF(COUNTA(A53:F53)=0,"",LEN(A53)&amp;":"&amp;A53&amp;LEN(B53)&amp;":"&amp;B53&amp;LEN(C53)&amp;":"&amp;C53&amp;LEN(D53)&amp;":"&amp;D53)</x:f>
      </x:c>
      <x:c r="M53" t="str">
        <x:f>IF(COUNTA(A53:F53)=0,"",IF(ISNUMBER(E53),1,0))</x:f>
      </x:c>
    </x:row>
    <x:row r="54">
      <x:c r="A54" s="11"/>
      <x:c r="B54" s="11"/>
      <x:c r="C54" s="11"/>
      <x:c r="D54" s="11"/>
      <x:c r="E54" s="12"/>
      <x:c r="F54" s="10"/>
      <x:c r="G54" s="2" t="str">
        <x:f>IF(COUNTA(A54:F54)=0,"",COUNTIFS('External Data'!$L$2:$L$1001,SUBSTITUTE(SUBSTITUTE(SUBSTITUTE(L54,"~","~~"),"*","~*"),"?","~?")))</x:f>
      </x:c>
      <x:c r="H54" s="2" t="str">
        <x:f>IF(COUNTA(A54:F54)=0,"",COUNTIFS('App Data'!$L$2:$L$1001,SUBSTITUTE(SUBSTITUTE(SUBSTITUTE(L54,"~","~~"),"*","~*"),"?","~?")))</x:f>
      </x:c>
      <x:c r="I54" s="13" t="str">
        <x:f>IF(OR(H54&lt;&gt;1,G54&lt;&gt;1),"",SUMIFS('App Data'!$E$2:$E$1001,'App Data'!$L$2:$L$1001,SUBSTITUTE(SUBSTITUTE(SUBSTITUTE(L54,"~","~~"),"*","~*"),"?","~?")))</x:f>
      </x:c>
      <x:c r="J54" s="13" t="str">
        <x:f>IF(OR(NOT(ISNUMBER(E54)),NOT(ISNUMBER(I54))),"",ROUND(E54-I54,2))</x:f>
      </x:c>
      <x:c r="K54" s="2" t="str">
        <x:f>IF(COUNTA(A54:F54)=0,"",IF(OR(A54="",B54="",C54="",D54="",NOT(ISNUMBER(E54))),"Missing / invalid input",IF(G54&gt;1,"Duplicate key in this source",IF(H54=0,"Missing in other source",IF(H54&gt;1,"Duplicate in other source",IF(SUMIFS('App Data'!$M$2:$M$1001,'App Data'!$L$2:$L$1001,SUBSTITUTE(SUBSTITUTE(SUBSTITUTE(L54,"~","~~"),"*","~*"),"?","~?"))&lt;&gt;1,"Other amount is invalid",IF(J54&lt;&gt;0,"Amount differs","Matched")))))))</x:f>
      </x:c>
      <x:c r="L54" t="str">
        <x:f>IF(COUNTA(A54:F54)=0,"",LEN(A54)&amp;":"&amp;A54&amp;LEN(B54)&amp;":"&amp;B54&amp;LEN(C54)&amp;":"&amp;C54&amp;LEN(D54)&amp;":"&amp;D54)</x:f>
      </x:c>
      <x:c r="M54" t="str">
        <x:f>IF(COUNTA(A54:F54)=0,"",IF(ISNUMBER(E54),1,0))</x:f>
      </x:c>
    </x:row>
    <x:row r="55">
      <x:c r="A55" s="11"/>
      <x:c r="B55" s="11"/>
      <x:c r="C55" s="11"/>
      <x:c r="D55" s="11"/>
      <x:c r="E55" s="12"/>
      <x:c r="F55" s="10"/>
      <x:c r="G55" s="2" t="str">
        <x:f>IF(COUNTA(A55:F55)=0,"",COUNTIFS('External Data'!$L$2:$L$1001,SUBSTITUTE(SUBSTITUTE(SUBSTITUTE(L55,"~","~~"),"*","~*"),"?","~?")))</x:f>
      </x:c>
      <x:c r="H55" s="2" t="str">
        <x:f>IF(COUNTA(A55:F55)=0,"",COUNTIFS('App Data'!$L$2:$L$1001,SUBSTITUTE(SUBSTITUTE(SUBSTITUTE(L55,"~","~~"),"*","~*"),"?","~?")))</x:f>
      </x:c>
      <x:c r="I55" s="13" t="str">
        <x:f>IF(OR(H55&lt;&gt;1,G55&lt;&gt;1),"",SUMIFS('App Data'!$E$2:$E$1001,'App Data'!$L$2:$L$1001,SUBSTITUTE(SUBSTITUTE(SUBSTITUTE(L55,"~","~~"),"*","~*"),"?","~?")))</x:f>
      </x:c>
      <x:c r="J55" s="13" t="str">
        <x:f>IF(OR(NOT(ISNUMBER(E55)),NOT(ISNUMBER(I55))),"",ROUND(E55-I55,2))</x:f>
      </x:c>
      <x:c r="K55" s="2" t="str">
        <x:f>IF(COUNTA(A55:F55)=0,"",IF(OR(A55="",B55="",C55="",D55="",NOT(ISNUMBER(E55))),"Missing / invalid input",IF(G55&gt;1,"Duplicate key in this source",IF(H55=0,"Missing in other source",IF(H55&gt;1,"Duplicate in other source",IF(SUMIFS('App Data'!$M$2:$M$1001,'App Data'!$L$2:$L$1001,SUBSTITUTE(SUBSTITUTE(SUBSTITUTE(L55,"~","~~"),"*","~*"),"?","~?"))&lt;&gt;1,"Other amount is invalid",IF(J55&lt;&gt;0,"Amount differs","Matched")))))))</x:f>
      </x:c>
      <x:c r="L55" t="str">
        <x:f>IF(COUNTA(A55:F55)=0,"",LEN(A55)&amp;":"&amp;A55&amp;LEN(B55)&amp;":"&amp;B55&amp;LEN(C55)&amp;":"&amp;C55&amp;LEN(D55)&amp;":"&amp;D55)</x:f>
      </x:c>
      <x:c r="M55" t="str">
        <x:f>IF(COUNTA(A55:F55)=0,"",IF(ISNUMBER(E55),1,0))</x:f>
      </x:c>
    </x:row>
    <x:row r="56">
      <x:c r="A56" s="11"/>
      <x:c r="B56" s="11"/>
      <x:c r="C56" s="11"/>
      <x:c r="D56" s="11"/>
      <x:c r="E56" s="12"/>
      <x:c r="F56" s="10"/>
      <x:c r="G56" s="2" t="str">
        <x:f>IF(COUNTA(A56:F56)=0,"",COUNTIFS('External Data'!$L$2:$L$1001,SUBSTITUTE(SUBSTITUTE(SUBSTITUTE(L56,"~","~~"),"*","~*"),"?","~?")))</x:f>
      </x:c>
      <x:c r="H56" s="2" t="str">
        <x:f>IF(COUNTA(A56:F56)=0,"",COUNTIFS('App Data'!$L$2:$L$1001,SUBSTITUTE(SUBSTITUTE(SUBSTITUTE(L56,"~","~~"),"*","~*"),"?","~?")))</x:f>
      </x:c>
      <x:c r="I56" s="13" t="str">
        <x:f>IF(OR(H56&lt;&gt;1,G56&lt;&gt;1),"",SUMIFS('App Data'!$E$2:$E$1001,'App Data'!$L$2:$L$1001,SUBSTITUTE(SUBSTITUTE(SUBSTITUTE(L56,"~","~~"),"*","~*"),"?","~?")))</x:f>
      </x:c>
      <x:c r="J56" s="13" t="str">
        <x:f>IF(OR(NOT(ISNUMBER(E56)),NOT(ISNUMBER(I56))),"",ROUND(E56-I56,2))</x:f>
      </x:c>
      <x:c r="K56" s="2" t="str">
        <x:f>IF(COUNTA(A56:F56)=0,"",IF(OR(A56="",B56="",C56="",D56="",NOT(ISNUMBER(E56))),"Missing / invalid input",IF(G56&gt;1,"Duplicate key in this source",IF(H56=0,"Missing in other source",IF(H56&gt;1,"Duplicate in other source",IF(SUMIFS('App Data'!$M$2:$M$1001,'App Data'!$L$2:$L$1001,SUBSTITUTE(SUBSTITUTE(SUBSTITUTE(L56,"~","~~"),"*","~*"),"?","~?"))&lt;&gt;1,"Other amount is invalid",IF(J56&lt;&gt;0,"Amount differs","Matched")))))))</x:f>
      </x:c>
      <x:c r="L56" t="str">
        <x:f>IF(COUNTA(A56:F56)=0,"",LEN(A56)&amp;":"&amp;A56&amp;LEN(B56)&amp;":"&amp;B56&amp;LEN(C56)&amp;":"&amp;C56&amp;LEN(D56)&amp;":"&amp;D56)</x:f>
      </x:c>
      <x:c r="M56" t="str">
        <x:f>IF(COUNTA(A56:F56)=0,"",IF(ISNUMBER(E56),1,0))</x:f>
      </x:c>
    </x:row>
    <x:row r="57">
      <x:c r="A57" s="11"/>
      <x:c r="B57" s="11"/>
      <x:c r="C57" s="11"/>
      <x:c r="D57" s="11"/>
      <x:c r="E57" s="12"/>
      <x:c r="F57" s="10"/>
      <x:c r="G57" s="2" t="str">
        <x:f>IF(COUNTA(A57:F57)=0,"",COUNTIFS('External Data'!$L$2:$L$1001,SUBSTITUTE(SUBSTITUTE(SUBSTITUTE(L57,"~","~~"),"*","~*"),"?","~?")))</x:f>
      </x:c>
      <x:c r="H57" s="2" t="str">
        <x:f>IF(COUNTA(A57:F57)=0,"",COUNTIFS('App Data'!$L$2:$L$1001,SUBSTITUTE(SUBSTITUTE(SUBSTITUTE(L57,"~","~~"),"*","~*"),"?","~?")))</x:f>
      </x:c>
      <x:c r="I57" s="13" t="str">
        <x:f>IF(OR(H57&lt;&gt;1,G57&lt;&gt;1),"",SUMIFS('App Data'!$E$2:$E$1001,'App Data'!$L$2:$L$1001,SUBSTITUTE(SUBSTITUTE(SUBSTITUTE(L57,"~","~~"),"*","~*"),"?","~?")))</x:f>
      </x:c>
      <x:c r="J57" s="13" t="str">
        <x:f>IF(OR(NOT(ISNUMBER(E57)),NOT(ISNUMBER(I57))),"",ROUND(E57-I57,2))</x:f>
      </x:c>
      <x:c r="K57" s="2" t="str">
        <x:f>IF(COUNTA(A57:F57)=0,"",IF(OR(A57="",B57="",C57="",D57="",NOT(ISNUMBER(E57))),"Missing / invalid input",IF(G57&gt;1,"Duplicate key in this source",IF(H57=0,"Missing in other source",IF(H57&gt;1,"Duplicate in other source",IF(SUMIFS('App Data'!$M$2:$M$1001,'App Data'!$L$2:$L$1001,SUBSTITUTE(SUBSTITUTE(SUBSTITUTE(L57,"~","~~"),"*","~*"),"?","~?"))&lt;&gt;1,"Other amount is invalid",IF(J57&lt;&gt;0,"Amount differs","Matched")))))))</x:f>
      </x:c>
      <x:c r="L57" t="str">
        <x:f>IF(COUNTA(A57:F57)=0,"",LEN(A57)&amp;":"&amp;A57&amp;LEN(B57)&amp;":"&amp;B57&amp;LEN(C57)&amp;":"&amp;C57&amp;LEN(D57)&amp;":"&amp;D57)</x:f>
      </x:c>
      <x:c r="M57" t="str">
        <x:f>IF(COUNTA(A57:F57)=0,"",IF(ISNUMBER(E57),1,0))</x:f>
      </x:c>
    </x:row>
    <x:row r="58">
      <x:c r="A58" s="11"/>
      <x:c r="B58" s="11"/>
      <x:c r="C58" s="11"/>
      <x:c r="D58" s="11"/>
      <x:c r="E58" s="12"/>
      <x:c r="F58" s="10"/>
      <x:c r="G58" s="2" t="str">
        <x:f>IF(COUNTA(A58:F58)=0,"",COUNTIFS('External Data'!$L$2:$L$1001,SUBSTITUTE(SUBSTITUTE(SUBSTITUTE(L58,"~","~~"),"*","~*"),"?","~?")))</x:f>
      </x:c>
      <x:c r="H58" s="2" t="str">
        <x:f>IF(COUNTA(A58:F58)=0,"",COUNTIFS('App Data'!$L$2:$L$1001,SUBSTITUTE(SUBSTITUTE(SUBSTITUTE(L58,"~","~~"),"*","~*"),"?","~?")))</x:f>
      </x:c>
      <x:c r="I58" s="13" t="str">
        <x:f>IF(OR(H58&lt;&gt;1,G58&lt;&gt;1),"",SUMIFS('App Data'!$E$2:$E$1001,'App Data'!$L$2:$L$1001,SUBSTITUTE(SUBSTITUTE(SUBSTITUTE(L58,"~","~~"),"*","~*"),"?","~?")))</x:f>
      </x:c>
      <x:c r="J58" s="13" t="str">
        <x:f>IF(OR(NOT(ISNUMBER(E58)),NOT(ISNUMBER(I58))),"",ROUND(E58-I58,2))</x:f>
      </x:c>
      <x:c r="K58" s="2" t="str">
        <x:f>IF(COUNTA(A58:F58)=0,"",IF(OR(A58="",B58="",C58="",D58="",NOT(ISNUMBER(E58))),"Missing / invalid input",IF(G58&gt;1,"Duplicate key in this source",IF(H58=0,"Missing in other source",IF(H58&gt;1,"Duplicate in other source",IF(SUMIFS('App Data'!$M$2:$M$1001,'App Data'!$L$2:$L$1001,SUBSTITUTE(SUBSTITUTE(SUBSTITUTE(L58,"~","~~"),"*","~*"),"?","~?"))&lt;&gt;1,"Other amount is invalid",IF(J58&lt;&gt;0,"Amount differs","Matched")))))))</x:f>
      </x:c>
      <x:c r="L58" t="str">
        <x:f>IF(COUNTA(A58:F58)=0,"",LEN(A58)&amp;":"&amp;A58&amp;LEN(B58)&amp;":"&amp;B58&amp;LEN(C58)&amp;":"&amp;C58&amp;LEN(D58)&amp;":"&amp;D58)</x:f>
      </x:c>
      <x:c r="M58" t="str">
        <x:f>IF(COUNTA(A58:F58)=0,"",IF(ISNUMBER(E58),1,0))</x:f>
      </x:c>
    </x:row>
    <x:row r="59">
      <x:c r="A59" s="11"/>
      <x:c r="B59" s="11"/>
      <x:c r="C59" s="11"/>
      <x:c r="D59" s="11"/>
      <x:c r="E59" s="12"/>
      <x:c r="F59" s="10"/>
      <x:c r="G59" s="2" t="str">
        <x:f>IF(COUNTA(A59:F59)=0,"",COUNTIFS('External Data'!$L$2:$L$1001,SUBSTITUTE(SUBSTITUTE(SUBSTITUTE(L59,"~","~~"),"*","~*"),"?","~?")))</x:f>
      </x:c>
      <x:c r="H59" s="2" t="str">
        <x:f>IF(COUNTA(A59:F59)=0,"",COUNTIFS('App Data'!$L$2:$L$1001,SUBSTITUTE(SUBSTITUTE(SUBSTITUTE(L59,"~","~~"),"*","~*"),"?","~?")))</x:f>
      </x:c>
      <x:c r="I59" s="13" t="str">
        <x:f>IF(OR(H59&lt;&gt;1,G59&lt;&gt;1),"",SUMIFS('App Data'!$E$2:$E$1001,'App Data'!$L$2:$L$1001,SUBSTITUTE(SUBSTITUTE(SUBSTITUTE(L59,"~","~~"),"*","~*"),"?","~?")))</x:f>
      </x:c>
      <x:c r="J59" s="13" t="str">
        <x:f>IF(OR(NOT(ISNUMBER(E59)),NOT(ISNUMBER(I59))),"",ROUND(E59-I59,2))</x:f>
      </x:c>
      <x:c r="K59" s="2" t="str">
        <x:f>IF(COUNTA(A59:F59)=0,"",IF(OR(A59="",B59="",C59="",D59="",NOT(ISNUMBER(E59))),"Missing / invalid input",IF(G59&gt;1,"Duplicate key in this source",IF(H59=0,"Missing in other source",IF(H59&gt;1,"Duplicate in other source",IF(SUMIFS('App Data'!$M$2:$M$1001,'App Data'!$L$2:$L$1001,SUBSTITUTE(SUBSTITUTE(SUBSTITUTE(L59,"~","~~"),"*","~*"),"?","~?"))&lt;&gt;1,"Other amount is invalid",IF(J59&lt;&gt;0,"Amount differs","Matched")))))))</x:f>
      </x:c>
      <x:c r="L59" t="str">
        <x:f>IF(COUNTA(A59:F59)=0,"",LEN(A59)&amp;":"&amp;A59&amp;LEN(B59)&amp;":"&amp;B59&amp;LEN(C59)&amp;":"&amp;C59&amp;LEN(D59)&amp;":"&amp;D59)</x:f>
      </x:c>
      <x:c r="M59" t="str">
        <x:f>IF(COUNTA(A59:F59)=0,"",IF(ISNUMBER(E59),1,0))</x:f>
      </x:c>
    </x:row>
    <x:row r="60">
      <x:c r="A60" s="11"/>
      <x:c r="B60" s="11"/>
      <x:c r="C60" s="11"/>
      <x:c r="D60" s="11"/>
      <x:c r="E60" s="12"/>
      <x:c r="F60" s="10"/>
      <x:c r="G60" s="2" t="str">
        <x:f>IF(COUNTA(A60:F60)=0,"",COUNTIFS('External Data'!$L$2:$L$1001,SUBSTITUTE(SUBSTITUTE(SUBSTITUTE(L60,"~","~~"),"*","~*"),"?","~?")))</x:f>
      </x:c>
      <x:c r="H60" s="2" t="str">
        <x:f>IF(COUNTA(A60:F60)=0,"",COUNTIFS('App Data'!$L$2:$L$1001,SUBSTITUTE(SUBSTITUTE(SUBSTITUTE(L60,"~","~~"),"*","~*"),"?","~?")))</x:f>
      </x:c>
      <x:c r="I60" s="13" t="str">
        <x:f>IF(OR(H60&lt;&gt;1,G60&lt;&gt;1),"",SUMIFS('App Data'!$E$2:$E$1001,'App Data'!$L$2:$L$1001,SUBSTITUTE(SUBSTITUTE(SUBSTITUTE(L60,"~","~~"),"*","~*"),"?","~?")))</x:f>
      </x:c>
      <x:c r="J60" s="13" t="str">
        <x:f>IF(OR(NOT(ISNUMBER(E60)),NOT(ISNUMBER(I60))),"",ROUND(E60-I60,2))</x:f>
      </x:c>
      <x:c r="K60" s="2" t="str">
        <x:f>IF(COUNTA(A60:F60)=0,"",IF(OR(A60="",B60="",C60="",D60="",NOT(ISNUMBER(E60))),"Missing / invalid input",IF(G60&gt;1,"Duplicate key in this source",IF(H60=0,"Missing in other source",IF(H60&gt;1,"Duplicate in other source",IF(SUMIFS('App Data'!$M$2:$M$1001,'App Data'!$L$2:$L$1001,SUBSTITUTE(SUBSTITUTE(SUBSTITUTE(L60,"~","~~"),"*","~*"),"?","~?"))&lt;&gt;1,"Other amount is invalid",IF(J60&lt;&gt;0,"Amount differs","Matched")))))))</x:f>
      </x:c>
      <x:c r="L60" t="str">
        <x:f>IF(COUNTA(A60:F60)=0,"",LEN(A60)&amp;":"&amp;A60&amp;LEN(B60)&amp;":"&amp;B60&amp;LEN(C60)&amp;":"&amp;C60&amp;LEN(D60)&amp;":"&amp;D60)</x:f>
      </x:c>
      <x:c r="M60" t="str">
        <x:f>IF(COUNTA(A60:F60)=0,"",IF(ISNUMBER(E60),1,0))</x:f>
      </x:c>
    </x:row>
    <x:row r="61">
      <x:c r="A61" s="11"/>
      <x:c r="B61" s="11"/>
      <x:c r="C61" s="11"/>
      <x:c r="D61" s="11"/>
      <x:c r="E61" s="12"/>
      <x:c r="F61" s="10"/>
      <x:c r="G61" s="2" t="str">
        <x:f>IF(COUNTA(A61:F61)=0,"",COUNTIFS('External Data'!$L$2:$L$1001,SUBSTITUTE(SUBSTITUTE(SUBSTITUTE(L61,"~","~~"),"*","~*"),"?","~?")))</x:f>
      </x:c>
      <x:c r="H61" s="2" t="str">
        <x:f>IF(COUNTA(A61:F61)=0,"",COUNTIFS('App Data'!$L$2:$L$1001,SUBSTITUTE(SUBSTITUTE(SUBSTITUTE(L61,"~","~~"),"*","~*"),"?","~?")))</x:f>
      </x:c>
      <x:c r="I61" s="13" t="str">
        <x:f>IF(OR(H61&lt;&gt;1,G61&lt;&gt;1),"",SUMIFS('App Data'!$E$2:$E$1001,'App Data'!$L$2:$L$1001,SUBSTITUTE(SUBSTITUTE(SUBSTITUTE(L61,"~","~~"),"*","~*"),"?","~?")))</x:f>
      </x:c>
      <x:c r="J61" s="13" t="str">
        <x:f>IF(OR(NOT(ISNUMBER(E61)),NOT(ISNUMBER(I61))),"",ROUND(E61-I61,2))</x:f>
      </x:c>
      <x:c r="K61" s="2" t="str">
        <x:f>IF(COUNTA(A61:F61)=0,"",IF(OR(A61="",B61="",C61="",D61="",NOT(ISNUMBER(E61))),"Missing / invalid input",IF(G61&gt;1,"Duplicate key in this source",IF(H61=0,"Missing in other source",IF(H61&gt;1,"Duplicate in other source",IF(SUMIFS('App Data'!$M$2:$M$1001,'App Data'!$L$2:$L$1001,SUBSTITUTE(SUBSTITUTE(SUBSTITUTE(L61,"~","~~"),"*","~*"),"?","~?"))&lt;&gt;1,"Other amount is invalid",IF(J61&lt;&gt;0,"Amount differs","Matched")))))))</x:f>
      </x:c>
      <x:c r="L61" t="str">
        <x:f>IF(COUNTA(A61:F61)=0,"",LEN(A61)&amp;":"&amp;A61&amp;LEN(B61)&amp;":"&amp;B61&amp;LEN(C61)&amp;":"&amp;C61&amp;LEN(D61)&amp;":"&amp;D61)</x:f>
      </x:c>
      <x:c r="M61" t="str">
        <x:f>IF(COUNTA(A61:F61)=0,"",IF(ISNUMBER(E61),1,0))</x:f>
      </x:c>
    </x:row>
    <x:row r="62">
      <x:c r="A62" s="11"/>
      <x:c r="B62" s="11"/>
      <x:c r="C62" s="11"/>
      <x:c r="D62" s="11"/>
      <x:c r="E62" s="12"/>
      <x:c r="F62" s="10"/>
      <x:c r="G62" s="2" t="str">
        <x:f>IF(COUNTA(A62:F62)=0,"",COUNTIFS('External Data'!$L$2:$L$1001,SUBSTITUTE(SUBSTITUTE(SUBSTITUTE(L62,"~","~~"),"*","~*"),"?","~?")))</x:f>
      </x:c>
      <x:c r="H62" s="2" t="str">
        <x:f>IF(COUNTA(A62:F62)=0,"",COUNTIFS('App Data'!$L$2:$L$1001,SUBSTITUTE(SUBSTITUTE(SUBSTITUTE(L62,"~","~~"),"*","~*"),"?","~?")))</x:f>
      </x:c>
      <x:c r="I62" s="13" t="str">
        <x:f>IF(OR(H62&lt;&gt;1,G62&lt;&gt;1),"",SUMIFS('App Data'!$E$2:$E$1001,'App Data'!$L$2:$L$1001,SUBSTITUTE(SUBSTITUTE(SUBSTITUTE(L62,"~","~~"),"*","~*"),"?","~?")))</x:f>
      </x:c>
      <x:c r="J62" s="13" t="str">
        <x:f>IF(OR(NOT(ISNUMBER(E62)),NOT(ISNUMBER(I62))),"",ROUND(E62-I62,2))</x:f>
      </x:c>
      <x:c r="K62" s="2" t="str">
        <x:f>IF(COUNTA(A62:F62)=0,"",IF(OR(A62="",B62="",C62="",D62="",NOT(ISNUMBER(E62))),"Missing / invalid input",IF(G62&gt;1,"Duplicate key in this source",IF(H62=0,"Missing in other source",IF(H62&gt;1,"Duplicate in other source",IF(SUMIFS('App Data'!$M$2:$M$1001,'App Data'!$L$2:$L$1001,SUBSTITUTE(SUBSTITUTE(SUBSTITUTE(L62,"~","~~"),"*","~*"),"?","~?"))&lt;&gt;1,"Other amount is invalid",IF(J62&lt;&gt;0,"Amount differs","Matched")))))))</x:f>
      </x:c>
      <x:c r="L62" t="str">
        <x:f>IF(COUNTA(A62:F62)=0,"",LEN(A62)&amp;":"&amp;A62&amp;LEN(B62)&amp;":"&amp;B62&amp;LEN(C62)&amp;":"&amp;C62&amp;LEN(D62)&amp;":"&amp;D62)</x:f>
      </x:c>
      <x:c r="M62" t="str">
        <x:f>IF(COUNTA(A62:F62)=0,"",IF(ISNUMBER(E62),1,0))</x:f>
      </x:c>
    </x:row>
    <x:row r="63">
      <x:c r="A63" s="11"/>
      <x:c r="B63" s="11"/>
      <x:c r="C63" s="11"/>
      <x:c r="D63" s="11"/>
      <x:c r="E63" s="12"/>
      <x:c r="F63" s="10"/>
      <x:c r="G63" s="2" t="str">
        <x:f>IF(COUNTA(A63:F63)=0,"",COUNTIFS('External Data'!$L$2:$L$1001,SUBSTITUTE(SUBSTITUTE(SUBSTITUTE(L63,"~","~~"),"*","~*"),"?","~?")))</x:f>
      </x:c>
      <x:c r="H63" s="2" t="str">
        <x:f>IF(COUNTA(A63:F63)=0,"",COUNTIFS('App Data'!$L$2:$L$1001,SUBSTITUTE(SUBSTITUTE(SUBSTITUTE(L63,"~","~~"),"*","~*"),"?","~?")))</x:f>
      </x:c>
      <x:c r="I63" s="13" t="str">
        <x:f>IF(OR(H63&lt;&gt;1,G63&lt;&gt;1),"",SUMIFS('App Data'!$E$2:$E$1001,'App Data'!$L$2:$L$1001,SUBSTITUTE(SUBSTITUTE(SUBSTITUTE(L63,"~","~~"),"*","~*"),"?","~?")))</x:f>
      </x:c>
      <x:c r="J63" s="13" t="str">
        <x:f>IF(OR(NOT(ISNUMBER(E63)),NOT(ISNUMBER(I63))),"",ROUND(E63-I63,2))</x:f>
      </x:c>
      <x:c r="K63" s="2" t="str">
        <x:f>IF(COUNTA(A63:F63)=0,"",IF(OR(A63="",B63="",C63="",D63="",NOT(ISNUMBER(E63))),"Missing / invalid input",IF(G63&gt;1,"Duplicate key in this source",IF(H63=0,"Missing in other source",IF(H63&gt;1,"Duplicate in other source",IF(SUMIFS('App Data'!$M$2:$M$1001,'App Data'!$L$2:$L$1001,SUBSTITUTE(SUBSTITUTE(SUBSTITUTE(L63,"~","~~"),"*","~*"),"?","~?"))&lt;&gt;1,"Other amount is invalid",IF(J63&lt;&gt;0,"Amount differs","Matched")))))))</x:f>
      </x:c>
      <x:c r="L63" t="str">
        <x:f>IF(COUNTA(A63:F63)=0,"",LEN(A63)&amp;":"&amp;A63&amp;LEN(B63)&amp;":"&amp;B63&amp;LEN(C63)&amp;":"&amp;C63&amp;LEN(D63)&amp;":"&amp;D63)</x:f>
      </x:c>
      <x:c r="M63" t="str">
        <x:f>IF(COUNTA(A63:F63)=0,"",IF(ISNUMBER(E63),1,0))</x:f>
      </x:c>
    </x:row>
    <x:row r="64">
      <x:c r="A64" s="11"/>
      <x:c r="B64" s="11"/>
      <x:c r="C64" s="11"/>
      <x:c r="D64" s="11"/>
      <x:c r="E64" s="12"/>
      <x:c r="F64" s="10"/>
      <x:c r="G64" s="2" t="str">
        <x:f>IF(COUNTA(A64:F64)=0,"",COUNTIFS('External Data'!$L$2:$L$1001,SUBSTITUTE(SUBSTITUTE(SUBSTITUTE(L64,"~","~~"),"*","~*"),"?","~?")))</x:f>
      </x:c>
      <x:c r="H64" s="2" t="str">
        <x:f>IF(COUNTA(A64:F64)=0,"",COUNTIFS('App Data'!$L$2:$L$1001,SUBSTITUTE(SUBSTITUTE(SUBSTITUTE(L64,"~","~~"),"*","~*"),"?","~?")))</x:f>
      </x:c>
      <x:c r="I64" s="13" t="str">
        <x:f>IF(OR(H64&lt;&gt;1,G64&lt;&gt;1),"",SUMIFS('App Data'!$E$2:$E$1001,'App Data'!$L$2:$L$1001,SUBSTITUTE(SUBSTITUTE(SUBSTITUTE(L64,"~","~~"),"*","~*"),"?","~?")))</x:f>
      </x:c>
      <x:c r="J64" s="13" t="str">
        <x:f>IF(OR(NOT(ISNUMBER(E64)),NOT(ISNUMBER(I64))),"",ROUND(E64-I64,2))</x:f>
      </x:c>
      <x:c r="K64" s="2" t="str">
        <x:f>IF(COUNTA(A64:F64)=0,"",IF(OR(A64="",B64="",C64="",D64="",NOT(ISNUMBER(E64))),"Missing / invalid input",IF(G64&gt;1,"Duplicate key in this source",IF(H64=0,"Missing in other source",IF(H64&gt;1,"Duplicate in other source",IF(SUMIFS('App Data'!$M$2:$M$1001,'App Data'!$L$2:$L$1001,SUBSTITUTE(SUBSTITUTE(SUBSTITUTE(L64,"~","~~"),"*","~*"),"?","~?"))&lt;&gt;1,"Other amount is invalid",IF(J64&lt;&gt;0,"Amount differs","Matched")))))))</x:f>
      </x:c>
      <x:c r="L64" t="str">
        <x:f>IF(COUNTA(A64:F64)=0,"",LEN(A64)&amp;":"&amp;A64&amp;LEN(B64)&amp;":"&amp;B64&amp;LEN(C64)&amp;":"&amp;C64&amp;LEN(D64)&amp;":"&amp;D64)</x:f>
      </x:c>
      <x:c r="M64" t="str">
        <x:f>IF(COUNTA(A64:F64)=0,"",IF(ISNUMBER(E64),1,0))</x:f>
      </x:c>
    </x:row>
    <x:row r="65">
      <x:c r="A65" s="11"/>
      <x:c r="B65" s="11"/>
      <x:c r="C65" s="11"/>
      <x:c r="D65" s="11"/>
      <x:c r="E65" s="12"/>
      <x:c r="F65" s="10"/>
      <x:c r="G65" s="2" t="str">
        <x:f>IF(COUNTA(A65:F65)=0,"",COUNTIFS('External Data'!$L$2:$L$1001,SUBSTITUTE(SUBSTITUTE(SUBSTITUTE(L65,"~","~~"),"*","~*"),"?","~?")))</x:f>
      </x:c>
      <x:c r="H65" s="2" t="str">
        <x:f>IF(COUNTA(A65:F65)=0,"",COUNTIFS('App Data'!$L$2:$L$1001,SUBSTITUTE(SUBSTITUTE(SUBSTITUTE(L65,"~","~~"),"*","~*"),"?","~?")))</x:f>
      </x:c>
      <x:c r="I65" s="13" t="str">
        <x:f>IF(OR(H65&lt;&gt;1,G65&lt;&gt;1),"",SUMIFS('App Data'!$E$2:$E$1001,'App Data'!$L$2:$L$1001,SUBSTITUTE(SUBSTITUTE(SUBSTITUTE(L65,"~","~~"),"*","~*"),"?","~?")))</x:f>
      </x:c>
      <x:c r="J65" s="13" t="str">
        <x:f>IF(OR(NOT(ISNUMBER(E65)),NOT(ISNUMBER(I65))),"",ROUND(E65-I65,2))</x:f>
      </x:c>
      <x:c r="K65" s="2" t="str">
        <x:f>IF(COUNTA(A65:F65)=0,"",IF(OR(A65="",B65="",C65="",D65="",NOT(ISNUMBER(E65))),"Missing / invalid input",IF(G65&gt;1,"Duplicate key in this source",IF(H65=0,"Missing in other source",IF(H65&gt;1,"Duplicate in other source",IF(SUMIFS('App Data'!$M$2:$M$1001,'App Data'!$L$2:$L$1001,SUBSTITUTE(SUBSTITUTE(SUBSTITUTE(L65,"~","~~"),"*","~*"),"?","~?"))&lt;&gt;1,"Other amount is invalid",IF(J65&lt;&gt;0,"Amount differs","Matched")))))))</x:f>
      </x:c>
      <x:c r="L65" t="str">
        <x:f>IF(COUNTA(A65:F65)=0,"",LEN(A65)&amp;":"&amp;A65&amp;LEN(B65)&amp;":"&amp;B65&amp;LEN(C65)&amp;":"&amp;C65&amp;LEN(D65)&amp;":"&amp;D65)</x:f>
      </x:c>
      <x:c r="M65" t="str">
        <x:f>IF(COUNTA(A65:F65)=0,"",IF(ISNUMBER(E65),1,0))</x:f>
      </x:c>
    </x:row>
    <x:row r="66">
      <x:c r="A66" s="11"/>
      <x:c r="B66" s="11"/>
      <x:c r="C66" s="11"/>
      <x:c r="D66" s="11"/>
      <x:c r="E66" s="12"/>
      <x:c r="F66" s="10"/>
      <x:c r="G66" s="2" t="str">
        <x:f>IF(COUNTA(A66:F66)=0,"",COUNTIFS('External Data'!$L$2:$L$1001,SUBSTITUTE(SUBSTITUTE(SUBSTITUTE(L66,"~","~~"),"*","~*"),"?","~?")))</x:f>
      </x:c>
      <x:c r="H66" s="2" t="str">
        <x:f>IF(COUNTA(A66:F66)=0,"",COUNTIFS('App Data'!$L$2:$L$1001,SUBSTITUTE(SUBSTITUTE(SUBSTITUTE(L66,"~","~~"),"*","~*"),"?","~?")))</x:f>
      </x:c>
      <x:c r="I66" s="13" t="str">
        <x:f>IF(OR(H66&lt;&gt;1,G66&lt;&gt;1),"",SUMIFS('App Data'!$E$2:$E$1001,'App Data'!$L$2:$L$1001,SUBSTITUTE(SUBSTITUTE(SUBSTITUTE(L66,"~","~~"),"*","~*"),"?","~?")))</x:f>
      </x:c>
      <x:c r="J66" s="13" t="str">
        <x:f>IF(OR(NOT(ISNUMBER(E66)),NOT(ISNUMBER(I66))),"",ROUND(E66-I66,2))</x:f>
      </x:c>
      <x:c r="K66" s="2" t="str">
        <x:f>IF(COUNTA(A66:F66)=0,"",IF(OR(A66="",B66="",C66="",D66="",NOT(ISNUMBER(E66))),"Missing / invalid input",IF(G66&gt;1,"Duplicate key in this source",IF(H66=0,"Missing in other source",IF(H66&gt;1,"Duplicate in other source",IF(SUMIFS('App Data'!$M$2:$M$1001,'App Data'!$L$2:$L$1001,SUBSTITUTE(SUBSTITUTE(SUBSTITUTE(L66,"~","~~"),"*","~*"),"?","~?"))&lt;&gt;1,"Other amount is invalid",IF(J66&lt;&gt;0,"Amount differs","Matched")))))))</x:f>
      </x:c>
      <x:c r="L66" t="str">
        <x:f>IF(COUNTA(A66:F66)=0,"",LEN(A66)&amp;":"&amp;A66&amp;LEN(B66)&amp;":"&amp;B66&amp;LEN(C66)&amp;":"&amp;C66&amp;LEN(D66)&amp;":"&amp;D66)</x:f>
      </x:c>
      <x:c r="M66" t="str">
        <x:f>IF(COUNTA(A66:F66)=0,"",IF(ISNUMBER(E66),1,0))</x:f>
      </x:c>
    </x:row>
    <x:row r="67">
      <x:c r="A67" s="11"/>
      <x:c r="B67" s="11"/>
      <x:c r="C67" s="11"/>
      <x:c r="D67" s="11"/>
      <x:c r="E67" s="12"/>
      <x:c r="F67" s="10"/>
      <x:c r="G67" s="2" t="str">
        <x:f>IF(COUNTA(A67:F67)=0,"",COUNTIFS('External Data'!$L$2:$L$1001,SUBSTITUTE(SUBSTITUTE(SUBSTITUTE(L67,"~","~~"),"*","~*"),"?","~?")))</x:f>
      </x:c>
      <x:c r="H67" s="2" t="str">
        <x:f>IF(COUNTA(A67:F67)=0,"",COUNTIFS('App Data'!$L$2:$L$1001,SUBSTITUTE(SUBSTITUTE(SUBSTITUTE(L67,"~","~~"),"*","~*"),"?","~?")))</x:f>
      </x:c>
      <x:c r="I67" s="13" t="str">
        <x:f>IF(OR(H67&lt;&gt;1,G67&lt;&gt;1),"",SUMIFS('App Data'!$E$2:$E$1001,'App Data'!$L$2:$L$1001,SUBSTITUTE(SUBSTITUTE(SUBSTITUTE(L67,"~","~~"),"*","~*"),"?","~?")))</x:f>
      </x:c>
      <x:c r="J67" s="13" t="str">
        <x:f>IF(OR(NOT(ISNUMBER(E67)),NOT(ISNUMBER(I67))),"",ROUND(E67-I67,2))</x:f>
      </x:c>
      <x:c r="K67" s="2" t="str">
        <x:f>IF(COUNTA(A67:F67)=0,"",IF(OR(A67="",B67="",C67="",D67="",NOT(ISNUMBER(E67))),"Missing / invalid input",IF(G67&gt;1,"Duplicate key in this source",IF(H67=0,"Missing in other source",IF(H67&gt;1,"Duplicate in other source",IF(SUMIFS('App Data'!$M$2:$M$1001,'App Data'!$L$2:$L$1001,SUBSTITUTE(SUBSTITUTE(SUBSTITUTE(L67,"~","~~"),"*","~*"),"?","~?"))&lt;&gt;1,"Other amount is invalid",IF(J67&lt;&gt;0,"Amount differs","Matched")))))))</x:f>
      </x:c>
      <x:c r="L67" t="str">
        <x:f>IF(COUNTA(A67:F67)=0,"",LEN(A67)&amp;":"&amp;A67&amp;LEN(B67)&amp;":"&amp;B67&amp;LEN(C67)&amp;":"&amp;C67&amp;LEN(D67)&amp;":"&amp;D67)</x:f>
      </x:c>
      <x:c r="M67" t="str">
        <x:f>IF(COUNTA(A67:F67)=0,"",IF(ISNUMBER(E67),1,0))</x:f>
      </x:c>
    </x:row>
    <x:row r="68">
      <x:c r="A68" s="11"/>
      <x:c r="B68" s="11"/>
      <x:c r="C68" s="11"/>
      <x:c r="D68" s="11"/>
      <x:c r="E68" s="12"/>
      <x:c r="F68" s="10"/>
      <x:c r="G68" s="2" t="str">
        <x:f>IF(COUNTA(A68:F68)=0,"",COUNTIFS('External Data'!$L$2:$L$1001,SUBSTITUTE(SUBSTITUTE(SUBSTITUTE(L68,"~","~~"),"*","~*"),"?","~?")))</x:f>
      </x:c>
      <x:c r="H68" s="2" t="str">
        <x:f>IF(COUNTA(A68:F68)=0,"",COUNTIFS('App Data'!$L$2:$L$1001,SUBSTITUTE(SUBSTITUTE(SUBSTITUTE(L68,"~","~~"),"*","~*"),"?","~?")))</x:f>
      </x:c>
      <x:c r="I68" s="13" t="str">
        <x:f>IF(OR(H68&lt;&gt;1,G68&lt;&gt;1),"",SUMIFS('App Data'!$E$2:$E$1001,'App Data'!$L$2:$L$1001,SUBSTITUTE(SUBSTITUTE(SUBSTITUTE(L68,"~","~~"),"*","~*"),"?","~?")))</x:f>
      </x:c>
      <x:c r="J68" s="13" t="str">
        <x:f>IF(OR(NOT(ISNUMBER(E68)),NOT(ISNUMBER(I68))),"",ROUND(E68-I68,2))</x:f>
      </x:c>
      <x:c r="K68" s="2" t="str">
        <x:f>IF(COUNTA(A68:F68)=0,"",IF(OR(A68="",B68="",C68="",D68="",NOT(ISNUMBER(E68))),"Missing / invalid input",IF(G68&gt;1,"Duplicate key in this source",IF(H68=0,"Missing in other source",IF(H68&gt;1,"Duplicate in other source",IF(SUMIFS('App Data'!$M$2:$M$1001,'App Data'!$L$2:$L$1001,SUBSTITUTE(SUBSTITUTE(SUBSTITUTE(L68,"~","~~"),"*","~*"),"?","~?"))&lt;&gt;1,"Other amount is invalid",IF(J68&lt;&gt;0,"Amount differs","Matched")))))))</x:f>
      </x:c>
      <x:c r="L68" t="str">
        <x:f>IF(COUNTA(A68:F68)=0,"",LEN(A68)&amp;":"&amp;A68&amp;LEN(B68)&amp;":"&amp;B68&amp;LEN(C68)&amp;":"&amp;C68&amp;LEN(D68)&amp;":"&amp;D68)</x:f>
      </x:c>
      <x:c r="M68" t="str">
        <x:f>IF(COUNTA(A68:F68)=0,"",IF(ISNUMBER(E68),1,0))</x:f>
      </x:c>
    </x:row>
    <x:row r="69">
      <x:c r="A69" s="11"/>
      <x:c r="B69" s="11"/>
      <x:c r="C69" s="11"/>
      <x:c r="D69" s="11"/>
      <x:c r="E69" s="12"/>
      <x:c r="F69" s="10"/>
      <x:c r="G69" s="2" t="str">
        <x:f>IF(COUNTA(A69:F69)=0,"",COUNTIFS('External Data'!$L$2:$L$1001,SUBSTITUTE(SUBSTITUTE(SUBSTITUTE(L69,"~","~~"),"*","~*"),"?","~?")))</x:f>
      </x:c>
      <x:c r="H69" s="2" t="str">
        <x:f>IF(COUNTA(A69:F69)=0,"",COUNTIFS('App Data'!$L$2:$L$1001,SUBSTITUTE(SUBSTITUTE(SUBSTITUTE(L69,"~","~~"),"*","~*"),"?","~?")))</x:f>
      </x:c>
      <x:c r="I69" s="13" t="str">
        <x:f>IF(OR(H69&lt;&gt;1,G69&lt;&gt;1),"",SUMIFS('App Data'!$E$2:$E$1001,'App Data'!$L$2:$L$1001,SUBSTITUTE(SUBSTITUTE(SUBSTITUTE(L69,"~","~~"),"*","~*"),"?","~?")))</x:f>
      </x:c>
      <x:c r="J69" s="13" t="str">
        <x:f>IF(OR(NOT(ISNUMBER(E69)),NOT(ISNUMBER(I69))),"",ROUND(E69-I69,2))</x:f>
      </x:c>
      <x:c r="K69" s="2" t="str">
        <x:f>IF(COUNTA(A69:F69)=0,"",IF(OR(A69="",B69="",C69="",D69="",NOT(ISNUMBER(E69))),"Missing / invalid input",IF(G69&gt;1,"Duplicate key in this source",IF(H69=0,"Missing in other source",IF(H69&gt;1,"Duplicate in other source",IF(SUMIFS('App Data'!$M$2:$M$1001,'App Data'!$L$2:$L$1001,SUBSTITUTE(SUBSTITUTE(SUBSTITUTE(L69,"~","~~"),"*","~*"),"?","~?"))&lt;&gt;1,"Other amount is invalid",IF(J69&lt;&gt;0,"Amount differs","Matched")))))))</x:f>
      </x:c>
      <x:c r="L69" t="str">
        <x:f>IF(COUNTA(A69:F69)=0,"",LEN(A69)&amp;":"&amp;A69&amp;LEN(B69)&amp;":"&amp;B69&amp;LEN(C69)&amp;":"&amp;C69&amp;LEN(D69)&amp;":"&amp;D69)</x:f>
      </x:c>
      <x:c r="M69" t="str">
        <x:f>IF(COUNTA(A69:F69)=0,"",IF(ISNUMBER(E69),1,0))</x:f>
      </x:c>
    </x:row>
    <x:row r="70">
      <x:c r="A70" s="11"/>
      <x:c r="B70" s="11"/>
      <x:c r="C70" s="11"/>
      <x:c r="D70" s="11"/>
      <x:c r="E70" s="12"/>
      <x:c r="F70" s="10"/>
      <x:c r="G70" s="2" t="str">
        <x:f>IF(COUNTA(A70:F70)=0,"",COUNTIFS('External Data'!$L$2:$L$1001,SUBSTITUTE(SUBSTITUTE(SUBSTITUTE(L70,"~","~~"),"*","~*"),"?","~?")))</x:f>
      </x:c>
      <x:c r="H70" s="2" t="str">
        <x:f>IF(COUNTA(A70:F70)=0,"",COUNTIFS('App Data'!$L$2:$L$1001,SUBSTITUTE(SUBSTITUTE(SUBSTITUTE(L70,"~","~~"),"*","~*"),"?","~?")))</x:f>
      </x:c>
      <x:c r="I70" s="13" t="str">
        <x:f>IF(OR(H70&lt;&gt;1,G70&lt;&gt;1),"",SUMIFS('App Data'!$E$2:$E$1001,'App Data'!$L$2:$L$1001,SUBSTITUTE(SUBSTITUTE(SUBSTITUTE(L70,"~","~~"),"*","~*"),"?","~?")))</x:f>
      </x:c>
      <x:c r="J70" s="13" t="str">
        <x:f>IF(OR(NOT(ISNUMBER(E70)),NOT(ISNUMBER(I70))),"",ROUND(E70-I70,2))</x:f>
      </x:c>
      <x:c r="K70" s="2" t="str">
        <x:f>IF(COUNTA(A70:F70)=0,"",IF(OR(A70="",B70="",C70="",D70="",NOT(ISNUMBER(E70))),"Missing / invalid input",IF(G70&gt;1,"Duplicate key in this source",IF(H70=0,"Missing in other source",IF(H70&gt;1,"Duplicate in other source",IF(SUMIFS('App Data'!$M$2:$M$1001,'App Data'!$L$2:$L$1001,SUBSTITUTE(SUBSTITUTE(SUBSTITUTE(L70,"~","~~"),"*","~*"),"?","~?"))&lt;&gt;1,"Other amount is invalid",IF(J70&lt;&gt;0,"Amount differs","Matched")))))))</x:f>
      </x:c>
      <x:c r="L70" t="str">
        <x:f>IF(COUNTA(A70:F70)=0,"",LEN(A70)&amp;":"&amp;A70&amp;LEN(B70)&amp;":"&amp;B70&amp;LEN(C70)&amp;":"&amp;C70&amp;LEN(D70)&amp;":"&amp;D70)</x:f>
      </x:c>
      <x:c r="M70" t="str">
        <x:f>IF(COUNTA(A70:F70)=0,"",IF(ISNUMBER(E70),1,0))</x:f>
      </x:c>
    </x:row>
    <x:row r="71">
      <x:c r="A71" s="11"/>
      <x:c r="B71" s="11"/>
      <x:c r="C71" s="11"/>
      <x:c r="D71" s="11"/>
      <x:c r="E71" s="12"/>
      <x:c r="F71" s="10"/>
      <x:c r="G71" s="2" t="str">
        <x:f>IF(COUNTA(A71:F71)=0,"",COUNTIFS('External Data'!$L$2:$L$1001,SUBSTITUTE(SUBSTITUTE(SUBSTITUTE(L71,"~","~~"),"*","~*"),"?","~?")))</x:f>
      </x:c>
      <x:c r="H71" s="2" t="str">
        <x:f>IF(COUNTA(A71:F71)=0,"",COUNTIFS('App Data'!$L$2:$L$1001,SUBSTITUTE(SUBSTITUTE(SUBSTITUTE(L71,"~","~~"),"*","~*"),"?","~?")))</x:f>
      </x:c>
      <x:c r="I71" s="13" t="str">
        <x:f>IF(OR(H71&lt;&gt;1,G71&lt;&gt;1),"",SUMIFS('App Data'!$E$2:$E$1001,'App Data'!$L$2:$L$1001,SUBSTITUTE(SUBSTITUTE(SUBSTITUTE(L71,"~","~~"),"*","~*"),"?","~?")))</x:f>
      </x:c>
      <x:c r="J71" s="13" t="str">
        <x:f>IF(OR(NOT(ISNUMBER(E71)),NOT(ISNUMBER(I71))),"",ROUND(E71-I71,2))</x:f>
      </x:c>
      <x:c r="K71" s="2" t="str">
        <x:f>IF(COUNTA(A71:F71)=0,"",IF(OR(A71="",B71="",C71="",D71="",NOT(ISNUMBER(E71))),"Missing / invalid input",IF(G71&gt;1,"Duplicate key in this source",IF(H71=0,"Missing in other source",IF(H71&gt;1,"Duplicate in other source",IF(SUMIFS('App Data'!$M$2:$M$1001,'App Data'!$L$2:$L$1001,SUBSTITUTE(SUBSTITUTE(SUBSTITUTE(L71,"~","~~"),"*","~*"),"?","~?"))&lt;&gt;1,"Other amount is invalid",IF(J71&lt;&gt;0,"Amount differs","Matched")))))))</x:f>
      </x:c>
      <x:c r="L71" t="str">
        <x:f>IF(COUNTA(A71:F71)=0,"",LEN(A71)&amp;":"&amp;A71&amp;LEN(B71)&amp;":"&amp;B71&amp;LEN(C71)&amp;":"&amp;C71&amp;LEN(D71)&amp;":"&amp;D71)</x:f>
      </x:c>
      <x:c r="M71" t="str">
        <x:f>IF(COUNTA(A71:F71)=0,"",IF(ISNUMBER(E71),1,0))</x:f>
      </x:c>
    </x:row>
    <x:row r="72">
      <x:c r="A72" s="11"/>
      <x:c r="B72" s="11"/>
      <x:c r="C72" s="11"/>
      <x:c r="D72" s="11"/>
      <x:c r="E72" s="12"/>
      <x:c r="F72" s="10"/>
      <x:c r="G72" s="2" t="str">
        <x:f>IF(COUNTA(A72:F72)=0,"",COUNTIFS('External Data'!$L$2:$L$1001,SUBSTITUTE(SUBSTITUTE(SUBSTITUTE(L72,"~","~~"),"*","~*"),"?","~?")))</x:f>
      </x:c>
      <x:c r="H72" s="2" t="str">
        <x:f>IF(COUNTA(A72:F72)=0,"",COUNTIFS('App Data'!$L$2:$L$1001,SUBSTITUTE(SUBSTITUTE(SUBSTITUTE(L72,"~","~~"),"*","~*"),"?","~?")))</x:f>
      </x:c>
      <x:c r="I72" s="13" t="str">
        <x:f>IF(OR(H72&lt;&gt;1,G72&lt;&gt;1),"",SUMIFS('App Data'!$E$2:$E$1001,'App Data'!$L$2:$L$1001,SUBSTITUTE(SUBSTITUTE(SUBSTITUTE(L72,"~","~~"),"*","~*"),"?","~?")))</x:f>
      </x:c>
      <x:c r="J72" s="13" t="str">
        <x:f>IF(OR(NOT(ISNUMBER(E72)),NOT(ISNUMBER(I72))),"",ROUND(E72-I72,2))</x:f>
      </x:c>
      <x:c r="K72" s="2" t="str">
        <x:f>IF(COUNTA(A72:F72)=0,"",IF(OR(A72="",B72="",C72="",D72="",NOT(ISNUMBER(E72))),"Missing / invalid input",IF(G72&gt;1,"Duplicate key in this source",IF(H72=0,"Missing in other source",IF(H72&gt;1,"Duplicate in other source",IF(SUMIFS('App Data'!$M$2:$M$1001,'App Data'!$L$2:$L$1001,SUBSTITUTE(SUBSTITUTE(SUBSTITUTE(L72,"~","~~"),"*","~*"),"?","~?"))&lt;&gt;1,"Other amount is invalid",IF(J72&lt;&gt;0,"Amount differs","Matched")))))))</x:f>
      </x:c>
      <x:c r="L72" t="str">
        <x:f>IF(COUNTA(A72:F72)=0,"",LEN(A72)&amp;":"&amp;A72&amp;LEN(B72)&amp;":"&amp;B72&amp;LEN(C72)&amp;":"&amp;C72&amp;LEN(D72)&amp;":"&amp;D72)</x:f>
      </x:c>
      <x:c r="M72" t="str">
        <x:f>IF(COUNTA(A72:F72)=0,"",IF(ISNUMBER(E72),1,0))</x:f>
      </x:c>
    </x:row>
    <x:row r="73">
      <x:c r="A73" s="11"/>
      <x:c r="B73" s="11"/>
      <x:c r="C73" s="11"/>
      <x:c r="D73" s="11"/>
      <x:c r="E73" s="12"/>
      <x:c r="F73" s="10"/>
      <x:c r="G73" s="2" t="str">
        <x:f>IF(COUNTA(A73:F73)=0,"",COUNTIFS('External Data'!$L$2:$L$1001,SUBSTITUTE(SUBSTITUTE(SUBSTITUTE(L73,"~","~~"),"*","~*"),"?","~?")))</x:f>
      </x:c>
      <x:c r="H73" s="2" t="str">
        <x:f>IF(COUNTA(A73:F73)=0,"",COUNTIFS('App Data'!$L$2:$L$1001,SUBSTITUTE(SUBSTITUTE(SUBSTITUTE(L73,"~","~~"),"*","~*"),"?","~?")))</x:f>
      </x:c>
      <x:c r="I73" s="13" t="str">
        <x:f>IF(OR(H73&lt;&gt;1,G73&lt;&gt;1),"",SUMIFS('App Data'!$E$2:$E$1001,'App Data'!$L$2:$L$1001,SUBSTITUTE(SUBSTITUTE(SUBSTITUTE(L73,"~","~~"),"*","~*"),"?","~?")))</x:f>
      </x:c>
      <x:c r="J73" s="13" t="str">
        <x:f>IF(OR(NOT(ISNUMBER(E73)),NOT(ISNUMBER(I73))),"",ROUND(E73-I73,2))</x:f>
      </x:c>
      <x:c r="K73" s="2" t="str">
        <x:f>IF(COUNTA(A73:F73)=0,"",IF(OR(A73="",B73="",C73="",D73="",NOT(ISNUMBER(E73))),"Missing / invalid input",IF(G73&gt;1,"Duplicate key in this source",IF(H73=0,"Missing in other source",IF(H73&gt;1,"Duplicate in other source",IF(SUMIFS('App Data'!$M$2:$M$1001,'App Data'!$L$2:$L$1001,SUBSTITUTE(SUBSTITUTE(SUBSTITUTE(L73,"~","~~"),"*","~*"),"?","~?"))&lt;&gt;1,"Other amount is invalid",IF(J73&lt;&gt;0,"Amount differs","Matched")))))))</x:f>
      </x:c>
      <x:c r="L73" t="str">
        <x:f>IF(COUNTA(A73:F73)=0,"",LEN(A73)&amp;":"&amp;A73&amp;LEN(B73)&amp;":"&amp;B73&amp;LEN(C73)&amp;":"&amp;C73&amp;LEN(D73)&amp;":"&amp;D73)</x:f>
      </x:c>
      <x:c r="M73" t="str">
        <x:f>IF(COUNTA(A73:F73)=0,"",IF(ISNUMBER(E73),1,0))</x:f>
      </x:c>
    </x:row>
    <x:row r="74">
      <x:c r="A74" s="11"/>
      <x:c r="B74" s="11"/>
      <x:c r="C74" s="11"/>
      <x:c r="D74" s="11"/>
      <x:c r="E74" s="12"/>
      <x:c r="F74" s="10"/>
      <x:c r="G74" s="2" t="str">
        <x:f>IF(COUNTA(A74:F74)=0,"",COUNTIFS('External Data'!$L$2:$L$1001,SUBSTITUTE(SUBSTITUTE(SUBSTITUTE(L74,"~","~~"),"*","~*"),"?","~?")))</x:f>
      </x:c>
      <x:c r="H74" s="2" t="str">
        <x:f>IF(COUNTA(A74:F74)=0,"",COUNTIFS('App Data'!$L$2:$L$1001,SUBSTITUTE(SUBSTITUTE(SUBSTITUTE(L74,"~","~~"),"*","~*"),"?","~?")))</x:f>
      </x:c>
      <x:c r="I74" s="13" t="str">
        <x:f>IF(OR(H74&lt;&gt;1,G74&lt;&gt;1),"",SUMIFS('App Data'!$E$2:$E$1001,'App Data'!$L$2:$L$1001,SUBSTITUTE(SUBSTITUTE(SUBSTITUTE(L74,"~","~~"),"*","~*"),"?","~?")))</x:f>
      </x:c>
      <x:c r="J74" s="13" t="str">
        <x:f>IF(OR(NOT(ISNUMBER(E74)),NOT(ISNUMBER(I74))),"",ROUND(E74-I74,2))</x:f>
      </x:c>
      <x:c r="K74" s="2" t="str">
        <x:f>IF(COUNTA(A74:F74)=0,"",IF(OR(A74="",B74="",C74="",D74="",NOT(ISNUMBER(E74))),"Missing / invalid input",IF(G74&gt;1,"Duplicate key in this source",IF(H74=0,"Missing in other source",IF(H74&gt;1,"Duplicate in other source",IF(SUMIFS('App Data'!$M$2:$M$1001,'App Data'!$L$2:$L$1001,SUBSTITUTE(SUBSTITUTE(SUBSTITUTE(L74,"~","~~"),"*","~*"),"?","~?"))&lt;&gt;1,"Other amount is invalid",IF(J74&lt;&gt;0,"Amount differs","Matched")))))))</x:f>
      </x:c>
      <x:c r="L74" t="str">
        <x:f>IF(COUNTA(A74:F74)=0,"",LEN(A74)&amp;":"&amp;A74&amp;LEN(B74)&amp;":"&amp;B74&amp;LEN(C74)&amp;":"&amp;C74&amp;LEN(D74)&amp;":"&amp;D74)</x:f>
      </x:c>
      <x:c r="M74" t="str">
        <x:f>IF(COUNTA(A74:F74)=0,"",IF(ISNUMBER(E74),1,0))</x:f>
      </x:c>
    </x:row>
    <x:row r="75">
      <x:c r="A75" s="11"/>
      <x:c r="B75" s="11"/>
      <x:c r="C75" s="11"/>
      <x:c r="D75" s="11"/>
      <x:c r="E75" s="12"/>
      <x:c r="F75" s="10"/>
      <x:c r="G75" s="2" t="str">
        <x:f>IF(COUNTA(A75:F75)=0,"",COUNTIFS('External Data'!$L$2:$L$1001,SUBSTITUTE(SUBSTITUTE(SUBSTITUTE(L75,"~","~~"),"*","~*"),"?","~?")))</x:f>
      </x:c>
      <x:c r="H75" s="2" t="str">
        <x:f>IF(COUNTA(A75:F75)=0,"",COUNTIFS('App Data'!$L$2:$L$1001,SUBSTITUTE(SUBSTITUTE(SUBSTITUTE(L75,"~","~~"),"*","~*"),"?","~?")))</x:f>
      </x:c>
      <x:c r="I75" s="13" t="str">
        <x:f>IF(OR(H75&lt;&gt;1,G75&lt;&gt;1),"",SUMIFS('App Data'!$E$2:$E$1001,'App Data'!$L$2:$L$1001,SUBSTITUTE(SUBSTITUTE(SUBSTITUTE(L75,"~","~~"),"*","~*"),"?","~?")))</x:f>
      </x:c>
      <x:c r="J75" s="13" t="str">
        <x:f>IF(OR(NOT(ISNUMBER(E75)),NOT(ISNUMBER(I75))),"",ROUND(E75-I75,2))</x:f>
      </x:c>
      <x:c r="K75" s="2" t="str">
        <x:f>IF(COUNTA(A75:F75)=0,"",IF(OR(A75="",B75="",C75="",D75="",NOT(ISNUMBER(E75))),"Missing / invalid input",IF(G75&gt;1,"Duplicate key in this source",IF(H75=0,"Missing in other source",IF(H75&gt;1,"Duplicate in other source",IF(SUMIFS('App Data'!$M$2:$M$1001,'App Data'!$L$2:$L$1001,SUBSTITUTE(SUBSTITUTE(SUBSTITUTE(L75,"~","~~"),"*","~*"),"?","~?"))&lt;&gt;1,"Other amount is invalid",IF(J75&lt;&gt;0,"Amount differs","Matched")))))))</x:f>
      </x:c>
      <x:c r="L75" t="str">
        <x:f>IF(COUNTA(A75:F75)=0,"",LEN(A75)&amp;":"&amp;A75&amp;LEN(B75)&amp;":"&amp;B75&amp;LEN(C75)&amp;":"&amp;C75&amp;LEN(D75)&amp;":"&amp;D75)</x:f>
      </x:c>
      <x:c r="M75" t="str">
        <x:f>IF(COUNTA(A75:F75)=0,"",IF(ISNUMBER(E75),1,0))</x:f>
      </x:c>
    </x:row>
    <x:row r="76">
      <x:c r="A76" s="11"/>
      <x:c r="B76" s="11"/>
      <x:c r="C76" s="11"/>
      <x:c r="D76" s="11"/>
      <x:c r="E76" s="12"/>
      <x:c r="F76" s="10"/>
      <x:c r="G76" s="2" t="str">
        <x:f>IF(COUNTA(A76:F76)=0,"",COUNTIFS('External Data'!$L$2:$L$1001,SUBSTITUTE(SUBSTITUTE(SUBSTITUTE(L76,"~","~~"),"*","~*"),"?","~?")))</x:f>
      </x:c>
      <x:c r="H76" s="2" t="str">
        <x:f>IF(COUNTA(A76:F76)=0,"",COUNTIFS('App Data'!$L$2:$L$1001,SUBSTITUTE(SUBSTITUTE(SUBSTITUTE(L76,"~","~~"),"*","~*"),"?","~?")))</x:f>
      </x:c>
      <x:c r="I76" s="13" t="str">
        <x:f>IF(OR(H76&lt;&gt;1,G76&lt;&gt;1),"",SUMIFS('App Data'!$E$2:$E$1001,'App Data'!$L$2:$L$1001,SUBSTITUTE(SUBSTITUTE(SUBSTITUTE(L76,"~","~~"),"*","~*"),"?","~?")))</x:f>
      </x:c>
      <x:c r="J76" s="13" t="str">
        <x:f>IF(OR(NOT(ISNUMBER(E76)),NOT(ISNUMBER(I76))),"",ROUND(E76-I76,2))</x:f>
      </x:c>
      <x:c r="K76" s="2" t="str">
        <x:f>IF(COUNTA(A76:F76)=0,"",IF(OR(A76="",B76="",C76="",D76="",NOT(ISNUMBER(E76))),"Missing / invalid input",IF(G76&gt;1,"Duplicate key in this source",IF(H76=0,"Missing in other source",IF(H76&gt;1,"Duplicate in other source",IF(SUMIFS('App Data'!$M$2:$M$1001,'App Data'!$L$2:$L$1001,SUBSTITUTE(SUBSTITUTE(SUBSTITUTE(L76,"~","~~"),"*","~*"),"?","~?"))&lt;&gt;1,"Other amount is invalid",IF(J76&lt;&gt;0,"Amount differs","Matched")))))))</x:f>
      </x:c>
      <x:c r="L76" t="str">
        <x:f>IF(COUNTA(A76:F76)=0,"",LEN(A76)&amp;":"&amp;A76&amp;LEN(B76)&amp;":"&amp;B76&amp;LEN(C76)&amp;":"&amp;C76&amp;LEN(D76)&amp;":"&amp;D76)</x:f>
      </x:c>
      <x:c r="M76" t="str">
        <x:f>IF(COUNTA(A76:F76)=0,"",IF(ISNUMBER(E76),1,0))</x:f>
      </x:c>
    </x:row>
    <x:row r="77">
      <x:c r="A77" s="11"/>
      <x:c r="B77" s="11"/>
      <x:c r="C77" s="11"/>
      <x:c r="D77" s="11"/>
      <x:c r="E77" s="12"/>
      <x:c r="F77" s="10"/>
      <x:c r="G77" s="2" t="str">
        <x:f>IF(COUNTA(A77:F77)=0,"",COUNTIFS('External Data'!$L$2:$L$1001,SUBSTITUTE(SUBSTITUTE(SUBSTITUTE(L77,"~","~~"),"*","~*"),"?","~?")))</x:f>
      </x:c>
      <x:c r="H77" s="2" t="str">
        <x:f>IF(COUNTA(A77:F77)=0,"",COUNTIFS('App Data'!$L$2:$L$1001,SUBSTITUTE(SUBSTITUTE(SUBSTITUTE(L77,"~","~~"),"*","~*"),"?","~?")))</x:f>
      </x:c>
      <x:c r="I77" s="13" t="str">
        <x:f>IF(OR(H77&lt;&gt;1,G77&lt;&gt;1),"",SUMIFS('App Data'!$E$2:$E$1001,'App Data'!$L$2:$L$1001,SUBSTITUTE(SUBSTITUTE(SUBSTITUTE(L77,"~","~~"),"*","~*"),"?","~?")))</x:f>
      </x:c>
      <x:c r="J77" s="13" t="str">
        <x:f>IF(OR(NOT(ISNUMBER(E77)),NOT(ISNUMBER(I77))),"",ROUND(E77-I77,2))</x:f>
      </x:c>
      <x:c r="K77" s="2" t="str">
        <x:f>IF(COUNTA(A77:F77)=0,"",IF(OR(A77="",B77="",C77="",D77="",NOT(ISNUMBER(E77))),"Missing / invalid input",IF(G77&gt;1,"Duplicate key in this source",IF(H77=0,"Missing in other source",IF(H77&gt;1,"Duplicate in other source",IF(SUMIFS('App Data'!$M$2:$M$1001,'App Data'!$L$2:$L$1001,SUBSTITUTE(SUBSTITUTE(SUBSTITUTE(L77,"~","~~"),"*","~*"),"?","~?"))&lt;&gt;1,"Other amount is invalid",IF(J77&lt;&gt;0,"Amount differs","Matched")))))))</x:f>
      </x:c>
      <x:c r="L77" t="str">
        <x:f>IF(COUNTA(A77:F77)=0,"",LEN(A77)&amp;":"&amp;A77&amp;LEN(B77)&amp;":"&amp;B77&amp;LEN(C77)&amp;":"&amp;C77&amp;LEN(D77)&amp;":"&amp;D77)</x:f>
      </x:c>
      <x:c r="M77" t="str">
        <x:f>IF(COUNTA(A77:F77)=0,"",IF(ISNUMBER(E77),1,0))</x:f>
      </x:c>
    </x:row>
    <x:row r="78">
      <x:c r="A78" s="11"/>
      <x:c r="B78" s="11"/>
      <x:c r="C78" s="11"/>
      <x:c r="D78" s="11"/>
      <x:c r="E78" s="12"/>
      <x:c r="F78" s="10"/>
      <x:c r="G78" s="2" t="str">
        <x:f>IF(COUNTA(A78:F78)=0,"",COUNTIFS('External Data'!$L$2:$L$1001,SUBSTITUTE(SUBSTITUTE(SUBSTITUTE(L78,"~","~~"),"*","~*"),"?","~?")))</x:f>
      </x:c>
      <x:c r="H78" s="2" t="str">
        <x:f>IF(COUNTA(A78:F78)=0,"",COUNTIFS('App Data'!$L$2:$L$1001,SUBSTITUTE(SUBSTITUTE(SUBSTITUTE(L78,"~","~~"),"*","~*"),"?","~?")))</x:f>
      </x:c>
      <x:c r="I78" s="13" t="str">
        <x:f>IF(OR(H78&lt;&gt;1,G78&lt;&gt;1),"",SUMIFS('App Data'!$E$2:$E$1001,'App Data'!$L$2:$L$1001,SUBSTITUTE(SUBSTITUTE(SUBSTITUTE(L78,"~","~~"),"*","~*"),"?","~?")))</x:f>
      </x:c>
      <x:c r="J78" s="13" t="str">
        <x:f>IF(OR(NOT(ISNUMBER(E78)),NOT(ISNUMBER(I78))),"",ROUND(E78-I78,2))</x:f>
      </x:c>
      <x:c r="K78" s="2" t="str">
        <x:f>IF(COUNTA(A78:F78)=0,"",IF(OR(A78="",B78="",C78="",D78="",NOT(ISNUMBER(E78))),"Missing / invalid input",IF(G78&gt;1,"Duplicate key in this source",IF(H78=0,"Missing in other source",IF(H78&gt;1,"Duplicate in other source",IF(SUMIFS('App Data'!$M$2:$M$1001,'App Data'!$L$2:$L$1001,SUBSTITUTE(SUBSTITUTE(SUBSTITUTE(L78,"~","~~"),"*","~*"),"?","~?"))&lt;&gt;1,"Other amount is invalid",IF(J78&lt;&gt;0,"Amount differs","Matched")))))))</x:f>
      </x:c>
      <x:c r="L78" t="str">
        <x:f>IF(COUNTA(A78:F78)=0,"",LEN(A78)&amp;":"&amp;A78&amp;LEN(B78)&amp;":"&amp;B78&amp;LEN(C78)&amp;":"&amp;C78&amp;LEN(D78)&amp;":"&amp;D78)</x:f>
      </x:c>
      <x:c r="M78" t="str">
        <x:f>IF(COUNTA(A78:F78)=0,"",IF(ISNUMBER(E78),1,0))</x:f>
      </x:c>
    </x:row>
    <x:row r="79">
      <x:c r="A79" s="11"/>
      <x:c r="B79" s="11"/>
      <x:c r="C79" s="11"/>
      <x:c r="D79" s="11"/>
      <x:c r="E79" s="12"/>
      <x:c r="F79" s="10"/>
      <x:c r="G79" s="2" t="str">
        <x:f>IF(COUNTA(A79:F79)=0,"",COUNTIFS('External Data'!$L$2:$L$1001,SUBSTITUTE(SUBSTITUTE(SUBSTITUTE(L79,"~","~~"),"*","~*"),"?","~?")))</x:f>
      </x:c>
      <x:c r="H79" s="2" t="str">
        <x:f>IF(COUNTA(A79:F79)=0,"",COUNTIFS('App Data'!$L$2:$L$1001,SUBSTITUTE(SUBSTITUTE(SUBSTITUTE(L79,"~","~~"),"*","~*"),"?","~?")))</x:f>
      </x:c>
      <x:c r="I79" s="13" t="str">
        <x:f>IF(OR(H79&lt;&gt;1,G79&lt;&gt;1),"",SUMIFS('App Data'!$E$2:$E$1001,'App Data'!$L$2:$L$1001,SUBSTITUTE(SUBSTITUTE(SUBSTITUTE(L79,"~","~~"),"*","~*"),"?","~?")))</x:f>
      </x:c>
      <x:c r="J79" s="13" t="str">
        <x:f>IF(OR(NOT(ISNUMBER(E79)),NOT(ISNUMBER(I79))),"",ROUND(E79-I79,2))</x:f>
      </x:c>
      <x:c r="K79" s="2" t="str">
        <x:f>IF(COUNTA(A79:F79)=0,"",IF(OR(A79="",B79="",C79="",D79="",NOT(ISNUMBER(E79))),"Missing / invalid input",IF(G79&gt;1,"Duplicate key in this source",IF(H79=0,"Missing in other source",IF(H79&gt;1,"Duplicate in other source",IF(SUMIFS('App Data'!$M$2:$M$1001,'App Data'!$L$2:$L$1001,SUBSTITUTE(SUBSTITUTE(SUBSTITUTE(L79,"~","~~"),"*","~*"),"?","~?"))&lt;&gt;1,"Other amount is invalid",IF(J79&lt;&gt;0,"Amount differs","Matched")))))))</x:f>
      </x:c>
      <x:c r="L79" t="str">
        <x:f>IF(COUNTA(A79:F79)=0,"",LEN(A79)&amp;":"&amp;A79&amp;LEN(B79)&amp;":"&amp;B79&amp;LEN(C79)&amp;":"&amp;C79&amp;LEN(D79)&amp;":"&amp;D79)</x:f>
      </x:c>
      <x:c r="M79" t="str">
        <x:f>IF(COUNTA(A79:F79)=0,"",IF(ISNUMBER(E79),1,0))</x:f>
      </x:c>
    </x:row>
    <x:row r="80">
      <x:c r="A80" s="11"/>
      <x:c r="B80" s="11"/>
      <x:c r="C80" s="11"/>
      <x:c r="D80" s="11"/>
      <x:c r="E80" s="12"/>
      <x:c r="F80" s="10"/>
      <x:c r="G80" s="2" t="str">
        <x:f>IF(COUNTA(A80:F80)=0,"",COUNTIFS('External Data'!$L$2:$L$1001,SUBSTITUTE(SUBSTITUTE(SUBSTITUTE(L80,"~","~~"),"*","~*"),"?","~?")))</x:f>
      </x:c>
      <x:c r="H80" s="2" t="str">
        <x:f>IF(COUNTA(A80:F80)=0,"",COUNTIFS('App Data'!$L$2:$L$1001,SUBSTITUTE(SUBSTITUTE(SUBSTITUTE(L80,"~","~~"),"*","~*"),"?","~?")))</x:f>
      </x:c>
      <x:c r="I80" s="13" t="str">
        <x:f>IF(OR(H80&lt;&gt;1,G80&lt;&gt;1),"",SUMIFS('App Data'!$E$2:$E$1001,'App Data'!$L$2:$L$1001,SUBSTITUTE(SUBSTITUTE(SUBSTITUTE(L80,"~","~~"),"*","~*"),"?","~?")))</x:f>
      </x:c>
      <x:c r="J80" s="13" t="str">
        <x:f>IF(OR(NOT(ISNUMBER(E80)),NOT(ISNUMBER(I80))),"",ROUND(E80-I80,2))</x:f>
      </x:c>
      <x:c r="K80" s="2" t="str">
        <x:f>IF(COUNTA(A80:F80)=0,"",IF(OR(A80="",B80="",C80="",D80="",NOT(ISNUMBER(E80))),"Missing / invalid input",IF(G80&gt;1,"Duplicate key in this source",IF(H80=0,"Missing in other source",IF(H80&gt;1,"Duplicate in other source",IF(SUMIFS('App Data'!$M$2:$M$1001,'App Data'!$L$2:$L$1001,SUBSTITUTE(SUBSTITUTE(SUBSTITUTE(L80,"~","~~"),"*","~*"),"?","~?"))&lt;&gt;1,"Other amount is invalid",IF(J80&lt;&gt;0,"Amount differs","Matched")))))))</x:f>
      </x:c>
      <x:c r="L80" t="str">
        <x:f>IF(COUNTA(A80:F80)=0,"",LEN(A80)&amp;":"&amp;A80&amp;LEN(B80)&amp;":"&amp;B80&amp;LEN(C80)&amp;":"&amp;C80&amp;LEN(D80)&amp;":"&amp;D80)</x:f>
      </x:c>
      <x:c r="M80" t="str">
        <x:f>IF(COUNTA(A80:F80)=0,"",IF(ISNUMBER(E80),1,0))</x:f>
      </x:c>
    </x:row>
    <x:row r="81">
      <x:c r="A81" s="11"/>
      <x:c r="B81" s="11"/>
      <x:c r="C81" s="11"/>
      <x:c r="D81" s="11"/>
      <x:c r="E81" s="12"/>
      <x:c r="F81" s="10"/>
      <x:c r="G81" s="2" t="str">
        <x:f>IF(COUNTA(A81:F81)=0,"",COUNTIFS('External Data'!$L$2:$L$1001,SUBSTITUTE(SUBSTITUTE(SUBSTITUTE(L81,"~","~~"),"*","~*"),"?","~?")))</x:f>
      </x:c>
      <x:c r="H81" s="2" t="str">
        <x:f>IF(COUNTA(A81:F81)=0,"",COUNTIFS('App Data'!$L$2:$L$1001,SUBSTITUTE(SUBSTITUTE(SUBSTITUTE(L81,"~","~~"),"*","~*"),"?","~?")))</x:f>
      </x:c>
      <x:c r="I81" s="13" t="str">
        <x:f>IF(OR(H81&lt;&gt;1,G81&lt;&gt;1),"",SUMIFS('App Data'!$E$2:$E$1001,'App Data'!$L$2:$L$1001,SUBSTITUTE(SUBSTITUTE(SUBSTITUTE(L81,"~","~~"),"*","~*"),"?","~?")))</x:f>
      </x:c>
      <x:c r="J81" s="13" t="str">
        <x:f>IF(OR(NOT(ISNUMBER(E81)),NOT(ISNUMBER(I81))),"",ROUND(E81-I81,2))</x:f>
      </x:c>
      <x:c r="K81" s="2" t="str">
        <x:f>IF(COUNTA(A81:F81)=0,"",IF(OR(A81="",B81="",C81="",D81="",NOT(ISNUMBER(E81))),"Missing / invalid input",IF(G81&gt;1,"Duplicate key in this source",IF(H81=0,"Missing in other source",IF(H81&gt;1,"Duplicate in other source",IF(SUMIFS('App Data'!$M$2:$M$1001,'App Data'!$L$2:$L$1001,SUBSTITUTE(SUBSTITUTE(SUBSTITUTE(L81,"~","~~"),"*","~*"),"?","~?"))&lt;&gt;1,"Other amount is invalid",IF(J81&lt;&gt;0,"Amount differs","Matched")))))))</x:f>
      </x:c>
      <x:c r="L81" t="str">
        <x:f>IF(COUNTA(A81:F81)=0,"",LEN(A81)&amp;":"&amp;A81&amp;LEN(B81)&amp;":"&amp;B81&amp;LEN(C81)&amp;":"&amp;C81&amp;LEN(D81)&amp;":"&amp;D81)</x:f>
      </x:c>
      <x:c r="M81" t="str">
        <x:f>IF(COUNTA(A81:F81)=0,"",IF(ISNUMBER(E81),1,0))</x:f>
      </x:c>
    </x:row>
    <x:row r="82">
      <x:c r="A82" s="11"/>
      <x:c r="B82" s="11"/>
      <x:c r="C82" s="11"/>
      <x:c r="D82" s="11"/>
      <x:c r="E82" s="12"/>
      <x:c r="F82" s="10"/>
      <x:c r="G82" s="2" t="str">
        <x:f>IF(COUNTA(A82:F82)=0,"",COUNTIFS('External Data'!$L$2:$L$1001,SUBSTITUTE(SUBSTITUTE(SUBSTITUTE(L82,"~","~~"),"*","~*"),"?","~?")))</x:f>
      </x:c>
      <x:c r="H82" s="2" t="str">
        <x:f>IF(COUNTA(A82:F82)=0,"",COUNTIFS('App Data'!$L$2:$L$1001,SUBSTITUTE(SUBSTITUTE(SUBSTITUTE(L82,"~","~~"),"*","~*"),"?","~?")))</x:f>
      </x:c>
      <x:c r="I82" s="13" t="str">
        <x:f>IF(OR(H82&lt;&gt;1,G82&lt;&gt;1),"",SUMIFS('App Data'!$E$2:$E$1001,'App Data'!$L$2:$L$1001,SUBSTITUTE(SUBSTITUTE(SUBSTITUTE(L82,"~","~~"),"*","~*"),"?","~?")))</x:f>
      </x:c>
      <x:c r="J82" s="13" t="str">
        <x:f>IF(OR(NOT(ISNUMBER(E82)),NOT(ISNUMBER(I82))),"",ROUND(E82-I82,2))</x:f>
      </x:c>
      <x:c r="K82" s="2" t="str">
        <x:f>IF(COUNTA(A82:F82)=0,"",IF(OR(A82="",B82="",C82="",D82="",NOT(ISNUMBER(E82))),"Missing / invalid input",IF(G82&gt;1,"Duplicate key in this source",IF(H82=0,"Missing in other source",IF(H82&gt;1,"Duplicate in other source",IF(SUMIFS('App Data'!$M$2:$M$1001,'App Data'!$L$2:$L$1001,SUBSTITUTE(SUBSTITUTE(SUBSTITUTE(L82,"~","~~"),"*","~*"),"?","~?"))&lt;&gt;1,"Other amount is invalid",IF(J82&lt;&gt;0,"Amount differs","Matched")))))))</x:f>
      </x:c>
      <x:c r="L82" t="str">
        <x:f>IF(COUNTA(A82:F82)=0,"",LEN(A82)&amp;":"&amp;A82&amp;LEN(B82)&amp;":"&amp;B82&amp;LEN(C82)&amp;":"&amp;C82&amp;LEN(D82)&amp;":"&amp;D82)</x:f>
      </x:c>
      <x:c r="M82" t="str">
        <x:f>IF(COUNTA(A82:F82)=0,"",IF(ISNUMBER(E82),1,0))</x:f>
      </x:c>
    </x:row>
    <x:row r="83">
      <x:c r="A83" s="11"/>
      <x:c r="B83" s="11"/>
      <x:c r="C83" s="11"/>
      <x:c r="D83" s="11"/>
      <x:c r="E83" s="12"/>
      <x:c r="F83" s="10"/>
      <x:c r="G83" s="2" t="str">
        <x:f>IF(COUNTA(A83:F83)=0,"",COUNTIFS('External Data'!$L$2:$L$1001,SUBSTITUTE(SUBSTITUTE(SUBSTITUTE(L83,"~","~~"),"*","~*"),"?","~?")))</x:f>
      </x:c>
      <x:c r="H83" s="2" t="str">
        <x:f>IF(COUNTA(A83:F83)=0,"",COUNTIFS('App Data'!$L$2:$L$1001,SUBSTITUTE(SUBSTITUTE(SUBSTITUTE(L83,"~","~~"),"*","~*"),"?","~?")))</x:f>
      </x:c>
      <x:c r="I83" s="13" t="str">
        <x:f>IF(OR(H83&lt;&gt;1,G83&lt;&gt;1),"",SUMIFS('App Data'!$E$2:$E$1001,'App Data'!$L$2:$L$1001,SUBSTITUTE(SUBSTITUTE(SUBSTITUTE(L83,"~","~~"),"*","~*"),"?","~?")))</x:f>
      </x:c>
      <x:c r="J83" s="13" t="str">
        <x:f>IF(OR(NOT(ISNUMBER(E83)),NOT(ISNUMBER(I83))),"",ROUND(E83-I83,2))</x:f>
      </x:c>
      <x:c r="K83" s="2" t="str">
        <x:f>IF(COUNTA(A83:F83)=0,"",IF(OR(A83="",B83="",C83="",D83="",NOT(ISNUMBER(E83))),"Missing / invalid input",IF(G83&gt;1,"Duplicate key in this source",IF(H83=0,"Missing in other source",IF(H83&gt;1,"Duplicate in other source",IF(SUMIFS('App Data'!$M$2:$M$1001,'App Data'!$L$2:$L$1001,SUBSTITUTE(SUBSTITUTE(SUBSTITUTE(L83,"~","~~"),"*","~*"),"?","~?"))&lt;&gt;1,"Other amount is invalid",IF(J83&lt;&gt;0,"Amount differs","Matched")))))))</x:f>
      </x:c>
      <x:c r="L83" t="str">
        <x:f>IF(COUNTA(A83:F83)=0,"",LEN(A83)&amp;":"&amp;A83&amp;LEN(B83)&amp;":"&amp;B83&amp;LEN(C83)&amp;":"&amp;C83&amp;LEN(D83)&amp;":"&amp;D83)</x:f>
      </x:c>
      <x:c r="M83" t="str">
        <x:f>IF(COUNTA(A83:F83)=0,"",IF(ISNUMBER(E83),1,0))</x:f>
      </x:c>
    </x:row>
    <x:row r="84">
      <x:c r="A84" s="11"/>
      <x:c r="B84" s="11"/>
      <x:c r="C84" s="11"/>
      <x:c r="D84" s="11"/>
      <x:c r="E84" s="12"/>
      <x:c r="F84" s="10"/>
      <x:c r="G84" s="2" t="str">
        <x:f>IF(COUNTA(A84:F84)=0,"",COUNTIFS('External Data'!$L$2:$L$1001,SUBSTITUTE(SUBSTITUTE(SUBSTITUTE(L84,"~","~~"),"*","~*"),"?","~?")))</x:f>
      </x:c>
      <x:c r="H84" s="2" t="str">
        <x:f>IF(COUNTA(A84:F84)=0,"",COUNTIFS('App Data'!$L$2:$L$1001,SUBSTITUTE(SUBSTITUTE(SUBSTITUTE(L84,"~","~~"),"*","~*"),"?","~?")))</x:f>
      </x:c>
      <x:c r="I84" s="13" t="str">
        <x:f>IF(OR(H84&lt;&gt;1,G84&lt;&gt;1),"",SUMIFS('App Data'!$E$2:$E$1001,'App Data'!$L$2:$L$1001,SUBSTITUTE(SUBSTITUTE(SUBSTITUTE(L84,"~","~~"),"*","~*"),"?","~?")))</x:f>
      </x:c>
      <x:c r="J84" s="13" t="str">
        <x:f>IF(OR(NOT(ISNUMBER(E84)),NOT(ISNUMBER(I84))),"",ROUND(E84-I84,2))</x:f>
      </x:c>
      <x:c r="K84" s="2" t="str">
        <x:f>IF(COUNTA(A84:F84)=0,"",IF(OR(A84="",B84="",C84="",D84="",NOT(ISNUMBER(E84))),"Missing / invalid input",IF(G84&gt;1,"Duplicate key in this source",IF(H84=0,"Missing in other source",IF(H84&gt;1,"Duplicate in other source",IF(SUMIFS('App Data'!$M$2:$M$1001,'App Data'!$L$2:$L$1001,SUBSTITUTE(SUBSTITUTE(SUBSTITUTE(L84,"~","~~"),"*","~*"),"?","~?"))&lt;&gt;1,"Other amount is invalid",IF(J84&lt;&gt;0,"Amount differs","Matched")))))))</x:f>
      </x:c>
      <x:c r="L84" t="str">
        <x:f>IF(COUNTA(A84:F84)=0,"",LEN(A84)&amp;":"&amp;A84&amp;LEN(B84)&amp;":"&amp;B84&amp;LEN(C84)&amp;":"&amp;C84&amp;LEN(D84)&amp;":"&amp;D84)</x:f>
      </x:c>
      <x:c r="M84" t="str">
        <x:f>IF(COUNTA(A84:F84)=0,"",IF(ISNUMBER(E84),1,0))</x:f>
      </x:c>
    </x:row>
    <x:row r="85">
      <x:c r="A85" s="11"/>
      <x:c r="B85" s="11"/>
      <x:c r="C85" s="11"/>
      <x:c r="D85" s="11"/>
      <x:c r="E85" s="12"/>
      <x:c r="F85" s="10"/>
      <x:c r="G85" s="2" t="str">
        <x:f>IF(COUNTA(A85:F85)=0,"",COUNTIFS('External Data'!$L$2:$L$1001,SUBSTITUTE(SUBSTITUTE(SUBSTITUTE(L85,"~","~~"),"*","~*"),"?","~?")))</x:f>
      </x:c>
      <x:c r="H85" s="2" t="str">
        <x:f>IF(COUNTA(A85:F85)=0,"",COUNTIFS('App Data'!$L$2:$L$1001,SUBSTITUTE(SUBSTITUTE(SUBSTITUTE(L85,"~","~~"),"*","~*"),"?","~?")))</x:f>
      </x:c>
      <x:c r="I85" s="13" t="str">
        <x:f>IF(OR(H85&lt;&gt;1,G85&lt;&gt;1),"",SUMIFS('App Data'!$E$2:$E$1001,'App Data'!$L$2:$L$1001,SUBSTITUTE(SUBSTITUTE(SUBSTITUTE(L85,"~","~~"),"*","~*"),"?","~?")))</x:f>
      </x:c>
      <x:c r="J85" s="13" t="str">
        <x:f>IF(OR(NOT(ISNUMBER(E85)),NOT(ISNUMBER(I85))),"",ROUND(E85-I85,2))</x:f>
      </x:c>
      <x:c r="K85" s="2" t="str">
        <x:f>IF(COUNTA(A85:F85)=0,"",IF(OR(A85="",B85="",C85="",D85="",NOT(ISNUMBER(E85))),"Missing / invalid input",IF(G85&gt;1,"Duplicate key in this source",IF(H85=0,"Missing in other source",IF(H85&gt;1,"Duplicate in other source",IF(SUMIFS('App Data'!$M$2:$M$1001,'App Data'!$L$2:$L$1001,SUBSTITUTE(SUBSTITUTE(SUBSTITUTE(L85,"~","~~"),"*","~*"),"?","~?"))&lt;&gt;1,"Other amount is invalid",IF(J85&lt;&gt;0,"Amount differs","Matched")))))))</x:f>
      </x:c>
      <x:c r="L85" t="str">
        <x:f>IF(COUNTA(A85:F85)=0,"",LEN(A85)&amp;":"&amp;A85&amp;LEN(B85)&amp;":"&amp;B85&amp;LEN(C85)&amp;":"&amp;C85&amp;LEN(D85)&amp;":"&amp;D85)</x:f>
      </x:c>
      <x:c r="M85" t="str">
        <x:f>IF(COUNTA(A85:F85)=0,"",IF(ISNUMBER(E85),1,0))</x:f>
      </x:c>
    </x:row>
    <x:row r="86">
      <x:c r="A86" s="11"/>
      <x:c r="B86" s="11"/>
      <x:c r="C86" s="11"/>
      <x:c r="D86" s="11"/>
      <x:c r="E86" s="12"/>
      <x:c r="F86" s="10"/>
      <x:c r="G86" s="2" t="str">
        <x:f>IF(COUNTA(A86:F86)=0,"",COUNTIFS('External Data'!$L$2:$L$1001,SUBSTITUTE(SUBSTITUTE(SUBSTITUTE(L86,"~","~~"),"*","~*"),"?","~?")))</x:f>
      </x:c>
      <x:c r="H86" s="2" t="str">
        <x:f>IF(COUNTA(A86:F86)=0,"",COUNTIFS('App Data'!$L$2:$L$1001,SUBSTITUTE(SUBSTITUTE(SUBSTITUTE(L86,"~","~~"),"*","~*"),"?","~?")))</x:f>
      </x:c>
      <x:c r="I86" s="13" t="str">
        <x:f>IF(OR(H86&lt;&gt;1,G86&lt;&gt;1),"",SUMIFS('App Data'!$E$2:$E$1001,'App Data'!$L$2:$L$1001,SUBSTITUTE(SUBSTITUTE(SUBSTITUTE(L86,"~","~~"),"*","~*"),"?","~?")))</x:f>
      </x:c>
      <x:c r="J86" s="13" t="str">
        <x:f>IF(OR(NOT(ISNUMBER(E86)),NOT(ISNUMBER(I86))),"",ROUND(E86-I86,2))</x:f>
      </x:c>
      <x:c r="K86" s="2" t="str">
        <x:f>IF(COUNTA(A86:F86)=0,"",IF(OR(A86="",B86="",C86="",D86="",NOT(ISNUMBER(E86))),"Missing / invalid input",IF(G86&gt;1,"Duplicate key in this source",IF(H86=0,"Missing in other source",IF(H86&gt;1,"Duplicate in other source",IF(SUMIFS('App Data'!$M$2:$M$1001,'App Data'!$L$2:$L$1001,SUBSTITUTE(SUBSTITUTE(SUBSTITUTE(L86,"~","~~"),"*","~*"),"?","~?"))&lt;&gt;1,"Other amount is invalid",IF(J86&lt;&gt;0,"Amount differs","Matched")))))))</x:f>
      </x:c>
      <x:c r="L86" t="str">
        <x:f>IF(COUNTA(A86:F86)=0,"",LEN(A86)&amp;":"&amp;A86&amp;LEN(B86)&amp;":"&amp;B86&amp;LEN(C86)&amp;":"&amp;C86&amp;LEN(D86)&amp;":"&amp;D86)</x:f>
      </x:c>
      <x:c r="M86" t="str">
        <x:f>IF(COUNTA(A86:F86)=0,"",IF(ISNUMBER(E86),1,0))</x:f>
      </x:c>
    </x:row>
    <x:row r="87">
      <x:c r="A87" s="11"/>
      <x:c r="B87" s="11"/>
      <x:c r="C87" s="11"/>
      <x:c r="D87" s="11"/>
      <x:c r="E87" s="12"/>
      <x:c r="F87" s="10"/>
      <x:c r="G87" s="2" t="str">
        <x:f>IF(COUNTA(A87:F87)=0,"",COUNTIFS('External Data'!$L$2:$L$1001,SUBSTITUTE(SUBSTITUTE(SUBSTITUTE(L87,"~","~~"),"*","~*"),"?","~?")))</x:f>
      </x:c>
      <x:c r="H87" s="2" t="str">
        <x:f>IF(COUNTA(A87:F87)=0,"",COUNTIFS('App Data'!$L$2:$L$1001,SUBSTITUTE(SUBSTITUTE(SUBSTITUTE(L87,"~","~~"),"*","~*"),"?","~?")))</x:f>
      </x:c>
      <x:c r="I87" s="13" t="str">
        <x:f>IF(OR(H87&lt;&gt;1,G87&lt;&gt;1),"",SUMIFS('App Data'!$E$2:$E$1001,'App Data'!$L$2:$L$1001,SUBSTITUTE(SUBSTITUTE(SUBSTITUTE(L87,"~","~~"),"*","~*"),"?","~?")))</x:f>
      </x:c>
      <x:c r="J87" s="13" t="str">
        <x:f>IF(OR(NOT(ISNUMBER(E87)),NOT(ISNUMBER(I87))),"",ROUND(E87-I87,2))</x:f>
      </x:c>
      <x:c r="K87" s="2" t="str">
        <x:f>IF(COUNTA(A87:F87)=0,"",IF(OR(A87="",B87="",C87="",D87="",NOT(ISNUMBER(E87))),"Missing / invalid input",IF(G87&gt;1,"Duplicate key in this source",IF(H87=0,"Missing in other source",IF(H87&gt;1,"Duplicate in other source",IF(SUMIFS('App Data'!$M$2:$M$1001,'App Data'!$L$2:$L$1001,SUBSTITUTE(SUBSTITUTE(SUBSTITUTE(L87,"~","~~"),"*","~*"),"?","~?"))&lt;&gt;1,"Other amount is invalid",IF(J87&lt;&gt;0,"Amount differs","Matched")))))))</x:f>
      </x:c>
      <x:c r="L87" t="str">
        <x:f>IF(COUNTA(A87:F87)=0,"",LEN(A87)&amp;":"&amp;A87&amp;LEN(B87)&amp;":"&amp;B87&amp;LEN(C87)&amp;":"&amp;C87&amp;LEN(D87)&amp;":"&amp;D87)</x:f>
      </x:c>
      <x:c r="M87" t="str">
        <x:f>IF(COUNTA(A87:F87)=0,"",IF(ISNUMBER(E87),1,0))</x:f>
      </x:c>
    </x:row>
    <x:row r="88">
      <x:c r="A88" s="11"/>
      <x:c r="B88" s="11"/>
      <x:c r="C88" s="11"/>
      <x:c r="D88" s="11"/>
      <x:c r="E88" s="12"/>
      <x:c r="F88" s="10"/>
      <x:c r="G88" s="2" t="str">
        <x:f>IF(COUNTA(A88:F88)=0,"",COUNTIFS('External Data'!$L$2:$L$1001,SUBSTITUTE(SUBSTITUTE(SUBSTITUTE(L88,"~","~~"),"*","~*"),"?","~?")))</x:f>
      </x:c>
      <x:c r="H88" s="2" t="str">
        <x:f>IF(COUNTA(A88:F88)=0,"",COUNTIFS('App Data'!$L$2:$L$1001,SUBSTITUTE(SUBSTITUTE(SUBSTITUTE(L88,"~","~~"),"*","~*"),"?","~?")))</x:f>
      </x:c>
      <x:c r="I88" s="13" t="str">
        <x:f>IF(OR(H88&lt;&gt;1,G88&lt;&gt;1),"",SUMIFS('App Data'!$E$2:$E$1001,'App Data'!$L$2:$L$1001,SUBSTITUTE(SUBSTITUTE(SUBSTITUTE(L88,"~","~~"),"*","~*"),"?","~?")))</x:f>
      </x:c>
      <x:c r="J88" s="13" t="str">
        <x:f>IF(OR(NOT(ISNUMBER(E88)),NOT(ISNUMBER(I88))),"",ROUND(E88-I88,2))</x:f>
      </x:c>
      <x:c r="K88" s="2" t="str">
        <x:f>IF(COUNTA(A88:F88)=0,"",IF(OR(A88="",B88="",C88="",D88="",NOT(ISNUMBER(E88))),"Missing / invalid input",IF(G88&gt;1,"Duplicate key in this source",IF(H88=0,"Missing in other source",IF(H88&gt;1,"Duplicate in other source",IF(SUMIFS('App Data'!$M$2:$M$1001,'App Data'!$L$2:$L$1001,SUBSTITUTE(SUBSTITUTE(SUBSTITUTE(L88,"~","~~"),"*","~*"),"?","~?"))&lt;&gt;1,"Other amount is invalid",IF(J88&lt;&gt;0,"Amount differs","Matched")))))))</x:f>
      </x:c>
      <x:c r="L88" t="str">
        <x:f>IF(COUNTA(A88:F88)=0,"",LEN(A88)&amp;":"&amp;A88&amp;LEN(B88)&amp;":"&amp;B88&amp;LEN(C88)&amp;":"&amp;C88&amp;LEN(D88)&amp;":"&amp;D88)</x:f>
      </x:c>
      <x:c r="M88" t="str">
        <x:f>IF(COUNTA(A88:F88)=0,"",IF(ISNUMBER(E88),1,0))</x:f>
      </x:c>
    </x:row>
    <x:row r="89">
      <x:c r="A89" s="11"/>
      <x:c r="B89" s="11"/>
      <x:c r="C89" s="11"/>
      <x:c r="D89" s="11"/>
      <x:c r="E89" s="12"/>
      <x:c r="F89" s="10"/>
      <x:c r="G89" s="2" t="str">
        <x:f>IF(COUNTA(A89:F89)=0,"",COUNTIFS('External Data'!$L$2:$L$1001,SUBSTITUTE(SUBSTITUTE(SUBSTITUTE(L89,"~","~~"),"*","~*"),"?","~?")))</x:f>
      </x:c>
      <x:c r="H89" s="2" t="str">
        <x:f>IF(COUNTA(A89:F89)=0,"",COUNTIFS('App Data'!$L$2:$L$1001,SUBSTITUTE(SUBSTITUTE(SUBSTITUTE(L89,"~","~~"),"*","~*"),"?","~?")))</x:f>
      </x:c>
      <x:c r="I89" s="13" t="str">
        <x:f>IF(OR(H89&lt;&gt;1,G89&lt;&gt;1),"",SUMIFS('App Data'!$E$2:$E$1001,'App Data'!$L$2:$L$1001,SUBSTITUTE(SUBSTITUTE(SUBSTITUTE(L89,"~","~~"),"*","~*"),"?","~?")))</x:f>
      </x:c>
      <x:c r="J89" s="13" t="str">
        <x:f>IF(OR(NOT(ISNUMBER(E89)),NOT(ISNUMBER(I89))),"",ROUND(E89-I89,2))</x:f>
      </x:c>
      <x:c r="K89" s="2" t="str">
        <x:f>IF(COUNTA(A89:F89)=0,"",IF(OR(A89="",B89="",C89="",D89="",NOT(ISNUMBER(E89))),"Missing / invalid input",IF(G89&gt;1,"Duplicate key in this source",IF(H89=0,"Missing in other source",IF(H89&gt;1,"Duplicate in other source",IF(SUMIFS('App Data'!$M$2:$M$1001,'App Data'!$L$2:$L$1001,SUBSTITUTE(SUBSTITUTE(SUBSTITUTE(L89,"~","~~"),"*","~*"),"?","~?"))&lt;&gt;1,"Other amount is invalid",IF(J89&lt;&gt;0,"Amount differs","Matched")))))))</x:f>
      </x:c>
      <x:c r="L89" t="str">
        <x:f>IF(COUNTA(A89:F89)=0,"",LEN(A89)&amp;":"&amp;A89&amp;LEN(B89)&amp;":"&amp;B89&amp;LEN(C89)&amp;":"&amp;C89&amp;LEN(D89)&amp;":"&amp;D89)</x:f>
      </x:c>
      <x:c r="M89" t="str">
        <x:f>IF(COUNTA(A89:F89)=0,"",IF(ISNUMBER(E89),1,0))</x:f>
      </x:c>
    </x:row>
    <x:row r="90">
      <x:c r="A90" s="11"/>
      <x:c r="B90" s="11"/>
      <x:c r="C90" s="11"/>
      <x:c r="D90" s="11"/>
      <x:c r="E90" s="12"/>
      <x:c r="F90" s="10"/>
      <x:c r="G90" s="2" t="str">
        <x:f>IF(COUNTA(A90:F90)=0,"",COUNTIFS('External Data'!$L$2:$L$1001,SUBSTITUTE(SUBSTITUTE(SUBSTITUTE(L90,"~","~~"),"*","~*"),"?","~?")))</x:f>
      </x:c>
      <x:c r="H90" s="2" t="str">
        <x:f>IF(COUNTA(A90:F90)=0,"",COUNTIFS('App Data'!$L$2:$L$1001,SUBSTITUTE(SUBSTITUTE(SUBSTITUTE(L90,"~","~~"),"*","~*"),"?","~?")))</x:f>
      </x:c>
      <x:c r="I90" s="13" t="str">
        <x:f>IF(OR(H90&lt;&gt;1,G90&lt;&gt;1),"",SUMIFS('App Data'!$E$2:$E$1001,'App Data'!$L$2:$L$1001,SUBSTITUTE(SUBSTITUTE(SUBSTITUTE(L90,"~","~~"),"*","~*"),"?","~?")))</x:f>
      </x:c>
      <x:c r="J90" s="13" t="str">
        <x:f>IF(OR(NOT(ISNUMBER(E90)),NOT(ISNUMBER(I90))),"",ROUND(E90-I90,2))</x:f>
      </x:c>
      <x:c r="K90" s="2" t="str">
        <x:f>IF(COUNTA(A90:F90)=0,"",IF(OR(A90="",B90="",C90="",D90="",NOT(ISNUMBER(E90))),"Missing / invalid input",IF(G90&gt;1,"Duplicate key in this source",IF(H90=0,"Missing in other source",IF(H90&gt;1,"Duplicate in other source",IF(SUMIFS('App Data'!$M$2:$M$1001,'App Data'!$L$2:$L$1001,SUBSTITUTE(SUBSTITUTE(SUBSTITUTE(L90,"~","~~"),"*","~*"),"?","~?"))&lt;&gt;1,"Other amount is invalid",IF(J90&lt;&gt;0,"Amount differs","Matched")))))))</x:f>
      </x:c>
      <x:c r="L90" t="str">
        <x:f>IF(COUNTA(A90:F90)=0,"",LEN(A90)&amp;":"&amp;A90&amp;LEN(B90)&amp;":"&amp;B90&amp;LEN(C90)&amp;":"&amp;C90&amp;LEN(D90)&amp;":"&amp;D90)</x:f>
      </x:c>
      <x:c r="M90" t="str">
        <x:f>IF(COUNTA(A90:F90)=0,"",IF(ISNUMBER(E90),1,0))</x:f>
      </x:c>
    </x:row>
    <x:row r="91">
      <x:c r="A91" s="11"/>
      <x:c r="B91" s="11"/>
      <x:c r="C91" s="11"/>
      <x:c r="D91" s="11"/>
      <x:c r="E91" s="12"/>
      <x:c r="F91" s="10"/>
      <x:c r="G91" s="2" t="str">
        <x:f>IF(COUNTA(A91:F91)=0,"",COUNTIFS('External Data'!$L$2:$L$1001,SUBSTITUTE(SUBSTITUTE(SUBSTITUTE(L91,"~","~~"),"*","~*"),"?","~?")))</x:f>
      </x:c>
      <x:c r="H91" s="2" t="str">
        <x:f>IF(COUNTA(A91:F91)=0,"",COUNTIFS('App Data'!$L$2:$L$1001,SUBSTITUTE(SUBSTITUTE(SUBSTITUTE(L91,"~","~~"),"*","~*"),"?","~?")))</x:f>
      </x:c>
      <x:c r="I91" s="13" t="str">
        <x:f>IF(OR(H91&lt;&gt;1,G91&lt;&gt;1),"",SUMIFS('App Data'!$E$2:$E$1001,'App Data'!$L$2:$L$1001,SUBSTITUTE(SUBSTITUTE(SUBSTITUTE(L91,"~","~~"),"*","~*"),"?","~?")))</x:f>
      </x:c>
      <x:c r="J91" s="13" t="str">
        <x:f>IF(OR(NOT(ISNUMBER(E91)),NOT(ISNUMBER(I91))),"",ROUND(E91-I91,2))</x:f>
      </x:c>
      <x:c r="K91" s="2" t="str">
        <x:f>IF(COUNTA(A91:F91)=0,"",IF(OR(A91="",B91="",C91="",D91="",NOT(ISNUMBER(E91))),"Missing / invalid input",IF(G91&gt;1,"Duplicate key in this source",IF(H91=0,"Missing in other source",IF(H91&gt;1,"Duplicate in other source",IF(SUMIFS('App Data'!$M$2:$M$1001,'App Data'!$L$2:$L$1001,SUBSTITUTE(SUBSTITUTE(SUBSTITUTE(L91,"~","~~"),"*","~*"),"?","~?"))&lt;&gt;1,"Other amount is invalid",IF(J91&lt;&gt;0,"Amount differs","Matched")))))))</x:f>
      </x:c>
      <x:c r="L91" t="str">
        <x:f>IF(COUNTA(A91:F91)=0,"",LEN(A91)&amp;":"&amp;A91&amp;LEN(B91)&amp;":"&amp;B91&amp;LEN(C91)&amp;":"&amp;C91&amp;LEN(D91)&amp;":"&amp;D91)</x:f>
      </x:c>
      <x:c r="M91" t="str">
        <x:f>IF(COUNTA(A91:F91)=0,"",IF(ISNUMBER(E91),1,0))</x:f>
      </x:c>
    </x:row>
    <x:row r="92">
      <x:c r="A92" s="11"/>
      <x:c r="B92" s="11"/>
      <x:c r="C92" s="11"/>
      <x:c r="D92" s="11"/>
      <x:c r="E92" s="12"/>
      <x:c r="F92" s="10"/>
      <x:c r="G92" s="2" t="str">
        <x:f>IF(COUNTA(A92:F92)=0,"",COUNTIFS('External Data'!$L$2:$L$1001,SUBSTITUTE(SUBSTITUTE(SUBSTITUTE(L92,"~","~~"),"*","~*"),"?","~?")))</x:f>
      </x:c>
      <x:c r="H92" s="2" t="str">
        <x:f>IF(COUNTA(A92:F92)=0,"",COUNTIFS('App Data'!$L$2:$L$1001,SUBSTITUTE(SUBSTITUTE(SUBSTITUTE(L92,"~","~~"),"*","~*"),"?","~?")))</x:f>
      </x:c>
      <x:c r="I92" s="13" t="str">
        <x:f>IF(OR(H92&lt;&gt;1,G92&lt;&gt;1),"",SUMIFS('App Data'!$E$2:$E$1001,'App Data'!$L$2:$L$1001,SUBSTITUTE(SUBSTITUTE(SUBSTITUTE(L92,"~","~~"),"*","~*"),"?","~?")))</x:f>
      </x:c>
      <x:c r="J92" s="13" t="str">
        <x:f>IF(OR(NOT(ISNUMBER(E92)),NOT(ISNUMBER(I92))),"",ROUND(E92-I92,2))</x:f>
      </x:c>
      <x:c r="K92" s="2" t="str">
        <x:f>IF(COUNTA(A92:F92)=0,"",IF(OR(A92="",B92="",C92="",D92="",NOT(ISNUMBER(E92))),"Missing / invalid input",IF(G92&gt;1,"Duplicate key in this source",IF(H92=0,"Missing in other source",IF(H92&gt;1,"Duplicate in other source",IF(SUMIFS('App Data'!$M$2:$M$1001,'App Data'!$L$2:$L$1001,SUBSTITUTE(SUBSTITUTE(SUBSTITUTE(L92,"~","~~"),"*","~*"),"?","~?"))&lt;&gt;1,"Other amount is invalid",IF(J92&lt;&gt;0,"Amount differs","Matched")))))))</x:f>
      </x:c>
      <x:c r="L92" t="str">
        <x:f>IF(COUNTA(A92:F92)=0,"",LEN(A92)&amp;":"&amp;A92&amp;LEN(B92)&amp;":"&amp;B92&amp;LEN(C92)&amp;":"&amp;C92&amp;LEN(D92)&amp;":"&amp;D92)</x:f>
      </x:c>
      <x:c r="M92" t="str">
        <x:f>IF(COUNTA(A92:F92)=0,"",IF(ISNUMBER(E92),1,0))</x:f>
      </x:c>
    </x:row>
    <x:row r="93">
      <x:c r="A93" s="11"/>
      <x:c r="B93" s="11"/>
      <x:c r="C93" s="11"/>
      <x:c r="D93" s="11"/>
      <x:c r="E93" s="12"/>
      <x:c r="F93" s="10"/>
      <x:c r="G93" s="2" t="str">
        <x:f>IF(COUNTA(A93:F93)=0,"",COUNTIFS('External Data'!$L$2:$L$1001,SUBSTITUTE(SUBSTITUTE(SUBSTITUTE(L93,"~","~~"),"*","~*"),"?","~?")))</x:f>
      </x:c>
      <x:c r="H93" s="2" t="str">
        <x:f>IF(COUNTA(A93:F93)=0,"",COUNTIFS('App Data'!$L$2:$L$1001,SUBSTITUTE(SUBSTITUTE(SUBSTITUTE(L93,"~","~~"),"*","~*"),"?","~?")))</x:f>
      </x:c>
      <x:c r="I93" s="13" t="str">
        <x:f>IF(OR(H93&lt;&gt;1,G93&lt;&gt;1),"",SUMIFS('App Data'!$E$2:$E$1001,'App Data'!$L$2:$L$1001,SUBSTITUTE(SUBSTITUTE(SUBSTITUTE(L93,"~","~~"),"*","~*"),"?","~?")))</x:f>
      </x:c>
      <x:c r="J93" s="13" t="str">
        <x:f>IF(OR(NOT(ISNUMBER(E93)),NOT(ISNUMBER(I93))),"",ROUND(E93-I93,2))</x:f>
      </x:c>
      <x:c r="K93" s="2" t="str">
        <x:f>IF(COUNTA(A93:F93)=0,"",IF(OR(A93="",B93="",C93="",D93="",NOT(ISNUMBER(E93))),"Missing / invalid input",IF(G93&gt;1,"Duplicate key in this source",IF(H93=0,"Missing in other source",IF(H93&gt;1,"Duplicate in other source",IF(SUMIFS('App Data'!$M$2:$M$1001,'App Data'!$L$2:$L$1001,SUBSTITUTE(SUBSTITUTE(SUBSTITUTE(L93,"~","~~"),"*","~*"),"?","~?"))&lt;&gt;1,"Other amount is invalid",IF(J93&lt;&gt;0,"Amount differs","Matched")))))))</x:f>
      </x:c>
      <x:c r="L93" t="str">
        <x:f>IF(COUNTA(A93:F93)=0,"",LEN(A93)&amp;":"&amp;A93&amp;LEN(B93)&amp;":"&amp;B93&amp;LEN(C93)&amp;":"&amp;C93&amp;LEN(D93)&amp;":"&amp;D93)</x:f>
      </x:c>
      <x:c r="M93" t="str">
        <x:f>IF(COUNTA(A93:F93)=0,"",IF(ISNUMBER(E93),1,0))</x:f>
      </x:c>
    </x:row>
    <x:row r="94">
      <x:c r="A94" s="11"/>
      <x:c r="B94" s="11"/>
      <x:c r="C94" s="11"/>
      <x:c r="D94" s="11"/>
      <x:c r="E94" s="12"/>
      <x:c r="F94" s="10"/>
      <x:c r="G94" s="2" t="str">
        <x:f>IF(COUNTA(A94:F94)=0,"",COUNTIFS('External Data'!$L$2:$L$1001,SUBSTITUTE(SUBSTITUTE(SUBSTITUTE(L94,"~","~~"),"*","~*"),"?","~?")))</x:f>
      </x:c>
      <x:c r="H94" s="2" t="str">
        <x:f>IF(COUNTA(A94:F94)=0,"",COUNTIFS('App Data'!$L$2:$L$1001,SUBSTITUTE(SUBSTITUTE(SUBSTITUTE(L94,"~","~~"),"*","~*"),"?","~?")))</x:f>
      </x:c>
      <x:c r="I94" s="13" t="str">
        <x:f>IF(OR(H94&lt;&gt;1,G94&lt;&gt;1),"",SUMIFS('App Data'!$E$2:$E$1001,'App Data'!$L$2:$L$1001,SUBSTITUTE(SUBSTITUTE(SUBSTITUTE(L94,"~","~~"),"*","~*"),"?","~?")))</x:f>
      </x:c>
      <x:c r="J94" s="13" t="str">
        <x:f>IF(OR(NOT(ISNUMBER(E94)),NOT(ISNUMBER(I94))),"",ROUND(E94-I94,2))</x:f>
      </x:c>
      <x:c r="K94" s="2" t="str">
        <x:f>IF(COUNTA(A94:F94)=0,"",IF(OR(A94="",B94="",C94="",D94="",NOT(ISNUMBER(E94))),"Missing / invalid input",IF(G94&gt;1,"Duplicate key in this source",IF(H94=0,"Missing in other source",IF(H94&gt;1,"Duplicate in other source",IF(SUMIFS('App Data'!$M$2:$M$1001,'App Data'!$L$2:$L$1001,SUBSTITUTE(SUBSTITUTE(SUBSTITUTE(L94,"~","~~"),"*","~*"),"?","~?"))&lt;&gt;1,"Other amount is invalid",IF(J94&lt;&gt;0,"Amount differs","Matched")))))))</x:f>
      </x:c>
      <x:c r="L94" t="str">
        <x:f>IF(COUNTA(A94:F94)=0,"",LEN(A94)&amp;":"&amp;A94&amp;LEN(B94)&amp;":"&amp;B94&amp;LEN(C94)&amp;":"&amp;C94&amp;LEN(D94)&amp;":"&amp;D94)</x:f>
      </x:c>
      <x:c r="M94" t="str">
        <x:f>IF(COUNTA(A94:F94)=0,"",IF(ISNUMBER(E94),1,0))</x:f>
      </x:c>
    </x:row>
    <x:row r="95">
      <x:c r="A95" s="11"/>
      <x:c r="B95" s="11"/>
      <x:c r="C95" s="11"/>
      <x:c r="D95" s="11"/>
      <x:c r="E95" s="12"/>
      <x:c r="F95" s="10"/>
      <x:c r="G95" s="2" t="str">
        <x:f>IF(COUNTA(A95:F95)=0,"",COUNTIFS('External Data'!$L$2:$L$1001,SUBSTITUTE(SUBSTITUTE(SUBSTITUTE(L95,"~","~~"),"*","~*"),"?","~?")))</x:f>
      </x:c>
      <x:c r="H95" s="2" t="str">
        <x:f>IF(COUNTA(A95:F95)=0,"",COUNTIFS('App Data'!$L$2:$L$1001,SUBSTITUTE(SUBSTITUTE(SUBSTITUTE(L95,"~","~~"),"*","~*"),"?","~?")))</x:f>
      </x:c>
      <x:c r="I95" s="13" t="str">
        <x:f>IF(OR(H95&lt;&gt;1,G95&lt;&gt;1),"",SUMIFS('App Data'!$E$2:$E$1001,'App Data'!$L$2:$L$1001,SUBSTITUTE(SUBSTITUTE(SUBSTITUTE(L95,"~","~~"),"*","~*"),"?","~?")))</x:f>
      </x:c>
      <x:c r="J95" s="13" t="str">
        <x:f>IF(OR(NOT(ISNUMBER(E95)),NOT(ISNUMBER(I95))),"",ROUND(E95-I95,2))</x:f>
      </x:c>
      <x:c r="K95" s="2" t="str">
        <x:f>IF(COUNTA(A95:F95)=0,"",IF(OR(A95="",B95="",C95="",D95="",NOT(ISNUMBER(E95))),"Missing / invalid input",IF(G95&gt;1,"Duplicate key in this source",IF(H95=0,"Missing in other source",IF(H95&gt;1,"Duplicate in other source",IF(SUMIFS('App Data'!$M$2:$M$1001,'App Data'!$L$2:$L$1001,SUBSTITUTE(SUBSTITUTE(SUBSTITUTE(L95,"~","~~"),"*","~*"),"?","~?"))&lt;&gt;1,"Other amount is invalid",IF(J95&lt;&gt;0,"Amount differs","Matched")))))))</x:f>
      </x:c>
      <x:c r="L95" t="str">
        <x:f>IF(COUNTA(A95:F95)=0,"",LEN(A95)&amp;":"&amp;A95&amp;LEN(B95)&amp;":"&amp;B95&amp;LEN(C95)&amp;":"&amp;C95&amp;LEN(D95)&amp;":"&amp;D95)</x:f>
      </x:c>
      <x:c r="M95" t="str">
        <x:f>IF(COUNTA(A95:F95)=0,"",IF(ISNUMBER(E95),1,0))</x:f>
      </x:c>
    </x:row>
    <x:row r="96">
      <x:c r="A96" s="11"/>
      <x:c r="B96" s="11"/>
      <x:c r="C96" s="11"/>
      <x:c r="D96" s="11"/>
      <x:c r="E96" s="12"/>
      <x:c r="F96" s="10"/>
      <x:c r="G96" s="2" t="str">
        <x:f>IF(COUNTA(A96:F96)=0,"",COUNTIFS('External Data'!$L$2:$L$1001,SUBSTITUTE(SUBSTITUTE(SUBSTITUTE(L96,"~","~~"),"*","~*"),"?","~?")))</x:f>
      </x:c>
      <x:c r="H96" s="2" t="str">
        <x:f>IF(COUNTA(A96:F96)=0,"",COUNTIFS('App Data'!$L$2:$L$1001,SUBSTITUTE(SUBSTITUTE(SUBSTITUTE(L96,"~","~~"),"*","~*"),"?","~?")))</x:f>
      </x:c>
      <x:c r="I96" s="13" t="str">
        <x:f>IF(OR(H96&lt;&gt;1,G96&lt;&gt;1),"",SUMIFS('App Data'!$E$2:$E$1001,'App Data'!$L$2:$L$1001,SUBSTITUTE(SUBSTITUTE(SUBSTITUTE(L96,"~","~~"),"*","~*"),"?","~?")))</x:f>
      </x:c>
      <x:c r="J96" s="13" t="str">
        <x:f>IF(OR(NOT(ISNUMBER(E96)),NOT(ISNUMBER(I96))),"",ROUND(E96-I96,2))</x:f>
      </x:c>
      <x:c r="K96" s="2" t="str">
        <x:f>IF(COUNTA(A96:F96)=0,"",IF(OR(A96="",B96="",C96="",D96="",NOT(ISNUMBER(E96))),"Missing / invalid input",IF(G96&gt;1,"Duplicate key in this source",IF(H96=0,"Missing in other source",IF(H96&gt;1,"Duplicate in other source",IF(SUMIFS('App Data'!$M$2:$M$1001,'App Data'!$L$2:$L$1001,SUBSTITUTE(SUBSTITUTE(SUBSTITUTE(L96,"~","~~"),"*","~*"),"?","~?"))&lt;&gt;1,"Other amount is invalid",IF(J96&lt;&gt;0,"Amount differs","Matched")))))))</x:f>
      </x:c>
      <x:c r="L96" t="str">
        <x:f>IF(COUNTA(A96:F96)=0,"",LEN(A96)&amp;":"&amp;A96&amp;LEN(B96)&amp;":"&amp;B96&amp;LEN(C96)&amp;":"&amp;C96&amp;LEN(D96)&amp;":"&amp;D96)</x:f>
      </x:c>
      <x:c r="M96" t="str">
        <x:f>IF(COUNTA(A96:F96)=0,"",IF(ISNUMBER(E96),1,0))</x:f>
      </x:c>
    </x:row>
    <x:row r="97">
      <x:c r="A97" s="11"/>
      <x:c r="B97" s="11"/>
      <x:c r="C97" s="11"/>
      <x:c r="D97" s="11"/>
      <x:c r="E97" s="12"/>
      <x:c r="F97" s="10"/>
      <x:c r="G97" s="2" t="str">
        <x:f>IF(COUNTA(A97:F97)=0,"",COUNTIFS('External Data'!$L$2:$L$1001,SUBSTITUTE(SUBSTITUTE(SUBSTITUTE(L97,"~","~~"),"*","~*"),"?","~?")))</x:f>
      </x:c>
      <x:c r="H97" s="2" t="str">
        <x:f>IF(COUNTA(A97:F97)=0,"",COUNTIFS('App Data'!$L$2:$L$1001,SUBSTITUTE(SUBSTITUTE(SUBSTITUTE(L97,"~","~~"),"*","~*"),"?","~?")))</x:f>
      </x:c>
      <x:c r="I97" s="13" t="str">
        <x:f>IF(OR(H97&lt;&gt;1,G97&lt;&gt;1),"",SUMIFS('App Data'!$E$2:$E$1001,'App Data'!$L$2:$L$1001,SUBSTITUTE(SUBSTITUTE(SUBSTITUTE(L97,"~","~~"),"*","~*"),"?","~?")))</x:f>
      </x:c>
      <x:c r="J97" s="13" t="str">
        <x:f>IF(OR(NOT(ISNUMBER(E97)),NOT(ISNUMBER(I97))),"",ROUND(E97-I97,2))</x:f>
      </x:c>
      <x:c r="K97" s="2" t="str">
        <x:f>IF(COUNTA(A97:F97)=0,"",IF(OR(A97="",B97="",C97="",D97="",NOT(ISNUMBER(E97))),"Missing / invalid input",IF(G97&gt;1,"Duplicate key in this source",IF(H97=0,"Missing in other source",IF(H97&gt;1,"Duplicate in other source",IF(SUMIFS('App Data'!$M$2:$M$1001,'App Data'!$L$2:$L$1001,SUBSTITUTE(SUBSTITUTE(SUBSTITUTE(L97,"~","~~"),"*","~*"),"?","~?"))&lt;&gt;1,"Other amount is invalid",IF(J97&lt;&gt;0,"Amount differs","Matched")))))))</x:f>
      </x:c>
      <x:c r="L97" t="str">
        <x:f>IF(COUNTA(A97:F97)=0,"",LEN(A97)&amp;":"&amp;A97&amp;LEN(B97)&amp;":"&amp;B97&amp;LEN(C97)&amp;":"&amp;C97&amp;LEN(D97)&amp;":"&amp;D97)</x:f>
      </x:c>
      <x:c r="M97" t="str">
        <x:f>IF(COUNTA(A97:F97)=0,"",IF(ISNUMBER(E97),1,0))</x:f>
      </x:c>
    </x:row>
    <x:row r="98">
      <x:c r="A98" s="11"/>
      <x:c r="B98" s="11"/>
      <x:c r="C98" s="11"/>
      <x:c r="D98" s="11"/>
      <x:c r="E98" s="12"/>
      <x:c r="F98" s="10"/>
      <x:c r="G98" s="2" t="str">
        <x:f>IF(COUNTA(A98:F98)=0,"",COUNTIFS('External Data'!$L$2:$L$1001,SUBSTITUTE(SUBSTITUTE(SUBSTITUTE(L98,"~","~~"),"*","~*"),"?","~?")))</x:f>
      </x:c>
      <x:c r="H98" s="2" t="str">
        <x:f>IF(COUNTA(A98:F98)=0,"",COUNTIFS('App Data'!$L$2:$L$1001,SUBSTITUTE(SUBSTITUTE(SUBSTITUTE(L98,"~","~~"),"*","~*"),"?","~?")))</x:f>
      </x:c>
      <x:c r="I98" s="13" t="str">
        <x:f>IF(OR(H98&lt;&gt;1,G98&lt;&gt;1),"",SUMIFS('App Data'!$E$2:$E$1001,'App Data'!$L$2:$L$1001,SUBSTITUTE(SUBSTITUTE(SUBSTITUTE(L98,"~","~~"),"*","~*"),"?","~?")))</x:f>
      </x:c>
      <x:c r="J98" s="13" t="str">
        <x:f>IF(OR(NOT(ISNUMBER(E98)),NOT(ISNUMBER(I98))),"",ROUND(E98-I98,2))</x:f>
      </x:c>
      <x:c r="K98" s="2" t="str">
        <x:f>IF(COUNTA(A98:F98)=0,"",IF(OR(A98="",B98="",C98="",D98="",NOT(ISNUMBER(E98))),"Missing / invalid input",IF(G98&gt;1,"Duplicate key in this source",IF(H98=0,"Missing in other source",IF(H98&gt;1,"Duplicate in other source",IF(SUMIFS('App Data'!$M$2:$M$1001,'App Data'!$L$2:$L$1001,SUBSTITUTE(SUBSTITUTE(SUBSTITUTE(L98,"~","~~"),"*","~*"),"?","~?"))&lt;&gt;1,"Other amount is invalid",IF(J98&lt;&gt;0,"Amount differs","Matched")))))))</x:f>
      </x:c>
      <x:c r="L98" t="str">
        <x:f>IF(COUNTA(A98:F98)=0,"",LEN(A98)&amp;":"&amp;A98&amp;LEN(B98)&amp;":"&amp;B98&amp;LEN(C98)&amp;":"&amp;C98&amp;LEN(D98)&amp;":"&amp;D98)</x:f>
      </x:c>
      <x:c r="M98" t="str">
        <x:f>IF(COUNTA(A98:F98)=0,"",IF(ISNUMBER(E98),1,0))</x:f>
      </x:c>
    </x:row>
    <x:row r="99">
      <x:c r="A99" s="11"/>
      <x:c r="B99" s="11"/>
      <x:c r="C99" s="11"/>
      <x:c r="D99" s="11"/>
      <x:c r="E99" s="12"/>
      <x:c r="F99" s="10"/>
      <x:c r="G99" s="2" t="str">
        <x:f>IF(COUNTA(A99:F99)=0,"",COUNTIFS('External Data'!$L$2:$L$1001,SUBSTITUTE(SUBSTITUTE(SUBSTITUTE(L99,"~","~~"),"*","~*"),"?","~?")))</x:f>
      </x:c>
      <x:c r="H99" s="2" t="str">
        <x:f>IF(COUNTA(A99:F99)=0,"",COUNTIFS('App Data'!$L$2:$L$1001,SUBSTITUTE(SUBSTITUTE(SUBSTITUTE(L99,"~","~~"),"*","~*"),"?","~?")))</x:f>
      </x:c>
      <x:c r="I99" s="13" t="str">
        <x:f>IF(OR(H99&lt;&gt;1,G99&lt;&gt;1),"",SUMIFS('App Data'!$E$2:$E$1001,'App Data'!$L$2:$L$1001,SUBSTITUTE(SUBSTITUTE(SUBSTITUTE(L99,"~","~~"),"*","~*"),"?","~?")))</x:f>
      </x:c>
      <x:c r="J99" s="13" t="str">
        <x:f>IF(OR(NOT(ISNUMBER(E99)),NOT(ISNUMBER(I99))),"",ROUND(E99-I99,2))</x:f>
      </x:c>
      <x:c r="K99" s="2" t="str">
        <x:f>IF(COUNTA(A99:F99)=0,"",IF(OR(A99="",B99="",C99="",D99="",NOT(ISNUMBER(E99))),"Missing / invalid input",IF(G99&gt;1,"Duplicate key in this source",IF(H99=0,"Missing in other source",IF(H99&gt;1,"Duplicate in other source",IF(SUMIFS('App Data'!$M$2:$M$1001,'App Data'!$L$2:$L$1001,SUBSTITUTE(SUBSTITUTE(SUBSTITUTE(L99,"~","~~"),"*","~*"),"?","~?"))&lt;&gt;1,"Other amount is invalid",IF(J99&lt;&gt;0,"Amount differs","Matched")))))))</x:f>
      </x:c>
      <x:c r="L99" t="str">
        <x:f>IF(COUNTA(A99:F99)=0,"",LEN(A99)&amp;":"&amp;A99&amp;LEN(B99)&amp;":"&amp;B99&amp;LEN(C99)&amp;":"&amp;C99&amp;LEN(D99)&amp;":"&amp;D99)</x:f>
      </x:c>
      <x:c r="M99" t="str">
        <x:f>IF(COUNTA(A99:F99)=0,"",IF(ISNUMBER(E99),1,0))</x:f>
      </x:c>
    </x:row>
    <x:row r="100">
      <x:c r="A100" s="11"/>
      <x:c r="B100" s="11"/>
      <x:c r="C100" s="11"/>
      <x:c r="D100" s="11"/>
      <x:c r="E100" s="12"/>
      <x:c r="F100" s="10"/>
      <x:c r="G100" s="2" t="str">
        <x:f>IF(COUNTA(A100:F100)=0,"",COUNTIFS('External Data'!$L$2:$L$1001,SUBSTITUTE(SUBSTITUTE(SUBSTITUTE(L100,"~","~~"),"*","~*"),"?","~?")))</x:f>
      </x:c>
      <x:c r="H100" s="2" t="str">
        <x:f>IF(COUNTA(A100:F100)=0,"",COUNTIFS('App Data'!$L$2:$L$1001,SUBSTITUTE(SUBSTITUTE(SUBSTITUTE(L100,"~","~~"),"*","~*"),"?","~?")))</x:f>
      </x:c>
      <x:c r="I100" s="13" t="str">
        <x:f>IF(OR(H100&lt;&gt;1,G100&lt;&gt;1),"",SUMIFS('App Data'!$E$2:$E$1001,'App Data'!$L$2:$L$1001,SUBSTITUTE(SUBSTITUTE(SUBSTITUTE(L100,"~","~~"),"*","~*"),"?","~?")))</x:f>
      </x:c>
      <x:c r="J100" s="13" t="str">
        <x:f>IF(OR(NOT(ISNUMBER(E100)),NOT(ISNUMBER(I100))),"",ROUND(E100-I100,2))</x:f>
      </x:c>
      <x:c r="K100" s="2" t="str">
        <x:f>IF(COUNTA(A100:F100)=0,"",IF(OR(A100="",B100="",C100="",D100="",NOT(ISNUMBER(E100))),"Missing / invalid input",IF(G100&gt;1,"Duplicate key in this source",IF(H100=0,"Missing in other source",IF(H100&gt;1,"Duplicate in other source",IF(SUMIFS('App Data'!$M$2:$M$1001,'App Data'!$L$2:$L$1001,SUBSTITUTE(SUBSTITUTE(SUBSTITUTE(L100,"~","~~"),"*","~*"),"?","~?"))&lt;&gt;1,"Other amount is invalid",IF(J100&lt;&gt;0,"Amount differs","Matched")))))))</x:f>
      </x:c>
      <x:c r="L100" t="str">
        <x:f>IF(COUNTA(A100:F100)=0,"",LEN(A100)&amp;":"&amp;A100&amp;LEN(B100)&amp;":"&amp;B100&amp;LEN(C100)&amp;":"&amp;C100&amp;LEN(D100)&amp;":"&amp;D100)</x:f>
      </x:c>
      <x:c r="M100" t="str">
        <x:f>IF(COUNTA(A100:F100)=0,"",IF(ISNUMBER(E100),1,0))</x:f>
      </x:c>
    </x:row>
    <x:row r="101">
      <x:c r="A101" s="11"/>
      <x:c r="B101" s="11"/>
      <x:c r="C101" s="11"/>
      <x:c r="D101" s="11"/>
      <x:c r="E101" s="12"/>
      <x:c r="F101" s="10"/>
      <x:c r="G101" s="2" t="str">
        <x:f>IF(COUNTA(A101:F101)=0,"",COUNTIFS('External Data'!$L$2:$L$1001,SUBSTITUTE(SUBSTITUTE(SUBSTITUTE(L101,"~","~~"),"*","~*"),"?","~?")))</x:f>
      </x:c>
      <x:c r="H101" s="2" t="str">
        <x:f>IF(COUNTA(A101:F101)=0,"",COUNTIFS('App Data'!$L$2:$L$1001,SUBSTITUTE(SUBSTITUTE(SUBSTITUTE(L101,"~","~~"),"*","~*"),"?","~?")))</x:f>
      </x:c>
      <x:c r="I101" s="13" t="str">
        <x:f>IF(OR(H101&lt;&gt;1,G101&lt;&gt;1),"",SUMIFS('App Data'!$E$2:$E$1001,'App Data'!$L$2:$L$1001,SUBSTITUTE(SUBSTITUTE(SUBSTITUTE(L101,"~","~~"),"*","~*"),"?","~?")))</x:f>
      </x:c>
      <x:c r="J101" s="13" t="str">
        <x:f>IF(OR(NOT(ISNUMBER(E101)),NOT(ISNUMBER(I101))),"",ROUND(E101-I101,2))</x:f>
      </x:c>
      <x:c r="K101" s="2" t="str">
        <x:f>IF(COUNTA(A101:F101)=0,"",IF(OR(A101="",B101="",C101="",D101="",NOT(ISNUMBER(E101))),"Missing / invalid input",IF(G101&gt;1,"Duplicate key in this source",IF(H101=0,"Missing in other source",IF(H101&gt;1,"Duplicate in other source",IF(SUMIFS('App Data'!$M$2:$M$1001,'App Data'!$L$2:$L$1001,SUBSTITUTE(SUBSTITUTE(SUBSTITUTE(L101,"~","~~"),"*","~*"),"?","~?"))&lt;&gt;1,"Other amount is invalid",IF(J101&lt;&gt;0,"Amount differs","Matched")))))))</x:f>
      </x:c>
      <x:c r="L101" t="str">
        <x:f>IF(COUNTA(A101:F101)=0,"",LEN(A101)&amp;":"&amp;A101&amp;LEN(B101)&amp;":"&amp;B101&amp;LEN(C101)&amp;":"&amp;C101&amp;LEN(D101)&amp;":"&amp;D101)</x:f>
      </x:c>
      <x:c r="M101" t="str">
        <x:f>IF(COUNTA(A101:F101)=0,"",IF(ISNUMBER(E101),1,0))</x:f>
      </x:c>
    </x:row>
    <x:row r="102">
      <x:c r="A102" s="11"/>
      <x:c r="B102" s="11"/>
      <x:c r="C102" s="11"/>
      <x:c r="D102" s="11"/>
      <x:c r="E102" s="12"/>
      <x:c r="F102" s="10"/>
      <x:c r="G102" s="2" t="str">
        <x:f>IF(COUNTA(A102:F102)=0,"",COUNTIFS('External Data'!$L$2:$L$1001,SUBSTITUTE(SUBSTITUTE(SUBSTITUTE(L102,"~","~~"),"*","~*"),"?","~?")))</x:f>
      </x:c>
      <x:c r="H102" s="2" t="str">
        <x:f>IF(COUNTA(A102:F102)=0,"",COUNTIFS('App Data'!$L$2:$L$1001,SUBSTITUTE(SUBSTITUTE(SUBSTITUTE(L102,"~","~~"),"*","~*"),"?","~?")))</x:f>
      </x:c>
      <x:c r="I102" s="13" t="str">
        <x:f>IF(OR(H102&lt;&gt;1,G102&lt;&gt;1),"",SUMIFS('App Data'!$E$2:$E$1001,'App Data'!$L$2:$L$1001,SUBSTITUTE(SUBSTITUTE(SUBSTITUTE(L102,"~","~~"),"*","~*"),"?","~?")))</x:f>
      </x:c>
      <x:c r="J102" s="13" t="str">
        <x:f>IF(OR(NOT(ISNUMBER(E102)),NOT(ISNUMBER(I102))),"",ROUND(E102-I102,2))</x:f>
      </x:c>
      <x:c r="K102" s="2" t="str">
        <x:f>IF(COUNTA(A102:F102)=0,"",IF(OR(A102="",B102="",C102="",D102="",NOT(ISNUMBER(E102))),"Missing / invalid input",IF(G102&gt;1,"Duplicate key in this source",IF(H102=0,"Missing in other source",IF(H102&gt;1,"Duplicate in other source",IF(SUMIFS('App Data'!$M$2:$M$1001,'App Data'!$L$2:$L$1001,SUBSTITUTE(SUBSTITUTE(SUBSTITUTE(L102,"~","~~"),"*","~*"),"?","~?"))&lt;&gt;1,"Other amount is invalid",IF(J102&lt;&gt;0,"Amount differs","Matched")))))))</x:f>
      </x:c>
      <x:c r="L102" t="str">
        <x:f>IF(COUNTA(A102:F102)=0,"",LEN(A102)&amp;":"&amp;A102&amp;LEN(B102)&amp;":"&amp;B102&amp;LEN(C102)&amp;":"&amp;C102&amp;LEN(D102)&amp;":"&amp;D102)</x:f>
      </x:c>
      <x:c r="M102" t="str">
        <x:f>IF(COUNTA(A102:F102)=0,"",IF(ISNUMBER(E102),1,0))</x:f>
      </x:c>
    </x:row>
    <x:row r="103">
      <x:c r="A103" s="11"/>
      <x:c r="B103" s="11"/>
      <x:c r="C103" s="11"/>
      <x:c r="D103" s="11"/>
      <x:c r="E103" s="12"/>
      <x:c r="F103" s="10"/>
      <x:c r="G103" s="2" t="str">
        <x:f>IF(COUNTA(A103:F103)=0,"",COUNTIFS('External Data'!$L$2:$L$1001,SUBSTITUTE(SUBSTITUTE(SUBSTITUTE(L103,"~","~~"),"*","~*"),"?","~?")))</x:f>
      </x:c>
      <x:c r="H103" s="2" t="str">
        <x:f>IF(COUNTA(A103:F103)=0,"",COUNTIFS('App Data'!$L$2:$L$1001,SUBSTITUTE(SUBSTITUTE(SUBSTITUTE(L103,"~","~~"),"*","~*"),"?","~?")))</x:f>
      </x:c>
      <x:c r="I103" s="13" t="str">
        <x:f>IF(OR(H103&lt;&gt;1,G103&lt;&gt;1),"",SUMIFS('App Data'!$E$2:$E$1001,'App Data'!$L$2:$L$1001,SUBSTITUTE(SUBSTITUTE(SUBSTITUTE(L103,"~","~~"),"*","~*"),"?","~?")))</x:f>
      </x:c>
      <x:c r="J103" s="13" t="str">
        <x:f>IF(OR(NOT(ISNUMBER(E103)),NOT(ISNUMBER(I103))),"",ROUND(E103-I103,2))</x:f>
      </x:c>
      <x:c r="K103" s="2" t="str">
        <x:f>IF(COUNTA(A103:F103)=0,"",IF(OR(A103="",B103="",C103="",D103="",NOT(ISNUMBER(E103))),"Missing / invalid input",IF(G103&gt;1,"Duplicate key in this source",IF(H103=0,"Missing in other source",IF(H103&gt;1,"Duplicate in other source",IF(SUMIFS('App Data'!$M$2:$M$1001,'App Data'!$L$2:$L$1001,SUBSTITUTE(SUBSTITUTE(SUBSTITUTE(L103,"~","~~"),"*","~*"),"?","~?"))&lt;&gt;1,"Other amount is invalid",IF(J103&lt;&gt;0,"Amount differs","Matched")))))))</x:f>
      </x:c>
      <x:c r="L103" t="str">
        <x:f>IF(COUNTA(A103:F103)=0,"",LEN(A103)&amp;":"&amp;A103&amp;LEN(B103)&amp;":"&amp;B103&amp;LEN(C103)&amp;":"&amp;C103&amp;LEN(D103)&amp;":"&amp;D103)</x:f>
      </x:c>
      <x:c r="M103" t="str">
        <x:f>IF(COUNTA(A103:F103)=0,"",IF(ISNUMBER(E103),1,0))</x:f>
      </x:c>
    </x:row>
    <x:row r="104">
      <x:c r="A104" s="11"/>
      <x:c r="B104" s="11"/>
      <x:c r="C104" s="11"/>
      <x:c r="D104" s="11"/>
      <x:c r="E104" s="12"/>
      <x:c r="F104" s="10"/>
      <x:c r="G104" s="2" t="str">
        <x:f>IF(COUNTA(A104:F104)=0,"",COUNTIFS('External Data'!$L$2:$L$1001,SUBSTITUTE(SUBSTITUTE(SUBSTITUTE(L104,"~","~~"),"*","~*"),"?","~?")))</x:f>
      </x:c>
      <x:c r="H104" s="2" t="str">
        <x:f>IF(COUNTA(A104:F104)=0,"",COUNTIFS('App Data'!$L$2:$L$1001,SUBSTITUTE(SUBSTITUTE(SUBSTITUTE(L104,"~","~~"),"*","~*"),"?","~?")))</x:f>
      </x:c>
      <x:c r="I104" s="13" t="str">
        <x:f>IF(OR(H104&lt;&gt;1,G104&lt;&gt;1),"",SUMIFS('App Data'!$E$2:$E$1001,'App Data'!$L$2:$L$1001,SUBSTITUTE(SUBSTITUTE(SUBSTITUTE(L104,"~","~~"),"*","~*"),"?","~?")))</x:f>
      </x:c>
      <x:c r="J104" s="13" t="str">
        <x:f>IF(OR(NOT(ISNUMBER(E104)),NOT(ISNUMBER(I104))),"",ROUND(E104-I104,2))</x:f>
      </x:c>
      <x:c r="K104" s="2" t="str">
        <x:f>IF(COUNTA(A104:F104)=0,"",IF(OR(A104="",B104="",C104="",D104="",NOT(ISNUMBER(E104))),"Missing / invalid input",IF(G104&gt;1,"Duplicate key in this source",IF(H104=0,"Missing in other source",IF(H104&gt;1,"Duplicate in other source",IF(SUMIFS('App Data'!$M$2:$M$1001,'App Data'!$L$2:$L$1001,SUBSTITUTE(SUBSTITUTE(SUBSTITUTE(L104,"~","~~"),"*","~*"),"?","~?"))&lt;&gt;1,"Other amount is invalid",IF(J104&lt;&gt;0,"Amount differs","Matched")))))))</x:f>
      </x:c>
      <x:c r="L104" t="str">
        <x:f>IF(COUNTA(A104:F104)=0,"",LEN(A104)&amp;":"&amp;A104&amp;LEN(B104)&amp;":"&amp;B104&amp;LEN(C104)&amp;":"&amp;C104&amp;LEN(D104)&amp;":"&amp;D104)</x:f>
      </x:c>
      <x:c r="M104" t="str">
        <x:f>IF(COUNTA(A104:F104)=0,"",IF(ISNUMBER(E104),1,0))</x:f>
      </x:c>
    </x:row>
    <x:row r="105">
      <x:c r="A105" s="11"/>
      <x:c r="B105" s="11"/>
      <x:c r="C105" s="11"/>
      <x:c r="D105" s="11"/>
      <x:c r="E105" s="12"/>
      <x:c r="F105" s="10"/>
      <x:c r="G105" s="2" t="str">
        <x:f>IF(COUNTA(A105:F105)=0,"",COUNTIFS('External Data'!$L$2:$L$1001,SUBSTITUTE(SUBSTITUTE(SUBSTITUTE(L105,"~","~~"),"*","~*"),"?","~?")))</x:f>
      </x:c>
      <x:c r="H105" s="2" t="str">
        <x:f>IF(COUNTA(A105:F105)=0,"",COUNTIFS('App Data'!$L$2:$L$1001,SUBSTITUTE(SUBSTITUTE(SUBSTITUTE(L105,"~","~~"),"*","~*"),"?","~?")))</x:f>
      </x:c>
      <x:c r="I105" s="13" t="str">
        <x:f>IF(OR(H105&lt;&gt;1,G105&lt;&gt;1),"",SUMIFS('App Data'!$E$2:$E$1001,'App Data'!$L$2:$L$1001,SUBSTITUTE(SUBSTITUTE(SUBSTITUTE(L105,"~","~~"),"*","~*"),"?","~?")))</x:f>
      </x:c>
      <x:c r="J105" s="13" t="str">
        <x:f>IF(OR(NOT(ISNUMBER(E105)),NOT(ISNUMBER(I105))),"",ROUND(E105-I105,2))</x:f>
      </x:c>
      <x:c r="K105" s="2" t="str">
        <x:f>IF(COUNTA(A105:F105)=0,"",IF(OR(A105="",B105="",C105="",D105="",NOT(ISNUMBER(E105))),"Missing / invalid input",IF(G105&gt;1,"Duplicate key in this source",IF(H105=0,"Missing in other source",IF(H105&gt;1,"Duplicate in other source",IF(SUMIFS('App Data'!$M$2:$M$1001,'App Data'!$L$2:$L$1001,SUBSTITUTE(SUBSTITUTE(SUBSTITUTE(L105,"~","~~"),"*","~*"),"?","~?"))&lt;&gt;1,"Other amount is invalid",IF(J105&lt;&gt;0,"Amount differs","Matched")))))))</x:f>
      </x:c>
      <x:c r="L105" t="str">
        <x:f>IF(COUNTA(A105:F105)=0,"",LEN(A105)&amp;":"&amp;A105&amp;LEN(B105)&amp;":"&amp;B105&amp;LEN(C105)&amp;":"&amp;C105&amp;LEN(D105)&amp;":"&amp;D105)</x:f>
      </x:c>
      <x:c r="M105" t="str">
        <x:f>IF(COUNTA(A105:F105)=0,"",IF(ISNUMBER(E105),1,0))</x:f>
      </x:c>
    </x:row>
    <x:row r="106">
      <x:c r="A106" s="11"/>
      <x:c r="B106" s="11"/>
      <x:c r="C106" s="11"/>
      <x:c r="D106" s="11"/>
      <x:c r="E106" s="12"/>
      <x:c r="F106" s="10"/>
      <x:c r="G106" s="2" t="str">
        <x:f>IF(COUNTA(A106:F106)=0,"",COUNTIFS('External Data'!$L$2:$L$1001,SUBSTITUTE(SUBSTITUTE(SUBSTITUTE(L106,"~","~~"),"*","~*"),"?","~?")))</x:f>
      </x:c>
      <x:c r="H106" s="2" t="str">
        <x:f>IF(COUNTA(A106:F106)=0,"",COUNTIFS('App Data'!$L$2:$L$1001,SUBSTITUTE(SUBSTITUTE(SUBSTITUTE(L106,"~","~~"),"*","~*"),"?","~?")))</x:f>
      </x:c>
      <x:c r="I106" s="13" t="str">
        <x:f>IF(OR(H106&lt;&gt;1,G106&lt;&gt;1),"",SUMIFS('App Data'!$E$2:$E$1001,'App Data'!$L$2:$L$1001,SUBSTITUTE(SUBSTITUTE(SUBSTITUTE(L106,"~","~~"),"*","~*"),"?","~?")))</x:f>
      </x:c>
      <x:c r="J106" s="13" t="str">
        <x:f>IF(OR(NOT(ISNUMBER(E106)),NOT(ISNUMBER(I106))),"",ROUND(E106-I106,2))</x:f>
      </x:c>
      <x:c r="K106" s="2" t="str">
        <x:f>IF(COUNTA(A106:F106)=0,"",IF(OR(A106="",B106="",C106="",D106="",NOT(ISNUMBER(E106))),"Missing / invalid input",IF(G106&gt;1,"Duplicate key in this source",IF(H106=0,"Missing in other source",IF(H106&gt;1,"Duplicate in other source",IF(SUMIFS('App Data'!$M$2:$M$1001,'App Data'!$L$2:$L$1001,SUBSTITUTE(SUBSTITUTE(SUBSTITUTE(L106,"~","~~"),"*","~*"),"?","~?"))&lt;&gt;1,"Other amount is invalid",IF(J106&lt;&gt;0,"Amount differs","Matched")))))))</x:f>
      </x:c>
      <x:c r="L106" t="str">
        <x:f>IF(COUNTA(A106:F106)=0,"",LEN(A106)&amp;":"&amp;A106&amp;LEN(B106)&amp;":"&amp;B106&amp;LEN(C106)&amp;":"&amp;C106&amp;LEN(D106)&amp;":"&amp;D106)</x:f>
      </x:c>
      <x:c r="M106" t="str">
        <x:f>IF(COUNTA(A106:F106)=0,"",IF(ISNUMBER(E106),1,0))</x:f>
      </x:c>
    </x:row>
    <x:row r="107">
      <x:c r="A107" s="11"/>
      <x:c r="B107" s="11"/>
      <x:c r="C107" s="11"/>
      <x:c r="D107" s="11"/>
      <x:c r="E107" s="12"/>
      <x:c r="F107" s="10"/>
      <x:c r="G107" s="2" t="str">
        <x:f>IF(COUNTA(A107:F107)=0,"",COUNTIFS('External Data'!$L$2:$L$1001,SUBSTITUTE(SUBSTITUTE(SUBSTITUTE(L107,"~","~~"),"*","~*"),"?","~?")))</x:f>
      </x:c>
      <x:c r="H107" s="2" t="str">
        <x:f>IF(COUNTA(A107:F107)=0,"",COUNTIFS('App Data'!$L$2:$L$1001,SUBSTITUTE(SUBSTITUTE(SUBSTITUTE(L107,"~","~~"),"*","~*"),"?","~?")))</x:f>
      </x:c>
      <x:c r="I107" s="13" t="str">
        <x:f>IF(OR(H107&lt;&gt;1,G107&lt;&gt;1),"",SUMIFS('App Data'!$E$2:$E$1001,'App Data'!$L$2:$L$1001,SUBSTITUTE(SUBSTITUTE(SUBSTITUTE(L107,"~","~~"),"*","~*"),"?","~?")))</x:f>
      </x:c>
      <x:c r="J107" s="13" t="str">
        <x:f>IF(OR(NOT(ISNUMBER(E107)),NOT(ISNUMBER(I107))),"",ROUND(E107-I107,2))</x:f>
      </x:c>
      <x:c r="K107" s="2" t="str">
        <x:f>IF(COUNTA(A107:F107)=0,"",IF(OR(A107="",B107="",C107="",D107="",NOT(ISNUMBER(E107))),"Missing / invalid input",IF(G107&gt;1,"Duplicate key in this source",IF(H107=0,"Missing in other source",IF(H107&gt;1,"Duplicate in other source",IF(SUMIFS('App Data'!$M$2:$M$1001,'App Data'!$L$2:$L$1001,SUBSTITUTE(SUBSTITUTE(SUBSTITUTE(L107,"~","~~"),"*","~*"),"?","~?"))&lt;&gt;1,"Other amount is invalid",IF(J107&lt;&gt;0,"Amount differs","Matched")))))))</x:f>
      </x:c>
      <x:c r="L107" t="str">
        <x:f>IF(COUNTA(A107:F107)=0,"",LEN(A107)&amp;":"&amp;A107&amp;LEN(B107)&amp;":"&amp;B107&amp;LEN(C107)&amp;":"&amp;C107&amp;LEN(D107)&amp;":"&amp;D107)</x:f>
      </x:c>
      <x:c r="M107" t="str">
        <x:f>IF(COUNTA(A107:F107)=0,"",IF(ISNUMBER(E107),1,0))</x:f>
      </x:c>
    </x:row>
    <x:row r="108">
      <x:c r="A108" s="11"/>
      <x:c r="B108" s="11"/>
      <x:c r="C108" s="11"/>
      <x:c r="D108" s="11"/>
      <x:c r="E108" s="12"/>
      <x:c r="F108" s="10"/>
      <x:c r="G108" s="2" t="str">
        <x:f>IF(COUNTA(A108:F108)=0,"",COUNTIFS('External Data'!$L$2:$L$1001,SUBSTITUTE(SUBSTITUTE(SUBSTITUTE(L108,"~","~~"),"*","~*"),"?","~?")))</x:f>
      </x:c>
      <x:c r="H108" s="2" t="str">
        <x:f>IF(COUNTA(A108:F108)=0,"",COUNTIFS('App Data'!$L$2:$L$1001,SUBSTITUTE(SUBSTITUTE(SUBSTITUTE(L108,"~","~~"),"*","~*"),"?","~?")))</x:f>
      </x:c>
      <x:c r="I108" s="13" t="str">
        <x:f>IF(OR(H108&lt;&gt;1,G108&lt;&gt;1),"",SUMIFS('App Data'!$E$2:$E$1001,'App Data'!$L$2:$L$1001,SUBSTITUTE(SUBSTITUTE(SUBSTITUTE(L108,"~","~~"),"*","~*"),"?","~?")))</x:f>
      </x:c>
      <x:c r="J108" s="13" t="str">
        <x:f>IF(OR(NOT(ISNUMBER(E108)),NOT(ISNUMBER(I108))),"",ROUND(E108-I108,2))</x:f>
      </x:c>
      <x:c r="K108" s="2" t="str">
        <x:f>IF(COUNTA(A108:F108)=0,"",IF(OR(A108="",B108="",C108="",D108="",NOT(ISNUMBER(E108))),"Missing / invalid input",IF(G108&gt;1,"Duplicate key in this source",IF(H108=0,"Missing in other source",IF(H108&gt;1,"Duplicate in other source",IF(SUMIFS('App Data'!$M$2:$M$1001,'App Data'!$L$2:$L$1001,SUBSTITUTE(SUBSTITUTE(SUBSTITUTE(L108,"~","~~"),"*","~*"),"?","~?"))&lt;&gt;1,"Other amount is invalid",IF(J108&lt;&gt;0,"Amount differs","Matched")))))))</x:f>
      </x:c>
      <x:c r="L108" t="str">
        <x:f>IF(COUNTA(A108:F108)=0,"",LEN(A108)&amp;":"&amp;A108&amp;LEN(B108)&amp;":"&amp;B108&amp;LEN(C108)&amp;":"&amp;C108&amp;LEN(D108)&amp;":"&amp;D108)</x:f>
      </x:c>
      <x:c r="M108" t="str">
        <x:f>IF(COUNTA(A108:F108)=0,"",IF(ISNUMBER(E108),1,0))</x:f>
      </x:c>
    </x:row>
    <x:row r="109">
      <x:c r="A109" s="11"/>
      <x:c r="B109" s="11"/>
      <x:c r="C109" s="11"/>
      <x:c r="D109" s="11"/>
      <x:c r="E109" s="12"/>
      <x:c r="F109" s="10"/>
      <x:c r="G109" s="2" t="str">
        <x:f>IF(COUNTA(A109:F109)=0,"",COUNTIFS('External Data'!$L$2:$L$1001,SUBSTITUTE(SUBSTITUTE(SUBSTITUTE(L109,"~","~~"),"*","~*"),"?","~?")))</x:f>
      </x:c>
      <x:c r="H109" s="2" t="str">
        <x:f>IF(COUNTA(A109:F109)=0,"",COUNTIFS('App Data'!$L$2:$L$1001,SUBSTITUTE(SUBSTITUTE(SUBSTITUTE(L109,"~","~~"),"*","~*"),"?","~?")))</x:f>
      </x:c>
      <x:c r="I109" s="13" t="str">
        <x:f>IF(OR(H109&lt;&gt;1,G109&lt;&gt;1),"",SUMIFS('App Data'!$E$2:$E$1001,'App Data'!$L$2:$L$1001,SUBSTITUTE(SUBSTITUTE(SUBSTITUTE(L109,"~","~~"),"*","~*"),"?","~?")))</x:f>
      </x:c>
      <x:c r="J109" s="13" t="str">
        <x:f>IF(OR(NOT(ISNUMBER(E109)),NOT(ISNUMBER(I109))),"",ROUND(E109-I109,2))</x:f>
      </x:c>
      <x:c r="K109" s="2" t="str">
        <x:f>IF(COUNTA(A109:F109)=0,"",IF(OR(A109="",B109="",C109="",D109="",NOT(ISNUMBER(E109))),"Missing / invalid input",IF(G109&gt;1,"Duplicate key in this source",IF(H109=0,"Missing in other source",IF(H109&gt;1,"Duplicate in other source",IF(SUMIFS('App Data'!$M$2:$M$1001,'App Data'!$L$2:$L$1001,SUBSTITUTE(SUBSTITUTE(SUBSTITUTE(L109,"~","~~"),"*","~*"),"?","~?"))&lt;&gt;1,"Other amount is invalid",IF(J109&lt;&gt;0,"Amount differs","Matched")))))))</x:f>
      </x:c>
      <x:c r="L109" t="str">
        <x:f>IF(COUNTA(A109:F109)=0,"",LEN(A109)&amp;":"&amp;A109&amp;LEN(B109)&amp;":"&amp;B109&amp;LEN(C109)&amp;":"&amp;C109&amp;LEN(D109)&amp;":"&amp;D109)</x:f>
      </x:c>
      <x:c r="M109" t="str">
        <x:f>IF(COUNTA(A109:F109)=0,"",IF(ISNUMBER(E109),1,0))</x:f>
      </x:c>
    </x:row>
    <x:row r="110">
      <x:c r="A110" s="11"/>
      <x:c r="B110" s="11"/>
      <x:c r="C110" s="11"/>
      <x:c r="D110" s="11"/>
      <x:c r="E110" s="12"/>
      <x:c r="F110" s="10"/>
      <x:c r="G110" s="2" t="str">
        <x:f>IF(COUNTA(A110:F110)=0,"",COUNTIFS('External Data'!$L$2:$L$1001,SUBSTITUTE(SUBSTITUTE(SUBSTITUTE(L110,"~","~~"),"*","~*"),"?","~?")))</x:f>
      </x:c>
      <x:c r="H110" s="2" t="str">
        <x:f>IF(COUNTA(A110:F110)=0,"",COUNTIFS('App Data'!$L$2:$L$1001,SUBSTITUTE(SUBSTITUTE(SUBSTITUTE(L110,"~","~~"),"*","~*"),"?","~?")))</x:f>
      </x:c>
      <x:c r="I110" s="13" t="str">
        <x:f>IF(OR(H110&lt;&gt;1,G110&lt;&gt;1),"",SUMIFS('App Data'!$E$2:$E$1001,'App Data'!$L$2:$L$1001,SUBSTITUTE(SUBSTITUTE(SUBSTITUTE(L110,"~","~~"),"*","~*"),"?","~?")))</x:f>
      </x:c>
      <x:c r="J110" s="13" t="str">
        <x:f>IF(OR(NOT(ISNUMBER(E110)),NOT(ISNUMBER(I110))),"",ROUND(E110-I110,2))</x:f>
      </x:c>
      <x:c r="K110" s="2" t="str">
        <x:f>IF(COUNTA(A110:F110)=0,"",IF(OR(A110="",B110="",C110="",D110="",NOT(ISNUMBER(E110))),"Missing / invalid input",IF(G110&gt;1,"Duplicate key in this source",IF(H110=0,"Missing in other source",IF(H110&gt;1,"Duplicate in other source",IF(SUMIFS('App Data'!$M$2:$M$1001,'App Data'!$L$2:$L$1001,SUBSTITUTE(SUBSTITUTE(SUBSTITUTE(L110,"~","~~"),"*","~*"),"?","~?"))&lt;&gt;1,"Other amount is invalid",IF(J110&lt;&gt;0,"Amount differs","Matched")))))))</x:f>
      </x:c>
      <x:c r="L110" t="str">
        <x:f>IF(COUNTA(A110:F110)=0,"",LEN(A110)&amp;":"&amp;A110&amp;LEN(B110)&amp;":"&amp;B110&amp;LEN(C110)&amp;":"&amp;C110&amp;LEN(D110)&amp;":"&amp;D110)</x:f>
      </x:c>
      <x:c r="M110" t="str">
        <x:f>IF(COUNTA(A110:F110)=0,"",IF(ISNUMBER(E110),1,0))</x:f>
      </x:c>
    </x:row>
    <x:row r="111">
      <x:c r="A111" s="11"/>
      <x:c r="B111" s="11"/>
      <x:c r="C111" s="11"/>
      <x:c r="D111" s="11"/>
      <x:c r="E111" s="12"/>
      <x:c r="F111" s="10"/>
      <x:c r="G111" s="2" t="str">
        <x:f>IF(COUNTA(A111:F111)=0,"",COUNTIFS('External Data'!$L$2:$L$1001,SUBSTITUTE(SUBSTITUTE(SUBSTITUTE(L111,"~","~~"),"*","~*"),"?","~?")))</x:f>
      </x:c>
      <x:c r="H111" s="2" t="str">
        <x:f>IF(COUNTA(A111:F111)=0,"",COUNTIFS('App Data'!$L$2:$L$1001,SUBSTITUTE(SUBSTITUTE(SUBSTITUTE(L111,"~","~~"),"*","~*"),"?","~?")))</x:f>
      </x:c>
      <x:c r="I111" s="13" t="str">
        <x:f>IF(OR(H111&lt;&gt;1,G111&lt;&gt;1),"",SUMIFS('App Data'!$E$2:$E$1001,'App Data'!$L$2:$L$1001,SUBSTITUTE(SUBSTITUTE(SUBSTITUTE(L111,"~","~~"),"*","~*"),"?","~?")))</x:f>
      </x:c>
      <x:c r="J111" s="13" t="str">
        <x:f>IF(OR(NOT(ISNUMBER(E111)),NOT(ISNUMBER(I111))),"",ROUND(E111-I111,2))</x:f>
      </x:c>
      <x:c r="K111" s="2" t="str">
        <x:f>IF(COUNTA(A111:F111)=0,"",IF(OR(A111="",B111="",C111="",D111="",NOT(ISNUMBER(E111))),"Missing / invalid input",IF(G111&gt;1,"Duplicate key in this source",IF(H111=0,"Missing in other source",IF(H111&gt;1,"Duplicate in other source",IF(SUMIFS('App Data'!$M$2:$M$1001,'App Data'!$L$2:$L$1001,SUBSTITUTE(SUBSTITUTE(SUBSTITUTE(L111,"~","~~"),"*","~*"),"?","~?"))&lt;&gt;1,"Other amount is invalid",IF(J111&lt;&gt;0,"Amount differs","Matched")))))))</x:f>
      </x:c>
      <x:c r="L111" t="str">
        <x:f>IF(COUNTA(A111:F111)=0,"",LEN(A111)&amp;":"&amp;A111&amp;LEN(B111)&amp;":"&amp;B111&amp;LEN(C111)&amp;":"&amp;C111&amp;LEN(D111)&amp;":"&amp;D111)</x:f>
      </x:c>
      <x:c r="M111" t="str">
        <x:f>IF(COUNTA(A111:F111)=0,"",IF(ISNUMBER(E111),1,0))</x:f>
      </x:c>
    </x:row>
    <x:row r="112">
      <x:c r="A112" s="11"/>
      <x:c r="B112" s="11"/>
      <x:c r="C112" s="11"/>
      <x:c r="D112" s="11"/>
      <x:c r="E112" s="12"/>
      <x:c r="F112" s="10"/>
      <x:c r="G112" s="2" t="str">
        <x:f>IF(COUNTA(A112:F112)=0,"",COUNTIFS('External Data'!$L$2:$L$1001,SUBSTITUTE(SUBSTITUTE(SUBSTITUTE(L112,"~","~~"),"*","~*"),"?","~?")))</x:f>
      </x:c>
      <x:c r="H112" s="2" t="str">
        <x:f>IF(COUNTA(A112:F112)=0,"",COUNTIFS('App Data'!$L$2:$L$1001,SUBSTITUTE(SUBSTITUTE(SUBSTITUTE(L112,"~","~~"),"*","~*"),"?","~?")))</x:f>
      </x:c>
      <x:c r="I112" s="13" t="str">
        <x:f>IF(OR(H112&lt;&gt;1,G112&lt;&gt;1),"",SUMIFS('App Data'!$E$2:$E$1001,'App Data'!$L$2:$L$1001,SUBSTITUTE(SUBSTITUTE(SUBSTITUTE(L112,"~","~~"),"*","~*"),"?","~?")))</x:f>
      </x:c>
      <x:c r="J112" s="13" t="str">
        <x:f>IF(OR(NOT(ISNUMBER(E112)),NOT(ISNUMBER(I112))),"",ROUND(E112-I112,2))</x:f>
      </x:c>
      <x:c r="K112" s="2" t="str">
        <x:f>IF(COUNTA(A112:F112)=0,"",IF(OR(A112="",B112="",C112="",D112="",NOT(ISNUMBER(E112))),"Missing / invalid input",IF(G112&gt;1,"Duplicate key in this source",IF(H112=0,"Missing in other source",IF(H112&gt;1,"Duplicate in other source",IF(SUMIFS('App Data'!$M$2:$M$1001,'App Data'!$L$2:$L$1001,SUBSTITUTE(SUBSTITUTE(SUBSTITUTE(L112,"~","~~"),"*","~*"),"?","~?"))&lt;&gt;1,"Other amount is invalid",IF(J112&lt;&gt;0,"Amount differs","Matched")))))))</x:f>
      </x:c>
      <x:c r="L112" t="str">
        <x:f>IF(COUNTA(A112:F112)=0,"",LEN(A112)&amp;":"&amp;A112&amp;LEN(B112)&amp;":"&amp;B112&amp;LEN(C112)&amp;":"&amp;C112&amp;LEN(D112)&amp;":"&amp;D112)</x:f>
      </x:c>
      <x:c r="M112" t="str">
        <x:f>IF(COUNTA(A112:F112)=0,"",IF(ISNUMBER(E112),1,0))</x:f>
      </x:c>
    </x:row>
    <x:row r="113">
      <x:c r="A113" s="11"/>
      <x:c r="B113" s="11"/>
      <x:c r="C113" s="11"/>
      <x:c r="D113" s="11"/>
      <x:c r="E113" s="12"/>
      <x:c r="F113" s="10"/>
      <x:c r="G113" s="2" t="str">
        <x:f>IF(COUNTA(A113:F113)=0,"",COUNTIFS('External Data'!$L$2:$L$1001,SUBSTITUTE(SUBSTITUTE(SUBSTITUTE(L113,"~","~~"),"*","~*"),"?","~?")))</x:f>
      </x:c>
      <x:c r="H113" s="2" t="str">
        <x:f>IF(COUNTA(A113:F113)=0,"",COUNTIFS('App Data'!$L$2:$L$1001,SUBSTITUTE(SUBSTITUTE(SUBSTITUTE(L113,"~","~~"),"*","~*"),"?","~?")))</x:f>
      </x:c>
      <x:c r="I113" s="13" t="str">
        <x:f>IF(OR(H113&lt;&gt;1,G113&lt;&gt;1),"",SUMIFS('App Data'!$E$2:$E$1001,'App Data'!$L$2:$L$1001,SUBSTITUTE(SUBSTITUTE(SUBSTITUTE(L113,"~","~~"),"*","~*"),"?","~?")))</x:f>
      </x:c>
      <x:c r="J113" s="13" t="str">
        <x:f>IF(OR(NOT(ISNUMBER(E113)),NOT(ISNUMBER(I113))),"",ROUND(E113-I113,2))</x:f>
      </x:c>
      <x:c r="K113" s="2" t="str">
        <x:f>IF(COUNTA(A113:F113)=0,"",IF(OR(A113="",B113="",C113="",D113="",NOT(ISNUMBER(E113))),"Missing / invalid input",IF(G113&gt;1,"Duplicate key in this source",IF(H113=0,"Missing in other source",IF(H113&gt;1,"Duplicate in other source",IF(SUMIFS('App Data'!$M$2:$M$1001,'App Data'!$L$2:$L$1001,SUBSTITUTE(SUBSTITUTE(SUBSTITUTE(L113,"~","~~"),"*","~*"),"?","~?"))&lt;&gt;1,"Other amount is invalid",IF(J113&lt;&gt;0,"Amount differs","Matched")))))))</x:f>
      </x:c>
      <x:c r="L113" t="str">
        <x:f>IF(COUNTA(A113:F113)=0,"",LEN(A113)&amp;":"&amp;A113&amp;LEN(B113)&amp;":"&amp;B113&amp;LEN(C113)&amp;":"&amp;C113&amp;LEN(D113)&amp;":"&amp;D113)</x:f>
      </x:c>
      <x:c r="M113" t="str">
        <x:f>IF(COUNTA(A113:F113)=0,"",IF(ISNUMBER(E113),1,0))</x:f>
      </x:c>
    </x:row>
    <x:row r="114">
      <x:c r="A114" s="11"/>
      <x:c r="B114" s="11"/>
      <x:c r="C114" s="11"/>
      <x:c r="D114" s="11"/>
      <x:c r="E114" s="12"/>
      <x:c r="F114" s="10"/>
      <x:c r="G114" s="2" t="str">
        <x:f>IF(COUNTA(A114:F114)=0,"",COUNTIFS('External Data'!$L$2:$L$1001,SUBSTITUTE(SUBSTITUTE(SUBSTITUTE(L114,"~","~~"),"*","~*"),"?","~?")))</x:f>
      </x:c>
      <x:c r="H114" s="2" t="str">
        <x:f>IF(COUNTA(A114:F114)=0,"",COUNTIFS('App Data'!$L$2:$L$1001,SUBSTITUTE(SUBSTITUTE(SUBSTITUTE(L114,"~","~~"),"*","~*"),"?","~?")))</x:f>
      </x:c>
      <x:c r="I114" s="13" t="str">
        <x:f>IF(OR(H114&lt;&gt;1,G114&lt;&gt;1),"",SUMIFS('App Data'!$E$2:$E$1001,'App Data'!$L$2:$L$1001,SUBSTITUTE(SUBSTITUTE(SUBSTITUTE(L114,"~","~~"),"*","~*"),"?","~?")))</x:f>
      </x:c>
      <x:c r="J114" s="13" t="str">
        <x:f>IF(OR(NOT(ISNUMBER(E114)),NOT(ISNUMBER(I114))),"",ROUND(E114-I114,2))</x:f>
      </x:c>
      <x:c r="K114" s="2" t="str">
        <x:f>IF(COUNTA(A114:F114)=0,"",IF(OR(A114="",B114="",C114="",D114="",NOT(ISNUMBER(E114))),"Missing / invalid input",IF(G114&gt;1,"Duplicate key in this source",IF(H114=0,"Missing in other source",IF(H114&gt;1,"Duplicate in other source",IF(SUMIFS('App Data'!$M$2:$M$1001,'App Data'!$L$2:$L$1001,SUBSTITUTE(SUBSTITUTE(SUBSTITUTE(L114,"~","~~"),"*","~*"),"?","~?"))&lt;&gt;1,"Other amount is invalid",IF(J114&lt;&gt;0,"Amount differs","Matched")))))))</x:f>
      </x:c>
      <x:c r="L114" t="str">
        <x:f>IF(COUNTA(A114:F114)=0,"",LEN(A114)&amp;":"&amp;A114&amp;LEN(B114)&amp;":"&amp;B114&amp;LEN(C114)&amp;":"&amp;C114&amp;LEN(D114)&amp;":"&amp;D114)</x:f>
      </x:c>
      <x:c r="M114" t="str">
        <x:f>IF(COUNTA(A114:F114)=0,"",IF(ISNUMBER(E114),1,0))</x:f>
      </x:c>
    </x:row>
    <x:row r="115">
      <x:c r="A115" s="11"/>
      <x:c r="B115" s="11"/>
      <x:c r="C115" s="11"/>
      <x:c r="D115" s="11"/>
      <x:c r="E115" s="12"/>
      <x:c r="F115" s="10"/>
      <x:c r="G115" s="2" t="str">
        <x:f>IF(COUNTA(A115:F115)=0,"",COUNTIFS('External Data'!$L$2:$L$1001,SUBSTITUTE(SUBSTITUTE(SUBSTITUTE(L115,"~","~~"),"*","~*"),"?","~?")))</x:f>
      </x:c>
      <x:c r="H115" s="2" t="str">
        <x:f>IF(COUNTA(A115:F115)=0,"",COUNTIFS('App Data'!$L$2:$L$1001,SUBSTITUTE(SUBSTITUTE(SUBSTITUTE(L115,"~","~~"),"*","~*"),"?","~?")))</x:f>
      </x:c>
      <x:c r="I115" s="13" t="str">
        <x:f>IF(OR(H115&lt;&gt;1,G115&lt;&gt;1),"",SUMIFS('App Data'!$E$2:$E$1001,'App Data'!$L$2:$L$1001,SUBSTITUTE(SUBSTITUTE(SUBSTITUTE(L115,"~","~~"),"*","~*"),"?","~?")))</x:f>
      </x:c>
      <x:c r="J115" s="13" t="str">
        <x:f>IF(OR(NOT(ISNUMBER(E115)),NOT(ISNUMBER(I115))),"",ROUND(E115-I115,2))</x:f>
      </x:c>
      <x:c r="K115" s="2" t="str">
        <x:f>IF(COUNTA(A115:F115)=0,"",IF(OR(A115="",B115="",C115="",D115="",NOT(ISNUMBER(E115))),"Missing / invalid input",IF(G115&gt;1,"Duplicate key in this source",IF(H115=0,"Missing in other source",IF(H115&gt;1,"Duplicate in other source",IF(SUMIFS('App Data'!$M$2:$M$1001,'App Data'!$L$2:$L$1001,SUBSTITUTE(SUBSTITUTE(SUBSTITUTE(L115,"~","~~"),"*","~*"),"?","~?"))&lt;&gt;1,"Other amount is invalid",IF(J115&lt;&gt;0,"Amount differs","Matched")))))))</x:f>
      </x:c>
      <x:c r="L115" t="str">
        <x:f>IF(COUNTA(A115:F115)=0,"",LEN(A115)&amp;":"&amp;A115&amp;LEN(B115)&amp;":"&amp;B115&amp;LEN(C115)&amp;":"&amp;C115&amp;LEN(D115)&amp;":"&amp;D115)</x:f>
      </x:c>
      <x:c r="M115" t="str">
        <x:f>IF(COUNTA(A115:F115)=0,"",IF(ISNUMBER(E115),1,0))</x:f>
      </x:c>
    </x:row>
    <x:row r="116">
      <x:c r="A116" s="11"/>
      <x:c r="B116" s="11"/>
      <x:c r="C116" s="11"/>
      <x:c r="D116" s="11"/>
      <x:c r="E116" s="12"/>
      <x:c r="F116" s="10"/>
      <x:c r="G116" s="2" t="str">
        <x:f>IF(COUNTA(A116:F116)=0,"",COUNTIFS('External Data'!$L$2:$L$1001,SUBSTITUTE(SUBSTITUTE(SUBSTITUTE(L116,"~","~~"),"*","~*"),"?","~?")))</x:f>
      </x:c>
      <x:c r="H116" s="2" t="str">
        <x:f>IF(COUNTA(A116:F116)=0,"",COUNTIFS('App Data'!$L$2:$L$1001,SUBSTITUTE(SUBSTITUTE(SUBSTITUTE(L116,"~","~~"),"*","~*"),"?","~?")))</x:f>
      </x:c>
      <x:c r="I116" s="13" t="str">
        <x:f>IF(OR(H116&lt;&gt;1,G116&lt;&gt;1),"",SUMIFS('App Data'!$E$2:$E$1001,'App Data'!$L$2:$L$1001,SUBSTITUTE(SUBSTITUTE(SUBSTITUTE(L116,"~","~~"),"*","~*"),"?","~?")))</x:f>
      </x:c>
      <x:c r="J116" s="13" t="str">
        <x:f>IF(OR(NOT(ISNUMBER(E116)),NOT(ISNUMBER(I116))),"",ROUND(E116-I116,2))</x:f>
      </x:c>
      <x:c r="K116" s="2" t="str">
        <x:f>IF(COUNTA(A116:F116)=0,"",IF(OR(A116="",B116="",C116="",D116="",NOT(ISNUMBER(E116))),"Missing / invalid input",IF(G116&gt;1,"Duplicate key in this source",IF(H116=0,"Missing in other source",IF(H116&gt;1,"Duplicate in other source",IF(SUMIFS('App Data'!$M$2:$M$1001,'App Data'!$L$2:$L$1001,SUBSTITUTE(SUBSTITUTE(SUBSTITUTE(L116,"~","~~"),"*","~*"),"?","~?"))&lt;&gt;1,"Other amount is invalid",IF(J116&lt;&gt;0,"Amount differs","Matched")))))))</x:f>
      </x:c>
      <x:c r="L116" t="str">
        <x:f>IF(COUNTA(A116:F116)=0,"",LEN(A116)&amp;":"&amp;A116&amp;LEN(B116)&amp;":"&amp;B116&amp;LEN(C116)&amp;":"&amp;C116&amp;LEN(D116)&amp;":"&amp;D116)</x:f>
      </x:c>
      <x:c r="M116" t="str">
        <x:f>IF(COUNTA(A116:F116)=0,"",IF(ISNUMBER(E116),1,0))</x:f>
      </x:c>
    </x:row>
    <x:row r="117">
      <x:c r="A117" s="11"/>
      <x:c r="B117" s="11"/>
      <x:c r="C117" s="11"/>
      <x:c r="D117" s="11"/>
      <x:c r="E117" s="12"/>
      <x:c r="F117" s="10"/>
      <x:c r="G117" s="2" t="str">
        <x:f>IF(COUNTA(A117:F117)=0,"",COUNTIFS('External Data'!$L$2:$L$1001,SUBSTITUTE(SUBSTITUTE(SUBSTITUTE(L117,"~","~~"),"*","~*"),"?","~?")))</x:f>
      </x:c>
      <x:c r="H117" s="2" t="str">
        <x:f>IF(COUNTA(A117:F117)=0,"",COUNTIFS('App Data'!$L$2:$L$1001,SUBSTITUTE(SUBSTITUTE(SUBSTITUTE(L117,"~","~~"),"*","~*"),"?","~?")))</x:f>
      </x:c>
      <x:c r="I117" s="13" t="str">
        <x:f>IF(OR(H117&lt;&gt;1,G117&lt;&gt;1),"",SUMIFS('App Data'!$E$2:$E$1001,'App Data'!$L$2:$L$1001,SUBSTITUTE(SUBSTITUTE(SUBSTITUTE(L117,"~","~~"),"*","~*"),"?","~?")))</x:f>
      </x:c>
      <x:c r="J117" s="13" t="str">
        <x:f>IF(OR(NOT(ISNUMBER(E117)),NOT(ISNUMBER(I117))),"",ROUND(E117-I117,2))</x:f>
      </x:c>
      <x:c r="K117" s="2" t="str">
        <x:f>IF(COUNTA(A117:F117)=0,"",IF(OR(A117="",B117="",C117="",D117="",NOT(ISNUMBER(E117))),"Missing / invalid input",IF(G117&gt;1,"Duplicate key in this source",IF(H117=0,"Missing in other source",IF(H117&gt;1,"Duplicate in other source",IF(SUMIFS('App Data'!$M$2:$M$1001,'App Data'!$L$2:$L$1001,SUBSTITUTE(SUBSTITUTE(SUBSTITUTE(L117,"~","~~"),"*","~*"),"?","~?"))&lt;&gt;1,"Other amount is invalid",IF(J117&lt;&gt;0,"Amount differs","Matched")))))))</x:f>
      </x:c>
      <x:c r="L117" t="str">
        <x:f>IF(COUNTA(A117:F117)=0,"",LEN(A117)&amp;":"&amp;A117&amp;LEN(B117)&amp;":"&amp;B117&amp;LEN(C117)&amp;":"&amp;C117&amp;LEN(D117)&amp;":"&amp;D117)</x:f>
      </x:c>
      <x:c r="M117" t="str">
        <x:f>IF(COUNTA(A117:F117)=0,"",IF(ISNUMBER(E117),1,0))</x:f>
      </x:c>
    </x:row>
    <x:row r="118">
      <x:c r="A118" s="11"/>
      <x:c r="B118" s="11"/>
      <x:c r="C118" s="11"/>
      <x:c r="D118" s="11"/>
      <x:c r="E118" s="12"/>
      <x:c r="F118" s="10"/>
      <x:c r="G118" s="2" t="str">
        <x:f>IF(COUNTA(A118:F118)=0,"",COUNTIFS('External Data'!$L$2:$L$1001,SUBSTITUTE(SUBSTITUTE(SUBSTITUTE(L118,"~","~~"),"*","~*"),"?","~?")))</x:f>
      </x:c>
      <x:c r="H118" s="2" t="str">
        <x:f>IF(COUNTA(A118:F118)=0,"",COUNTIFS('App Data'!$L$2:$L$1001,SUBSTITUTE(SUBSTITUTE(SUBSTITUTE(L118,"~","~~"),"*","~*"),"?","~?")))</x:f>
      </x:c>
      <x:c r="I118" s="13" t="str">
        <x:f>IF(OR(H118&lt;&gt;1,G118&lt;&gt;1),"",SUMIFS('App Data'!$E$2:$E$1001,'App Data'!$L$2:$L$1001,SUBSTITUTE(SUBSTITUTE(SUBSTITUTE(L118,"~","~~"),"*","~*"),"?","~?")))</x:f>
      </x:c>
      <x:c r="J118" s="13" t="str">
        <x:f>IF(OR(NOT(ISNUMBER(E118)),NOT(ISNUMBER(I118))),"",ROUND(E118-I118,2))</x:f>
      </x:c>
      <x:c r="K118" s="2" t="str">
        <x:f>IF(COUNTA(A118:F118)=0,"",IF(OR(A118="",B118="",C118="",D118="",NOT(ISNUMBER(E118))),"Missing / invalid input",IF(G118&gt;1,"Duplicate key in this source",IF(H118=0,"Missing in other source",IF(H118&gt;1,"Duplicate in other source",IF(SUMIFS('App Data'!$M$2:$M$1001,'App Data'!$L$2:$L$1001,SUBSTITUTE(SUBSTITUTE(SUBSTITUTE(L118,"~","~~"),"*","~*"),"?","~?"))&lt;&gt;1,"Other amount is invalid",IF(J118&lt;&gt;0,"Amount differs","Matched")))))))</x:f>
      </x:c>
      <x:c r="L118" t="str">
        <x:f>IF(COUNTA(A118:F118)=0,"",LEN(A118)&amp;":"&amp;A118&amp;LEN(B118)&amp;":"&amp;B118&amp;LEN(C118)&amp;":"&amp;C118&amp;LEN(D118)&amp;":"&amp;D118)</x:f>
      </x:c>
      <x:c r="M118" t="str">
        <x:f>IF(COUNTA(A118:F118)=0,"",IF(ISNUMBER(E118),1,0))</x:f>
      </x:c>
    </x:row>
    <x:row r="119">
      <x:c r="A119" s="11"/>
      <x:c r="B119" s="11"/>
      <x:c r="C119" s="11"/>
      <x:c r="D119" s="11"/>
      <x:c r="E119" s="12"/>
      <x:c r="F119" s="10"/>
      <x:c r="G119" s="2" t="str">
        <x:f>IF(COUNTA(A119:F119)=0,"",COUNTIFS('External Data'!$L$2:$L$1001,SUBSTITUTE(SUBSTITUTE(SUBSTITUTE(L119,"~","~~"),"*","~*"),"?","~?")))</x:f>
      </x:c>
      <x:c r="H119" s="2" t="str">
        <x:f>IF(COUNTA(A119:F119)=0,"",COUNTIFS('App Data'!$L$2:$L$1001,SUBSTITUTE(SUBSTITUTE(SUBSTITUTE(L119,"~","~~"),"*","~*"),"?","~?")))</x:f>
      </x:c>
      <x:c r="I119" s="13" t="str">
        <x:f>IF(OR(H119&lt;&gt;1,G119&lt;&gt;1),"",SUMIFS('App Data'!$E$2:$E$1001,'App Data'!$L$2:$L$1001,SUBSTITUTE(SUBSTITUTE(SUBSTITUTE(L119,"~","~~"),"*","~*"),"?","~?")))</x:f>
      </x:c>
      <x:c r="J119" s="13" t="str">
        <x:f>IF(OR(NOT(ISNUMBER(E119)),NOT(ISNUMBER(I119))),"",ROUND(E119-I119,2))</x:f>
      </x:c>
      <x:c r="K119" s="2" t="str">
        <x:f>IF(COUNTA(A119:F119)=0,"",IF(OR(A119="",B119="",C119="",D119="",NOT(ISNUMBER(E119))),"Missing / invalid input",IF(G119&gt;1,"Duplicate key in this source",IF(H119=0,"Missing in other source",IF(H119&gt;1,"Duplicate in other source",IF(SUMIFS('App Data'!$M$2:$M$1001,'App Data'!$L$2:$L$1001,SUBSTITUTE(SUBSTITUTE(SUBSTITUTE(L119,"~","~~"),"*","~*"),"?","~?"))&lt;&gt;1,"Other amount is invalid",IF(J119&lt;&gt;0,"Amount differs","Matched")))))))</x:f>
      </x:c>
      <x:c r="L119" t="str">
        <x:f>IF(COUNTA(A119:F119)=0,"",LEN(A119)&amp;":"&amp;A119&amp;LEN(B119)&amp;":"&amp;B119&amp;LEN(C119)&amp;":"&amp;C119&amp;LEN(D119)&amp;":"&amp;D119)</x:f>
      </x:c>
      <x:c r="M119" t="str">
        <x:f>IF(COUNTA(A119:F119)=0,"",IF(ISNUMBER(E119),1,0))</x:f>
      </x:c>
    </x:row>
    <x:row r="120">
      <x:c r="A120" s="11"/>
      <x:c r="B120" s="11"/>
      <x:c r="C120" s="11"/>
      <x:c r="D120" s="11"/>
      <x:c r="E120" s="12"/>
      <x:c r="F120" s="10"/>
      <x:c r="G120" s="2" t="str">
        <x:f>IF(COUNTA(A120:F120)=0,"",COUNTIFS('External Data'!$L$2:$L$1001,SUBSTITUTE(SUBSTITUTE(SUBSTITUTE(L120,"~","~~"),"*","~*"),"?","~?")))</x:f>
      </x:c>
      <x:c r="H120" s="2" t="str">
        <x:f>IF(COUNTA(A120:F120)=0,"",COUNTIFS('App Data'!$L$2:$L$1001,SUBSTITUTE(SUBSTITUTE(SUBSTITUTE(L120,"~","~~"),"*","~*"),"?","~?")))</x:f>
      </x:c>
      <x:c r="I120" s="13" t="str">
        <x:f>IF(OR(H120&lt;&gt;1,G120&lt;&gt;1),"",SUMIFS('App Data'!$E$2:$E$1001,'App Data'!$L$2:$L$1001,SUBSTITUTE(SUBSTITUTE(SUBSTITUTE(L120,"~","~~"),"*","~*"),"?","~?")))</x:f>
      </x:c>
      <x:c r="J120" s="13" t="str">
        <x:f>IF(OR(NOT(ISNUMBER(E120)),NOT(ISNUMBER(I120))),"",ROUND(E120-I120,2))</x:f>
      </x:c>
      <x:c r="K120" s="2" t="str">
        <x:f>IF(COUNTA(A120:F120)=0,"",IF(OR(A120="",B120="",C120="",D120="",NOT(ISNUMBER(E120))),"Missing / invalid input",IF(G120&gt;1,"Duplicate key in this source",IF(H120=0,"Missing in other source",IF(H120&gt;1,"Duplicate in other source",IF(SUMIFS('App Data'!$M$2:$M$1001,'App Data'!$L$2:$L$1001,SUBSTITUTE(SUBSTITUTE(SUBSTITUTE(L120,"~","~~"),"*","~*"),"?","~?"))&lt;&gt;1,"Other amount is invalid",IF(J120&lt;&gt;0,"Amount differs","Matched")))))))</x:f>
      </x:c>
      <x:c r="L120" t="str">
        <x:f>IF(COUNTA(A120:F120)=0,"",LEN(A120)&amp;":"&amp;A120&amp;LEN(B120)&amp;":"&amp;B120&amp;LEN(C120)&amp;":"&amp;C120&amp;LEN(D120)&amp;":"&amp;D120)</x:f>
      </x:c>
      <x:c r="M120" t="str">
        <x:f>IF(COUNTA(A120:F120)=0,"",IF(ISNUMBER(E120),1,0))</x:f>
      </x:c>
    </x:row>
    <x:row r="121">
      <x:c r="A121" s="11"/>
      <x:c r="B121" s="11"/>
      <x:c r="C121" s="11"/>
      <x:c r="D121" s="11"/>
      <x:c r="E121" s="12"/>
      <x:c r="F121" s="10"/>
      <x:c r="G121" s="2" t="str">
        <x:f>IF(COUNTA(A121:F121)=0,"",COUNTIFS('External Data'!$L$2:$L$1001,SUBSTITUTE(SUBSTITUTE(SUBSTITUTE(L121,"~","~~"),"*","~*"),"?","~?")))</x:f>
      </x:c>
      <x:c r="H121" s="2" t="str">
        <x:f>IF(COUNTA(A121:F121)=0,"",COUNTIFS('App Data'!$L$2:$L$1001,SUBSTITUTE(SUBSTITUTE(SUBSTITUTE(L121,"~","~~"),"*","~*"),"?","~?")))</x:f>
      </x:c>
      <x:c r="I121" s="13" t="str">
        <x:f>IF(OR(H121&lt;&gt;1,G121&lt;&gt;1),"",SUMIFS('App Data'!$E$2:$E$1001,'App Data'!$L$2:$L$1001,SUBSTITUTE(SUBSTITUTE(SUBSTITUTE(L121,"~","~~"),"*","~*"),"?","~?")))</x:f>
      </x:c>
      <x:c r="J121" s="13" t="str">
        <x:f>IF(OR(NOT(ISNUMBER(E121)),NOT(ISNUMBER(I121))),"",ROUND(E121-I121,2))</x:f>
      </x:c>
      <x:c r="K121" s="2" t="str">
        <x:f>IF(COUNTA(A121:F121)=0,"",IF(OR(A121="",B121="",C121="",D121="",NOT(ISNUMBER(E121))),"Missing / invalid input",IF(G121&gt;1,"Duplicate key in this source",IF(H121=0,"Missing in other source",IF(H121&gt;1,"Duplicate in other source",IF(SUMIFS('App Data'!$M$2:$M$1001,'App Data'!$L$2:$L$1001,SUBSTITUTE(SUBSTITUTE(SUBSTITUTE(L121,"~","~~"),"*","~*"),"?","~?"))&lt;&gt;1,"Other amount is invalid",IF(J121&lt;&gt;0,"Amount differs","Matched")))))))</x:f>
      </x:c>
      <x:c r="L121" t="str">
        <x:f>IF(COUNTA(A121:F121)=0,"",LEN(A121)&amp;":"&amp;A121&amp;LEN(B121)&amp;":"&amp;B121&amp;LEN(C121)&amp;":"&amp;C121&amp;LEN(D121)&amp;":"&amp;D121)</x:f>
      </x:c>
      <x:c r="M121" t="str">
        <x:f>IF(COUNTA(A121:F121)=0,"",IF(ISNUMBER(E121),1,0))</x:f>
      </x:c>
    </x:row>
    <x:row r="122">
      <x:c r="A122" s="11"/>
      <x:c r="B122" s="11"/>
      <x:c r="C122" s="11"/>
      <x:c r="D122" s="11"/>
      <x:c r="E122" s="12"/>
      <x:c r="F122" s="10"/>
      <x:c r="G122" s="2" t="str">
        <x:f>IF(COUNTA(A122:F122)=0,"",COUNTIFS('External Data'!$L$2:$L$1001,SUBSTITUTE(SUBSTITUTE(SUBSTITUTE(L122,"~","~~"),"*","~*"),"?","~?")))</x:f>
      </x:c>
      <x:c r="H122" s="2" t="str">
        <x:f>IF(COUNTA(A122:F122)=0,"",COUNTIFS('App Data'!$L$2:$L$1001,SUBSTITUTE(SUBSTITUTE(SUBSTITUTE(L122,"~","~~"),"*","~*"),"?","~?")))</x:f>
      </x:c>
      <x:c r="I122" s="13" t="str">
        <x:f>IF(OR(H122&lt;&gt;1,G122&lt;&gt;1),"",SUMIFS('App Data'!$E$2:$E$1001,'App Data'!$L$2:$L$1001,SUBSTITUTE(SUBSTITUTE(SUBSTITUTE(L122,"~","~~"),"*","~*"),"?","~?")))</x:f>
      </x:c>
      <x:c r="J122" s="13" t="str">
        <x:f>IF(OR(NOT(ISNUMBER(E122)),NOT(ISNUMBER(I122))),"",ROUND(E122-I122,2))</x:f>
      </x:c>
      <x:c r="K122" s="2" t="str">
        <x:f>IF(COUNTA(A122:F122)=0,"",IF(OR(A122="",B122="",C122="",D122="",NOT(ISNUMBER(E122))),"Missing / invalid input",IF(G122&gt;1,"Duplicate key in this source",IF(H122=0,"Missing in other source",IF(H122&gt;1,"Duplicate in other source",IF(SUMIFS('App Data'!$M$2:$M$1001,'App Data'!$L$2:$L$1001,SUBSTITUTE(SUBSTITUTE(SUBSTITUTE(L122,"~","~~"),"*","~*"),"?","~?"))&lt;&gt;1,"Other amount is invalid",IF(J122&lt;&gt;0,"Amount differs","Matched")))))))</x:f>
      </x:c>
      <x:c r="L122" t="str">
        <x:f>IF(COUNTA(A122:F122)=0,"",LEN(A122)&amp;":"&amp;A122&amp;LEN(B122)&amp;":"&amp;B122&amp;LEN(C122)&amp;":"&amp;C122&amp;LEN(D122)&amp;":"&amp;D122)</x:f>
      </x:c>
      <x:c r="M122" t="str">
        <x:f>IF(COUNTA(A122:F122)=0,"",IF(ISNUMBER(E122),1,0))</x:f>
      </x:c>
    </x:row>
    <x:row r="123">
      <x:c r="A123" s="11"/>
      <x:c r="B123" s="11"/>
      <x:c r="C123" s="11"/>
      <x:c r="D123" s="11"/>
      <x:c r="E123" s="12"/>
      <x:c r="F123" s="10"/>
      <x:c r="G123" s="2" t="str">
        <x:f>IF(COUNTA(A123:F123)=0,"",COUNTIFS('External Data'!$L$2:$L$1001,SUBSTITUTE(SUBSTITUTE(SUBSTITUTE(L123,"~","~~"),"*","~*"),"?","~?")))</x:f>
      </x:c>
      <x:c r="H123" s="2" t="str">
        <x:f>IF(COUNTA(A123:F123)=0,"",COUNTIFS('App Data'!$L$2:$L$1001,SUBSTITUTE(SUBSTITUTE(SUBSTITUTE(L123,"~","~~"),"*","~*"),"?","~?")))</x:f>
      </x:c>
      <x:c r="I123" s="13" t="str">
        <x:f>IF(OR(H123&lt;&gt;1,G123&lt;&gt;1),"",SUMIFS('App Data'!$E$2:$E$1001,'App Data'!$L$2:$L$1001,SUBSTITUTE(SUBSTITUTE(SUBSTITUTE(L123,"~","~~"),"*","~*"),"?","~?")))</x:f>
      </x:c>
      <x:c r="J123" s="13" t="str">
        <x:f>IF(OR(NOT(ISNUMBER(E123)),NOT(ISNUMBER(I123))),"",ROUND(E123-I123,2))</x:f>
      </x:c>
      <x:c r="K123" s="2" t="str">
        <x:f>IF(COUNTA(A123:F123)=0,"",IF(OR(A123="",B123="",C123="",D123="",NOT(ISNUMBER(E123))),"Missing / invalid input",IF(G123&gt;1,"Duplicate key in this source",IF(H123=0,"Missing in other source",IF(H123&gt;1,"Duplicate in other source",IF(SUMIFS('App Data'!$M$2:$M$1001,'App Data'!$L$2:$L$1001,SUBSTITUTE(SUBSTITUTE(SUBSTITUTE(L123,"~","~~"),"*","~*"),"?","~?"))&lt;&gt;1,"Other amount is invalid",IF(J123&lt;&gt;0,"Amount differs","Matched")))))))</x:f>
      </x:c>
      <x:c r="L123" t="str">
        <x:f>IF(COUNTA(A123:F123)=0,"",LEN(A123)&amp;":"&amp;A123&amp;LEN(B123)&amp;":"&amp;B123&amp;LEN(C123)&amp;":"&amp;C123&amp;LEN(D123)&amp;":"&amp;D123)</x:f>
      </x:c>
      <x:c r="M123" t="str">
        <x:f>IF(COUNTA(A123:F123)=0,"",IF(ISNUMBER(E123),1,0))</x:f>
      </x:c>
    </x:row>
    <x:row r="124">
      <x:c r="A124" s="11"/>
      <x:c r="B124" s="11"/>
      <x:c r="C124" s="11"/>
      <x:c r="D124" s="11"/>
      <x:c r="E124" s="12"/>
      <x:c r="F124" s="10"/>
      <x:c r="G124" s="2" t="str">
        <x:f>IF(COUNTA(A124:F124)=0,"",COUNTIFS('External Data'!$L$2:$L$1001,SUBSTITUTE(SUBSTITUTE(SUBSTITUTE(L124,"~","~~"),"*","~*"),"?","~?")))</x:f>
      </x:c>
      <x:c r="H124" s="2" t="str">
        <x:f>IF(COUNTA(A124:F124)=0,"",COUNTIFS('App Data'!$L$2:$L$1001,SUBSTITUTE(SUBSTITUTE(SUBSTITUTE(L124,"~","~~"),"*","~*"),"?","~?")))</x:f>
      </x:c>
      <x:c r="I124" s="13" t="str">
        <x:f>IF(OR(H124&lt;&gt;1,G124&lt;&gt;1),"",SUMIFS('App Data'!$E$2:$E$1001,'App Data'!$L$2:$L$1001,SUBSTITUTE(SUBSTITUTE(SUBSTITUTE(L124,"~","~~"),"*","~*"),"?","~?")))</x:f>
      </x:c>
      <x:c r="J124" s="13" t="str">
        <x:f>IF(OR(NOT(ISNUMBER(E124)),NOT(ISNUMBER(I124))),"",ROUND(E124-I124,2))</x:f>
      </x:c>
      <x:c r="K124" s="2" t="str">
        <x:f>IF(COUNTA(A124:F124)=0,"",IF(OR(A124="",B124="",C124="",D124="",NOT(ISNUMBER(E124))),"Missing / invalid input",IF(G124&gt;1,"Duplicate key in this source",IF(H124=0,"Missing in other source",IF(H124&gt;1,"Duplicate in other source",IF(SUMIFS('App Data'!$M$2:$M$1001,'App Data'!$L$2:$L$1001,SUBSTITUTE(SUBSTITUTE(SUBSTITUTE(L124,"~","~~"),"*","~*"),"?","~?"))&lt;&gt;1,"Other amount is invalid",IF(J124&lt;&gt;0,"Amount differs","Matched")))))))</x:f>
      </x:c>
      <x:c r="L124" t="str">
        <x:f>IF(COUNTA(A124:F124)=0,"",LEN(A124)&amp;":"&amp;A124&amp;LEN(B124)&amp;":"&amp;B124&amp;LEN(C124)&amp;":"&amp;C124&amp;LEN(D124)&amp;":"&amp;D124)</x:f>
      </x:c>
      <x:c r="M124" t="str">
        <x:f>IF(COUNTA(A124:F124)=0,"",IF(ISNUMBER(E124),1,0))</x:f>
      </x:c>
    </x:row>
    <x:row r="125">
      <x:c r="A125" s="11"/>
      <x:c r="B125" s="11"/>
      <x:c r="C125" s="11"/>
      <x:c r="D125" s="11"/>
      <x:c r="E125" s="12"/>
      <x:c r="F125" s="10"/>
      <x:c r="G125" s="2" t="str">
        <x:f>IF(COUNTA(A125:F125)=0,"",COUNTIFS('External Data'!$L$2:$L$1001,SUBSTITUTE(SUBSTITUTE(SUBSTITUTE(L125,"~","~~"),"*","~*"),"?","~?")))</x:f>
      </x:c>
      <x:c r="H125" s="2" t="str">
        <x:f>IF(COUNTA(A125:F125)=0,"",COUNTIFS('App Data'!$L$2:$L$1001,SUBSTITUTE(SUBSTITUTE(SUBSTITUTE(L125,"~","~~"),"*","~*"),"?","~?")))</x:f>
      </x:c>
      <x:c r="I125" s="13" t="str">
        <x:f>IF(OR(H125&lt;&gt;1,G125&lt;&gt;1),"",SUMIFS('App Data'!$E$2:$E$1001,'App Data'!$L$2:$L$1001,SUBSTITUTE(SUBSTITUTE(SUBSTITUTE(L125,"~","~~"),"*","~*"),"?","~?")))</x:f>
      </x:c>
      <x:c r="J125" s="13" t="str">
        <x:f>IF(OR(NOT(ISNUMBER(E125)),NOT(ISNUMBER(I125))),"",ROUND(E125-I125,2))</x:f>
      </x:c>
      <x:c r="K125" s="2" t="str">
        <x:f>IF(COUNTA(A125:F125)=0,"",IF(OR(A125="",B125="",C125="",D125="",NOT(ISNUMBER(E125))),"Missing / invalid input",IF(G125&gt;1,"Duplicate key in this source",IF(H125=0,"Missing in other source",IF(H125&gt;1,"Duplicate in other source",IF(SUMIFS('App Data'!$M$2:$M$1001,'App Data'!$L$2:$L$1001,SUBSTITUTE(SUBSTITUTE(SUBSTITUTE(L125,"~","~~"),"*","~*"),"?","~?"))&lt;&gt;1,"Other amount is invalid",IF(J125&lt;&gt;0,"Amount differs","Matched")))))))</x:f>
      </x:c>
      <x:c r="L125" t="str">
        <x:f>IF(COUNTA(A125:F125)=0,"",LEN(A125)&amp;":"&amp;A125&amp;LEN(B125)&amp;":"&amp;B125&amp;LEN(C125)&amp;":"&amp;C125&amp;LEN(D125)&amp;":"&amp;D125)</x:f>
      </x:c>
      <x:c r="M125" t="str">
        <x:f>IF(COUNTA(A125:F125)=0,"",IF(ISNUMBER(E125),1,0))</x:f>
      </x:c>
    </x:row>
    <x:row r="126">
      <x:c r="A126" s="11"/>
      <x:c r="B126" s="11"/>
      <x:c r="C126" s="11"/>
      <x:c r="D126" s="11"/>
      <x:c r="E126" s="12"/>
      <x:c r="F126" s="10"/>
      <x:c r="G126" s="2" t="str">
        <x:f>IF(COUNTA(A126:F126)=0,"",COUNTIFS('External Data'!$L$2:$L$1001,SUBSTITUTE(SUBSTITUTE(SUBSTITUTE(L126,"~","~~"),"*","~*"),"?","~?")))</x:f>
      </x:c>
      <x:c r="H126" s="2" t="str">
        <x:f>IF(COUNTA(A126:F126)=0,"",COUNTIFS('App Data'!$L$2:$L$1001,SUBSTITUTE(SUBSTITUTE(SUBSTITUTE(L126,"~","~~"),"*","~*"),"?","~?")))</x:f>
      </x:c>
      <x:c r="I126" s="13" t="str">
        <x:f>IF(OR(H126&lt;&gt;1,G126&lt;&gt;1),"",SUMIFS('App Data'!$E$2:$E$1001,'App Data'!$L$2:$L$1001,SUBSTITUTE(SUBSTITUTE(SUBSTITUTE(L126,"~","~~"),"*","~*"),"?","~?")))</x:f>
      </x:c>
      <x:c r="J126" s="13" t="str">
        <x:f>IF(OR(NOT(ISNUMBER(E126)),NOT(ISNUMBER(I126))),"",ROUND(E126-I126,2))</x:f>
      </x:c>
      <x:c r="K126" s="2" t="str">
        <x:f>IF(COUNTA(A126:F126)=0,"",IF(OR(A126="",B126="",C126="",D126="",NOT(ISNUMBER(E126))),"Missing / invalid input",IF(G126&gt;1,"Duplicate key in this source",IF(H126=0,"Missing in other source",IF(H126&gt;1,"Duplicate in other source",IF(SUMIFS('App Data'!$M$2:$M$1001,'App Data'!$L$2:$L$1001,SUBSTITUTE(SUBSTITUTE(SUBSTITUTE(L126,"~","~~"),"*","~*"),"?","~?"))&lt;&gt;1,"Other amount is invalid",IF(J126&lt;&gt;0,"Amount differs","Matched")))))))</x:f>
      </x:c>
      <x:c r="L126" t="str">
        <x:f>IF(COUNTA(A126:F126)=0,"",LEN(A126)&amp;":"&amp;A126&amp;LEN(B126)&amp;":"&amp;B126&amp;LEN(C126)&amp;":"&amp;C126&amp;LEN(D126)&amp;":"&amp;D126)</x:f>
      </x:c>
      <x:c r="M126" t="str">
        <x:f>IF(COUNTA(A126:F126)=0,"",IF(ISNUMBER(E126),1,0))</x:f>
      </x:c>
    </x:row>
    <x:row r="127">
      <x:c r="A127" s="11"/>
      <x:c r="B127" s="11"/>
      <x:c r="C127" s="11"/>
      <x:c r="D127" s="11"/>
      <x:c r="E127" s="12"/>
      <x:c r="F127" s="10"/>
      <x:c r="G127" s="2" t="str">
        <x:f>IF(COUNTA(A127:F127)=0,"",COUNTIFS('External Data'!$L$2:$L$1001,SUBSTITUTE(SUBSTITUTE(SUBSTITUTE(L127,"~","~~"),"*","~*"),"?","~?")))</x:f>
      </x:c>
      <x:c r="H127" s="2" t="str">
        <x:f>IF(COUNTA(A127:F127)=0,"",COUNTIFS('App Data'!$L$2:$L$1001,SUBSTITUTE(SUBSTITUTE(SUBSTITUTE(L127,"~","~~"),"*","~*"),"?","~?")))</x:f>
      </x:c>
      <x:c r="I127" s="13" t="str">
        <x:f>IF(OR(H127&lt;&gt;1,G127&lt;&gt;1),"",SUMIFS('App Data'!$E$2:$E$1001,'App Data'!$L$2:$L$1001,SUBSTITUTE(SUBSTITUTE(SUBSTITUTE(L127,"~","~~"),"*","~*"),"?","~?")))</x:f>
      </x:c>
      <x:c r="J127" s="13" t="str">
        <x:f>IF(OR(NOT(ISNUMBER(E127)),NOT(ISNUMBER(I127))),"",ROUND(E127-I127,2))</x:f>
      </x:c>
      <x:c r="K127" s="2" t="str">
        <x:f>IF(COUNTA(A127:F127)=0,"",IF(OR(A127="",B127="",C127="",D127="",NOT(ISNUMBER(E127))),"Missing / invalid input",IF(G127&gt;1,"Duplicate key in this source",IF(H127=0,"Missing in other source",IF(H127&gt;1,"Duplicate in other source",IF(SUMIFS('App Data'!$M$2:$M$1001,'App Data'!$L$2:$L$1001,SUBSTITUTE(SUBSTITUTE(SUBSTITUTE(L127,"~","~~"),"*","~*"),"?","~?"))&lt;&gt;1,"Other amount is invalid",IF(J127&lt;&gt;0,"Amount differs","Matched")))))))</x:f>
      </x:c>
      <x:c r="L127" t="str">
        <x:f>IF(COUNTA(A127:F127)=0,"",LEN(A127)&amp;":"&amp;A127&amp;LEN(B127)&amp;":"&amp;B127&amp;LEN(C127)&amp;":"&amp;C127&amp;LEN(D127)&amp;":"&amp;D127)</x:f>
      </x:c>
      <x:c r="M127" t="str">
        <x:f>IF(COUNTA(A127:F127)=0,"",IF(ISNUMBER(E127),1,0))</x:f>
      </x:c>
    </x:row>
    <x:row r="128">
      <x:c r="A128" s="11"/>
      <x:c r="B128" s="11"/>
      <x:c r="C128" s="11"/>
      <x:c r="D128" s="11"/>
      <x:c r="E128" s="12"/>
      <x:c r="F128" s="10"/>
      <x:c r="G128" s="2" t="str">
        <x:f>IF(COUNTA(A128:F128)=0,"",COUNTIFS('External Data'!$L$2:$L$1001,SUBSTITUTE(SUBSTITUTE(SUBSTITUTE(L128,"~","~~"),"*","~*"),"?","~?")))</x:f>
      </x:c>
      <x:c r="H128" s="2" t="str">
        <x:f>IF(COUNTA(A128:F128)=0,"",COUNTIFS('App Data'!$L$2:$L$1001,SUBSTITUTE(SUBSTITUTE(SUBSTITUTE(L128,"~","~~"),"*","~*"),"?","~?")))</x:f>
      </x:c>
      <x:c r="I128" s="13" t="str">
        <x:f>IF(OR(H128&lt;&gt;1,G128&lt;&gt;1),"",SUMIFS('App Data'!$E$2:$E$1001,'App Data'!$L$2:$L$1001,SUBSTITUTE(SUBSTITUTE(SUBSTITUTE(L128,"~","~~"),"*","~*"),"?","~?")))</x:f>
      </x:c>
      <x:c r="J128" s="13" t="str">
        <x:f>IF(OR(NOT(ISNUMBER(E128)),NOT(ISNUMBER(I128))),"",ROUND(E128-I128,2))</x:f>
      </x:c>
      <x:c r="K128" s="2" t="str">
        <x:f>IF(COUNTA(A128:F128)=0,"",IF(OR(A128="",B128="",C128="",D128="",NOT(ISNUMBER(E128))),"Missing / invalid input",IF(G128&gt;1,"Duplicate key in this source",IF(H128=0,"Missing in other source",IF(H128&gt;1,"Duplicate in other source",IF(SUMIFS('App Data'!$M$2:$M$1001,'App Data'!$L$2:$L$1001,SUBSTITUTE(SUBSTITUTE(SUBSTITUTE(L128,"~","~~"),"*","~*"),"?","~?"))&lt;&gt;1,"Other amount is invalid",IF(J128&lt;&gt;0,"Amount differs","Matched")))))))</x:f>
      </x:c>
      <x:c r="L128" t="str">
        <x:f>IF(COUNTA(A128:F128)=0,"",LEN(A128)&amp;":"&amp;A128&amp;LEN(B128)&amp;":"&amp;B128&amp;LEN(C128)&amp;":"&amp;C128&amp;LEN(D128)&amp;":"&amp;D128)</x:f>
      </x:c>
      <x:c r="M128" t="str">
        <x:f>IF(COUNTA(A128:F128)=0,"",IF(ISNUMBER(E128),1,0))</x:f>
      </x:c>
    </x:row>
    <x:row r="129">
      <x:c r="A129" s="11"/>
      <x:c r="B129" s="11"/>
      <x:c r="C129" s="11"/>
      <x:c r="D129" s="11"/>
      <x:c r="E129" s="12"/>
      <x:c r="F129" s="10"/>
      <x:c r="G129" s="2" t="str">
        <x:f>IF(COUNTA(A129:F129)=0,"",COUNTIFS('External Data'!$L$2:$L$1001,SUBSTITUTE(SUBSTITUTE(SUBSTITUTE(L129,"~","~~"),"*","~*"),"?","~?")))</x:f>
      </x:c>
      <x:c r="H129" s="2" t="str">
        <x:f>IF(COUNTA(A129:F129)=0,"",COUNTIFS('App Data'!$L$2:$L$1001,SUBSTITUTE(SUBSTITUTE(SUBSTITUTE(L129,"~","~~"),"*","~*"),"?","~?")))</x:f>
      </x:c>
      <x:c r="I129" s="13" t="str">
        <x:f>IF(OR(H129&lt;&gt;1,G129&lt;&gt;1),"",SUMIFS('App Data'!$E$2:$E$1001,'App Data'!$L$2:$L$1001,SUBSTITUTE(SUBSTITUTE(SUBSTITUTE(L129,"~","~~"),"*","~*"),"?","~?")))</x:f>
      </x:c>
      <x:c r="J129" s="13" t="str">
        <x:f>IF(OR(NOT(ISNUMBER(E129)),NOT(ISNUMBER(I129))),"",ROUND(E129-I129,2))</x:f>
      </x:c>
      <x:c r="K129" s="2" t="str">
        <x:f>IF(COUNTA(A129:F129)=0,"",IF(OR(A129="",B129="",C129="",D129="",NOT(ISNUMBER(E129))),"Missing / invalid input",IF(G129&gt;1,"Duplicate key in this source",IF(H129=0,"Missing in other source",IF(H129&gt;1,"Duplicate in other source",IF(SUMIFS('App Data'!$M$2:$M$1001,'App Data'!$L$2:$L$1001,SUBSTITUTE(SUBSTITUTE(SUBSTITUTE(L129,"~","~~"),"*","~*"),"?","~?"))&lt;&gt;1,"Other amount is invalid",IF(J129&lt;&gt;0,"Amount differs","Matched")))))))</x:f>
      </x:c>
      <x:c r="L129" t="str">
        <x:f>IF(COUNTA(A129:F129)=0,"",LEN(A129)&amp;":"&amp;A129&amp;LEN(B129)&amp;":"&amp;B129&amp;LEN(C129)&amp;":"&amp;C129&amp;LEN(D129)&amp;":"&amp;D129)</x:f>
      </x:c>
      <x:c r="M129" t="str">
        <x:f>IF(COUNTA(A129:F129)=0,"",IF(ISNUMBER(E129),1,0))</x:f>
      </x:c>
    </x:row>
    <x:row r="130">
      <x:c r="A130" s="11"/>
      <x:c r="B130" s="11"/>
      <x:c r="C130" s="11"/>
      <x:c r="D130" s="11"/>
      <x:c r="E130" s="12"/>
      <x:c r="F130" s="10"/>
      <x:c r="G130" s="2" t="str">
        <x:f>IF(COUNTA(A130:F130)=0,"",COUNTIFS('External Data'!$L$2:$L$1001,SUBSTITUTE(SUBSTITUTE(SUBSTITUTE(L130,"~","~~"),"*","~*"),"?","~?")))</x:f>
      </x:c>
      <x:c r="H130" s="2" t="str">
        <x:f>IF(COUNTA(A130:F130)=0,"",COUNTIFS('App Data'!$L$2:$L$1001,SUBSTITUTE(SUBSTITUTE(SUBSTITUTE(L130,"~","~~"),"*","~*"),"?","~?")))</x:f>
      </x:c>
      <x:c r="I130" s="13" t="str">
        <x:f>IF(OR(H130&lt;&gt;1,G130&lt;&gt;1),"",SUMIFS('App Data'!$E$2:$E$1001,'App Data'!$L$2:$L$1001,SUBSTITUTE(SUBSTITUTE(SUBSTITUTE(L130,"~","~~"),"*","~*"),"?","~?")))</x:f>
      </x:c>
      <x:c r="J130" s="13" t="str">
        <x:f>IF(OR(NOT(ISNUMBER(E130)),NOT(ISNUMBER(I130))),"",ROUND(E130-I130,2))</x:f>
      </x:c>
      <x:c r="K130" s="2" t="str">
        <x:f>IF(COUNTA(A130:F130)=0,"",IF(OR(A130="",B130="",C130="",D130="",NOT(ISNUMBER(E130))),"Missing / invalid input",IF(G130&gt;1,"Duplicate key in this source",IF(H130=0,"Missing in other source",IF(H130&gt;1,"Duplicate in other source",IF(SUMIFS('App Data'!$M$2:$M$1001,'App Data'!$L$2:$L$1001,SUBSTITUTE(SUBSTITUTE(SUBSTITUTE(L130,"~","~~"),"*","~*"),"?","~?"))&lt;&gt;1,"Other amount is invalid",IF(J130&lt;&gt;0,"Amount differs","Matched")))))))</x:f>
      </x:c>
      <x:c r="L130" t="str">
        <x:f>IF(COUNTA(A130:F130)=0,"",LEN(A130)&amp;":"&amp;A130&amp;LEN(B130)&amp;":"&amp;B130&amp;LEN(C130)&amp;":"&amp;C130&amp;LEN(D130)&amp;":"&amp;D130)</x:f>
      </x:c>
      <x:c r="M130" t="str">
        <x:f>IF(COUNTA(A130:F130)=0,"",IF(ISNUMBER(E130),1,0))</x:f>
      </x:c>
    </x:row>
    <x:row r="131">
      <x:c r="A131" s="11"/>
      <x:c r="B131" s="11"/>
      <x:c r="C131" s="11"/>
      <x:c r="D131" s="11"/>
      <x:c r="E131" s="12"/>
      <x:c r="F131" s="10"/>
      <x:c r="G131" s="2" t="str">
        <x:f>IF(COUNTA(A131:F131)=0,"",COUNTIFS('External Data'!$L$2:$L$1001,SUBSTITUTE(SUBSTITUTE(SUBSTITUTE(L131,"~","~~"),"*","~*"),"?","~?")))</x:f>
      </x:c>
      <x:c r="H131" s="2" t="str">
        <x:f>IF(COUNTA(A131:F131)=0,"",COUNTIFS('App Data'!$L$2:$L$1001,SUBSTITUTE(SUBSTITUTE(SUBSTITUTE(L131,"~","~~"),"*","~*"),"?","~?")))</x:f>
      </x:c>
      <x:c r="I131" s="13" t="str">
        <x:f>IF(OR(H131&lt;&gt;1,G131&lt;&gt;1),"",SUMIFS('App Data'!$E$2:$E$1001,'App Data'!$L$2:$L$1001,SUBSTITUTE(SUBSTITUTE(SUBSTITUTE(L131,"~","~~"),"*","~*"),"?","~?")))</x:f>
      </x:c>
      <x:c r="J131" s="13" t="str">
        <x:f>IF(OR(NOT(ISNUMBER(E131)),NOT(ISNUMBER(I131))),"",ROUND(E131-I131,2))</x:f>
      </x:c>
      <x:c r="K131" s="2" t="str">
        <x:f>IF(COUNTA(A131:F131)=0,"",IF(OR(A131="",B131="",C131="",D131="",NOT(ISNUMBER(E131))),"Missing / invalid input",IF(G131&gt;1,"Duplicate key in this source",IF(H131=0,"Missing in other source",IF(H131&gt;1,"Duplicate in other source",IF(SUMIFS('App Data'!$M$2:$M$1001,'App Data'!$L$2:$L$1001,SUBSTITUTE(SUBSTITUTE(SUBSTITUTE(L131,"~","~~"),"*","~*"),"?","~?"))&lt;&gt;1,"Other amount is invalid",IF(J131&lt;&gt;0,"Amount differs","Matched")))))))</x:f>
      </x:c>
      <x:c r="L131" t="str">
        <x:f>IF(COUNTA(A131:F131)=0,"",LEN(A131)&amp;":"&amp;A131&amp;LEN(B131)&amp;":"&amp;B131&amp;LEN(C131)&amp;":"&amp;C131&amp;LEN(D131)&amp;":"&amp;D131)</x:f>
      </x:c>
      <x:c r="M131" t="str">
        <x:f>IF(COUNTA(A131:F131)=0,"",IF(ISNUMBER(E131),1,0))</x:f>
      </x:c>
    </x:row>
    <x:row r="132">
      <x:c r="A132" s="11"/>
      <x:c r="B132" s="11"/>
      <x:c r="C132" s="11"/>
      <x:c r="D132" s="11"/>
      <x:c r="E132" s="12"/>
      <x:c r="F132" s="10"/>
      <x:c r="G132" s="2" t="str">
        <x:f>IF(COUNTA(A132:F132)=0,"",COUNTIFS('External Data'!$L$2:$L$1001,SUBSTITUTE(SUBSTITUTE(SUBSTITUTE(L132,"~","~~"),"*","~*"),"?","~?")))</x:f>
      </x:c>
      <x:c r="H132" s="2" t="str">
        <x:f>IF(COUNTA(A132:F132)=0,"",COUNTIFS('App Data'!$L$2:$L$1001,SUBSTITUTE(SUBSTITUTE(SUBSTITUTE(L132,"~","~~"),"*","~*"),"?","~?")))</x:f>
      </x:c>
      <x:c r="I132" s="13" t="str">
        <x:f>IF(OR(H132&lt;&gt;1,G132&lt;&gt;1),"",SUMIFS('App Data'!$E$2:$E$1001,'App Data'!$L$2:$L$1001,SUBSTITUTE(SUBSTITUTE(SUBSTITUTE(L132,"~","~~"),"*","~*"),"?","~?")))</x:f>
      </x:c>
      <x:c r="J132" s="13" t="str">
        <x:f>IF(OR(NOT(ISNUMBER(E132)),NOT(ISNUMBER(I132))),"",ROUND(E132-I132,2))</x:f>
      </x:c>
      <x:c r="K132" s="2" t="str">
        <x:f>IF(COUNTA(A132:F132)=0,"",IF(OR(A132="",B132="",C132="",D132="",NOT(ISNUMBER(E132))),"Missing / invalid input",IF(G132&gt;1,"Duplicate key in this source",IF(H132=0,"Missing in other source",IF(H132&gt;1,"Duplicate in other source",IF(SUMIFS('App Data'!$M$2:$M$1001,'App Data'!$L$2:$L$1001,SUBSTITUTE(SUBSTITUTE(SUBSTITUTE(L132,"~","~~"),"*","~*"),"?","~?"))&lt;&gt;1,"Other amount is invalid",IF(J132&lt;&gt;0,"Amount differs","Matched")))))))</x:f>
      </x:c>
      <x:c r="L132" t="str">
        <x:f>IF(COUNTA(A132:F132)=0,"",LEN(A132)&amp;":"&amp;A132&amp;LEN(B132)&amp;":"&amp;B132&amp;LEN(C132)&amp;":"&amp;C132&amp;LEN(D132)&amp;":"&amp;D132)</x:f>
      </x:c>
      <x:c r="M132" t="str">
        <x:f>IF(COUNTA(A132:F132)=0,"",IF(ISNUMBER(E132),1,0))</x:f>
      </x:c>
    </x:row>
    <x:row r="133">
      <x:c r="A133" s="11"/>
      <x:c r="B133" s="11"/>
      <x:c r="C133" s="11"/>
      <x:c r="D133" s="11"/>
      <x:c r="E133" s="12"/>
      <x:c r="F133" s="10"/>
      <x:c r="G133" s="2" t="str">
        <x:f>IF(COUNTA(A133:F133)=0,"",COUNTIFS('External Data'!$L$2:$L$1001,SUBSTITUTE(SUBSTITUTE(SUBSTITUTE(L133,"~","~~"),"*","~*"),"?","~?")))</x:f>
      </x:c>
      <x:c r="H133" s="2" t="str">
        <x:f>IF(COUNTA(A133:F133)=0,"",COUNTIFS('App Data'!$L$2:$L$1001,SUBSTITUTE(SUBSTITUTE(SUBSTITUTE(L133,"~","~~"),"*","~*"),"?","~?")))</x:f>
      </x:c>
      <x:c r="I133" s="13" t="str">
        <x:f>IF(OR(H133&lt;&gt;1,G133&lt;&gt;1),"",SUMIFS('App Data'!$E$2:$E$1001,'App Data'!$L$2:$L$1001,SUBSTITUTE(SUBSTITUTE(SUBSTITUTE(L133,"~","~~"),"*","~*"),"?","~?")))</x:f>
      </x:c>
      <x:c r="J133" s="13" t="str">
        <x:f>IF(OR(NOT(ISNUMBER(E133)),NOT(ISNUMBER(I133))),"",ROUND(E133-I133,2))</x:f>
      </x:c>
      <x:c r="K133" s="2" t="str">
        <x:f>IF(COUNTA(A133:F133)=0,"",IF(OR(A133="",B133="",C133="",D133="",NOT(ISNUMBER(E133))),"Missing / invalid input",IF(G133&gt;1,"Duplicate key in this source",IF(H133=0,"Missing in other source",IF(H133&gt;1,"Duplicate in other source",IF(SUMIFS('App Data'!$M$2:$M$1001,'App Data'!$L$2:$L$1001,SUBSTITUTE(SUBSTITUTE(SUBSTITUTE(L133,"~","~~"),"*","~*"),"?","~?"))&lt;&gt;1,"Other amount is invalid",IF(J133&lt;&gt;0,"Amount differs","Matched")))))))</x:f>
      </x:c>
      <x:c r="L133" t="str">
        <x:f>IF(COUNTA(A133:F133)=0,"",LEN(A133)&amp;":"&amp;A133&amp;LEN(B133)&amp;":"&amp;B133&amp;LEN(C133)&amp;":"&amp;C133&amp;LEN(D133)&amp;":"&amp;D133)</x:f>
      </x:c>
      <x:c r="M133" t="str">
        <x:f>IF(COUNTA(A133:F133)=0,"",IF(ISNUMBER(E133),1,0))</x:f>
      </x:c>
    </x:row>
    <x:row r="134">
      <x:c r="A134" s="11"/>
      <x:c r="B134" s="11"/>
      <x:c r="C134" s="11"/>
      <x:c r="D134" s="11"/>
      <x:c r="E134" s="12"/>
      <x:c r="F134" s="10"/>
      <x:c r="G134" s="2" t="str">
        <x:f>IF(COUNTA(A134:F134)=0,"",COUNTIFS('External Data'!$L$2:$L$1001,SUBSTITUTE(SUBSTITUTE(SUBSTITUTE(L134,"~","~~"),"*","~*"),"?","~?")))</x:f>
      </x:c>
      <x:c r="H134" s="2" t="str">
        <x:f>IF(COUNTA(A134:F134)=0,"",COUNTIFS('App Data'!$L$2:$L$1001,SUBSTITUTE(SUBSTITUTE(SUBSTITUTE(L134,"~","~~"),"*","~*"),"?","~?")))</x:f>
      </x:c>
      <x:c r="I134" s="13" t="str">
        <x:f>IF(OR(H134&lt;&gt;1,G134&lt;&gt;1),"",SUMIFS('App Data'!$E$2:$E$1001,'App Data'!$L$2:$L$1001,SUBSTITUTE(SUBSTITUTE(SUBSTITUTE(L134,"~","~~"),"*","~*"),"?","~?")))</x:f>
      </x:c>
      <x:c r="J134" s="13" t="str">
        <x:f>IF(OR(NOT(ISNUMBER(E134)),NOT(ISNUMBER(I134))),"",ROUND(E134-I134,2))</x:f>
      </x:c>
      <x:c r="K134" s="2" t="str">
        <x:f>IF(COUNTA(A134:F134)=0,"",IF(OR(A134="",B134="",C134="",D134="",NOT(ISNUMBER(E134))),"Missing / invalid input",IF(G134&gt;1,"Duplicate key in this source",IF(H134=0,"Missing in other source",IF(H134&gt;1,"Duplicate in other source",IF(SUMIFS('App Data'!$M$2:$M$1001,'App Data'!$L$2:$L$1001,SUBSTITUTE(SUBSTITUTE(SUBSTITUTE(L134,"~","~~"),"*","~*"),"?","~?"))&lt;&gt;1,"Other amount is invalid",IF(J134&lt;&gt;0,"Amount differs","Matched")))))))</x:f>
      </x:c>
      <x:c r="L134" t="str">
        <x:f>IF(COUNTA(A134:F134)=0,"",LEN(A134)&amp;":"&amp;A134&amp;LEN(B134)&amp;":"&amp;B134&amp;LEN(C134)&amp;":"&amp;C134&amp;LEN(D134)&amp;":"&amp;D134)</x:f>
      </x:c>
      <x:c r="M134" t="str">
        <x:f>IF(COUNTA(A134:F134)=0,"",IF(ISNUMBER(E134),1,0))</x:f>
      </x:c>
    </x:row>
    <x:row r="135">
      <x:c r="A135" s="11"/>
      <x:c r="B135" s="11"/>
      <x:c r="C135" s="11"/>
      <x:c r="D135" s="11"/>
      <x:c r="E135" s="12"/>
      <x:c r="F135" s="10"/>
      <x:c r="G135" s="2" t="str">
        <x:f>IF(COUNTA(A135:F135)=0,"",COUNTIFS('External Data'!$L$2:$L$1001,SUBSTITUTE(SUBSTITUTE(SUBSTITUTE(L135,"~","~~"),"*","~*"),"?","~?")))</x:f>
      </x:c>
      <x:c r="H135" s="2" t="str">
        <x:f>IF(COUNTA(A135:F135)=0,"",COUNTIFS('App Data'!$L$2:$L$1001,SUBSTITUTE(SUBSTITUTE(SUBSTITUTE(L135,"~","~~"),"*","~*"),"?","~?")))</x:f>
      </x:c>
      <x:c r="I135" s="13" t="str">
        <x:f>IF(OR(H135&lt;&gt;1,G135&lt;&gt;1),"",SUMIFS('App Data'!$E$2:$E$1001,'App Data'!$L$2:$L$1001,SUBSTITUTE(SUBSTITUTE(SUBSTITUTE(L135,"~","~~"),"*","~*"),"?","~?")))</x:f>
      </x:c>
      <x:c r="J135" s="13" t="str">
        <x:f>IF(OR(NOT(ISNUMBER(E135)),NOT(ISNUMBER(I135))),"",ROUND(E135-I135,2))</x:f>
      </x:c>
      <x:c r="K135" s="2" t="str">
        <x:f>IF(COUNTA(A135:F135)=0,"",IF(OR(A135="",B135="",C135="",D135="",NOT(ISNUMBER(E135))),"Missing / invalid input",IF(G135&gt;1,"Duplicate key in this source",IF(H135=0,"Missing in other source",IF(H135&gt;1,"Duplicate in other source",IF(SUMIFS('App Data'!$M$2:$M$1001,'App Data'!$L$2:$L$1001,SUBSTITUTE(SUBSTITUTE(SUBSTITUTE(L135,"~","~~"),"*","~*"),"?","~?"))&lt;&gt;1,"Other amount is invalid",IF(J135&lt;&gt;0,"Amount differs","Matched")))))))</x:f>
      </x:c>
      <x:c r="L135" t="str">
        <x:f>IF(COUNTA(A135:F135)=0,"",LEN(A135)&amp;":"&amp;A135&amp;LEN(B135)&amp;":"&amp;B135&amp;LEN(C135)&amp;":"&amp;C135&amp;LEN(D135)&amp;":"&amp;D135)</x:f>
      </x:c>
      <x:c r="M135" t="str">
        <x:f>IF(COUNTA(A135:F135)=0,"",IF(ISNUMBER(E135),1,0))</x:f>
      </x:c>
    </x:row>
    <x:row r="136">
      <x:c r="A136" s="11"/>
      <x:c r="B136" s="11"/>
      <x:c r="C136" s="11"/>
      <x:c r="D136" s="11"/>
      <x:c r="E136" s="12"/>
      <x:c r="F136" s="10"/>
      <x:c r="G136" s="2" t="str">
        <x:f>IF(COUNTA(A136:F136)=0,"",COUNTIFS('External Data'!$L$2:$L$1001,SUBSTITUTE(SUBSTITUTE(SUBSTITUTE(L136,"~","~~"),"*","~*"),"?","~?")))</x:f>
      </x:c>
      <x:c r="H136" s="2" t="str">
        <x:f>IF(COUNTA(A136:F136)=0,"",COUNTIFS('App Data'!$L$2:$L$1001,SUBSTITUTE(SUBSTITUTE(SUBSTITUTE(L136,"~","~~"),"*","~*"),"?","~?")))</x:f>
      </x:c>
      <x:c r="I136" s="13" t="str">
        <x:f>IF(OR(H136&lt;&gt;1,G136&lt;&gt;1),"",SUMIFS('App Data'!$E$2:$E$1001,'App Data'!$L$2:$L$1001,SUBSTITUTE(SUBSTITUTE(SUBSTITUTE(L136,"~","~~"),"*","~*"),"?","~?")))</x:f>
      </x:c>
      <x:c r="J136" s="13" t="str">
        <x:f>IF(OR(NOT(ISNUMBER(E136)),NOT(ISNUMBER(I136))),"",ROUND(E136-I136,2))</x:f>
      </x:c>
      <x:c r="K136" s="2" t="str">
        <x:f>IF(COUNTA(A136:F136)=0,"",IF(OR(A136="",B136="",C136="",D136="",NOT(ISNUMBER(E136))),"Missing / invalid input",IF(G136&gt;1,"Duplicate key in this source",IF(H136=0,"Missing in other source",IF(H136&gt;1,"Duplicate in other source",IF(SUMIFS('App Data'!$M$2:$M$1001,'App Data'!$L$2:$L$1001,SUBSTITUTE(SUBSTITUTE(SUBSTITUTE(L136,"~","~~"),"*","~*"),"?","~?"))&lt;&gt;1,"Other amount is invalid",IF(J136&lt;&gt;0,"Amount differs","Matched")))))))</x:f>
      </x:c>
      <x:c r="L136" t="str">
        <x:f>IF(COUNTA(A136:F136)=0,"",LEN(A136)&amp;":"&amp;A136&amp;LEN(B136)&amp;":"&amp;B136&amp;LEN(C136)&amp;":"&amp;C136&amp;LEN(D136)&amp;":"&amp;D136)</x:f>
      </x:c>
      <x:c r="M136" t="str">
        <x:f>IF(COUNTA(A136:F136)=0,"",IF(ISNUMBER(E136),1,0))</x:f>
      </x:c>
    </x:row>
    <x:row r="137">
      <x:c r="A137" s="11"/>
      <x:c r="B137" s="11"/>
      <x:c r="C137" s="11"/>
      <x:c r="D137" s="11"/>
      <x:c r="E137" s="12"/>
      <x:c r="F137" s="10"/>
      <x:c r="G137" s="2" t="str">
        <x:f>IF(COUNTA(A137:F137)=0,"",COUNTIFS('External Data'!$L$2:$L$1001,SUBSTITUTE(SUBSTITUTE(SUBSTITUTE(L137,"~","~~"),"*","~*"),"?","~?")))</x:f>
      </x:c>
      <x:c r="H137" s="2" t="str">
        <x:f>IF(COUNTA(A137:F137)=0,"",COUNTIFS('App Data'!$L$2:$L$1001,SUBSTITUTE(SUBSTITUTE(SUBSTITUTE(L137,"~","~~"),"*","~*"),"?","~?")))</x:f>
      </x:c>
      <x:c r="I137" s="13" t="str">
        <x:f>IF(OR(H137&lt;&gt;1,G137&lt;&gt;1),"",SUMIFS('App Data'!$E$2:$E$1001,'App Data'!$L$2:$L$1001,SUBSTITUTE(SUBSTITUTE(SUBSTITUTE(L137,"~","~~"),"*","~*"),"?","~?")))</x:f>
      </x:c>
      <x:c r="J137" s="13" t="str">
        <x:f>IF(OR(NOT(ISNUMBER(E137)),NOT(ISNUMBER(I137))),"",ROUND(E137-I137,2))</x:f>
      </x:c>
      <x:c r="K137" s="2" t="str">
        <x:f>IF(COUNTA(A137:F137)=0,"",IF(OR(A137="",B137="",C137="",D137="",NOT(ISNUMBER(E137))),"Missing / invalid input",IF(G137&gt;1,"Duplicate key in this source",IF(H137=0,"Missing in other source",IF(H137&gt;1,"Duplicate in other source",IF(SUMIFS('App Data'!$M$2:$M$1001,'App Data'!$L$2:$L$1001,SUBSTITUTE(SUBSTITUTE(SUBSTITUTE(L137,"~","~~"),"*","~*"),"?","~?"))&lt;&gt;1,"Other amount is invalid",IF(J137&lt;&gt;0,"Amount differs","Matched")))))))</x:f>
      </x:c>
      <x:c r="L137" t="str">
        <x:f>IF(COUNTA(A137:F137)=0,"",LEN(A137)&amp;":"&amp;A137&amp;LEN(B137)&amp;":"&amp;B137&amp;LEN(C137)&amp;":"&amp;C137&amp;LEN(D137)&amp;":"&amp;D137)</x:f>
      </x:c>
      <x:c r="M137" t="str">
        <x:f>IF(COUNTA(A137:F137)=0,"",IF(ISNUMBER(E137),1,0))</x:f>
      </x:c>
    </x:row>
    <x:row r="138">
      <x:c r="A138" s="11"/>
      <x:c r="B138" s="11"/>
      <x:c r="C138" s="11"/>
      <x:c r="D138" s="11"/>
      <x:c r="E138" s="12"/>
      <x:c r="F138" s="10"/>
      <x:c r="G138" s="2" t="str">
        <x:f>IF(COUNTA(A138:F138)=0,"",COUNTIFS('External Data'!$L$2:$L$1001,SUBSTITUTE(SUBSTITUTE(SUBSTITUTE(L138,"~","~~"),"*","~*"),"?","~?")))</x:f>
      </x:c>
      <x:c r="H138" s="2" t="str">
        <x:f>IF(COUNTA(A138:F138)=0,"",COUNTIFS('App Data'!$L$2:$L$1001,SUBSTITUTE(SUBSTITUTE(SUBSTITUTE(L138,"~","~~"),"*","~*"),"?","~?")))</x:f>
      </x:c>
      <x:c r="I138" s="13" t="str">
        <x:f>IF(OR(H138&lt;&gt;1,G138&lt;&gt;1),"",SUMIFS('App Data'!$E$2:$E$1001,'App Data'!$L$2:$L$1001,SUBSTITUTE(SUBSTITUTE(SUBSTITUTE(L138,"~","~~"),"*","~*"),"?","~?")))</x:f>
      </x:c>
      <x:c r="J138" s="13" t="str">
        <x:f>IF(OR(NOT(ISNUMBER(E138)),NOT(ISNUMBER(I138))),"",ROUND(E138-I138,2))</x:f>
      </x:c>
      <x:c r="K138" s="2" t="str">
        <x:f>IF(COUNTA(A138:F138)=0,"",IF(OR(A138="",B138="",C138="",D138="",NOT(ISNUMBER(E138))),"Missing / invalid input",IF(G138&gt;1,"Duplicate key in this source",IF(H138=0,"Missing in other source",IF(H138&gt;1,"Duplicate in other source",IF(SUMIFS('App Data'!$M$2:$M$1001,'App Data'!$L$2:$L$1001,SUBSTITUTE(SUBSTITUTE(SUBSTITUTE(L138,"~","~~"),"*","~*"),"?","~?"))&lt;&gt;1,"Other amount is invalid",IF(J138&lt;&gt;0,"Amount differs","Matched")))))))</x:f>
      </x:c>
      <x:c r="L138" t="str">
        <x:f>IF(COUNTA(A138:F138)=0,"",LEN(A138)&amp;":"&amp;A138&amp;LEN(B138)&amp;":"&amp;B138&amp;LEN(C138)&amp;":"&amp;C138&amp;LEN(D138)&amp;":"&amp;D138)</x:f>
      </x:c>
      <x:c r="M138" t="str">
        <x:f>IF(COUNTA(A138:F138)=0,"",IF(ISNUMBER(E138),1,0))</x:f>
      </x:c>
    </x:row>
    <x:row r="139">
      <x:c r="A139" s="11"/>
      <x:c r="B139" s="11"/>
      <x:c r="C139" s="11"/>
      <x:c r="D139" s="11"/>
      <x:c r="E139" s="12"/>
      <x:c r="F139" s="10"/>
      <x:c r="G139" s="2" t="str">
        <x:f>IF(COUNTA(A139:F139)=0,"",COUNTIFS('External Data'!$L$2:$L$1001,SUBSTITUTE(SUBSTITUTE(SUBSTITUTE(L139,"~","~~"),"*","~*"),"?","~?")))</x:f>
      </x:c>
      <x:c r="H139" s="2" t="str">
        <x:f>IF(COUNTA(A139:F139)=0,"",COUNTIFS('App Data'!$L$2:$L$1001,SUBSTITUTE(SUBSTITUTE(SUBSTITUTE(L139,"~","~~"),"*","~*"),"?","~?")))</x:f>
      </x:c>
      <x:c r="I139" s="13" t="str">
        <x:f>IF(OR(H139&lt;&gt;1,G139&lt;&gt;1),"",SUMIFS('App Data'!$E$2:$E$1001,'App Data'!$L$2:$L$1001,SUBSTITUTE(SUBSTITUTE(SUBSTITUTE(L139,"~","~~"),"*","~*"),"?","~?")))</x:f>
      </x:c>
      <x:c r="J139" s="13" t="str">
        <x:f>IF(OR(NOT(ISNUMBER(E139)),NOT(ISNUMBER(I139))),"",ROUND(E139-I139,2))</x:f>
      </x:c>
      <x:c r="K139" s="2" t="str">
        <x:f>IF(COUNTA(A139:F139)=0,"",IF(OR(A139="",B139="",C139="",D139="",NOT(ISNUMBER(E139))),"Missing / invalid input",IF(G139&gt;1,"Duplicate key in this source",IF(H139=0,"Missing in other source",IF(H139&gt;1,"Duplicate in other source",IF(SUMIFS('App Data'!$M$2:$M$1001,'App Data'!$L$2:$L$1001,SUBSTITUTE(SUBSTITUTE(SUBSTITUTE(L139,"~","~~"),"*","~*"),"?","~?"))&lt;&gt;1,"Other amount is invalid",IF(J139&lt;&gt;0,"Amount differs","Matched")))))))</x:f>
      </x:c>
      <x:c r="L139" t="str">
        <x:f>IF(COUNTA(A139:F139)=0,"",LEN(A139)&amp;":"&amp;A139&amp;LEN(B139)&amp;":"&amp;B139&amp;LEN(C139)&amp;":"&amp;C139&amp;LEN(D139)&amp;":"&amp;D139)</x:f>
      </x:c>
      <x:c r="M139" t="str">
        <x:f>IF(COUNTA(A139:F139)=0,"",IF(ISNUMBER(E139),1,0))</x:f>
      </x:c>
    </x:row>
    <x:row r="140">
      <x:c r="A140" s="11"/>
      <x:c r="B140" s="11"/>
      <x:c r="C140" s="11"/>
      <x:c r="D140" s="11"/>
      <x:c r="E140" s="12"/>
      <x:c r="F140" s="10"/>
      <x:c r="G140" s="2" t="str">
        <x:f>IF(COUNTA(A140:F140)=0,"",COUNTIFS('External Data'!$L$2:$L$1001,SUBSTITUTE(SUBSTITUTE(SUBSTITUTE(L140,"~","~~"),"*","~*"),"?","~?")))</x:f>
      </x:c>
      <x:c r="H140" s="2" t="str">
        <x:f>IF(COUNTA(A140:F140)=0,"",COUNTIFS('App Data'!$L$2:$L$1001,SUBSTITUTE(SUBSTITUTE(SUBSTITUTE(L140,"~","~~"),"*","~*"),"?","~?")))</x:f>
      </x:c>
      <x:c r="I140" s="13" t="str">
        <x:f>IF(OR(H140&lt;&gt;1,G140&lt;&gt;1),"",SUMIFS('App Data'!$E$2:$E$1001,'App Data'!$L$2:$L$1001,SUBSTITUTE(SUBSTITUTE(SUBSTITUTE(L140,"~","~~"),"*","~*"),"?","~?")))</x:f>
      </x:c>
      <x:c r="J140" s="13" t="str">
        <x:f>IF(OR(NOT(ISNUMBER(E140)),NOT(ISNUMBER(I140))),"",ROUND(E140-I140,2))</x:f>
      </x:c>
      <x:c r="K140" s="2" t="str">
        <x:f>IF(COUNTA(A140:F140)=0,"",IF(OR(A140="",B140="",C140="",D140="",NOT(ISNUMBER(E140))),"Missing / invalid input",IF(G140&gt;1,"Duplicate key in this source",IF(H140=0,"Missing in other source",IF(H140&gt;1,"Duplicate in other source",IF(SUMIFS('App Data'!$M$2:$M$1001,'App Data'!$L$2:$L$1001,SUBSTITUTE(SUBSTITUTE(SUBSTITUTE(L140,"~","~~"),"*","~*"),"?","~?"))&lt;&gt;1,"Other amount is invalid",IF(J140&lt;&gt;0,"Amount differs","Matched")))))))</x:f>
      </x:c>
      <x:c r="L140" t="str">
        <x:f>IF(COUNTA(A140:F140)=0,"",LEN(A140)&amp;":"&amp;A140&amp;LEN(B140)&amp;":"&amp;B140&amp;LEN(C140)&amp;":"&amp;C140&amp;LEN(D140)&amp;":"&amp;D140)</x:f>
      </x:c>
      <x:c r="M140" t="str">
        <x:f>IF(COUNTA(A140:F140)=0,"",IF(ISNUMBER(E140),1,0))</x:f>
      </x:c>
    </x:row>
    <x:row r="141">
      <x:c r="A141" s="11"/>
      <x:c r="B141" s="11"/>
      <x:c r="C141" s="11"/>
      <x:c r="D141" s="11"/>
      <x:c r="E141" s="12"/>
      <x:c r="F141" s="10"/>
      <x:c r="G141" s="2" t="str">
        <x:f>IF(COUNTA(A141:F141)=0,"",COUNTIFS('External Data'!$L$2:$L$1001,SUBSTITUTE(SUBSTITUTE(SUBSTITUTE(L141,"~","~~"),"*","~*"),"?","~?")))</x:f>
      </x:c>
      <x:c r="H141" s="2" t="str">
        <x:f>IF(COUNTA(A141:F141)=0,"",COUNTIFS('App Data'!$L$2:$L$1001,SUBSTITUTE(SUBSTITUTE(SUBSTITUTE(L141,"~","~~"),"*","~*"),"?","~?")))</x:f>
      </x:c>
      <x:c r="I141" s="13" t="str">
        <x:f>IF(OR(H141&lt;&gt;1,G141&lt;&gt;1),"",SUMIFS('App Data'!$E$2:$E$1001,'App Data'!$L$2:$L$1001,SUBSTITUTE(SUBSTITUTE(SUBSTITUTE(L141,"~","~~"),"*","~*"),"?","~?")))</x:f>
      </x:c>
      <x:c r="J141" s="13" t="str">
        <x:f>IF(OR(NOT(ISNUMBER(E141)),NOT(ISNUMBER(I141))),"",ROUND(E141-I141,2))</x:f>
      </x:c>
      <x:c r="K141" s="2" t="str">
        <x:f>IF(COUNTA(A141:F141)=0,"",IF(OR(A141="",B141="",C141="",D141="",NOT(ISNUMBER(E141))),"Missing / invalid input",IF(G141&gt;1,"Duplicate key in this source",IF(H141=0,"Missing in other source",IF(H141&gt;1,"Duplicate in other source",IF(SUMIFS('App Data'!$M$2:$M$1001,'App Data'!$L$2:$L$1001,SUBSTITUTE(SUBSTITUTE(SUBSTITUTE(L141,"~","~~"),"*","~*"),"?","~?"))&lt;&gt;1,"Other amount is invalid",IF(J141&lt;&gt;0,"Amount differs","Matched")))))))</x:f>
      </x:c>
      <x:c r="L141" t="str">
        <x:f>IF(COUNTA(A141:F141)=0,"",LEN(A141)&amp;":"&amp;A141&amp;LEN(B141)&amp;":"&amp;B141&amp;LEN(C141)&amp;":"&amp;C141&amp;LEN(D141)&amp;":"&amp;D141)</x:f>
      </x:c>
      <x:c r="M141" t="str">
        <x:f>IF(COUNTA(A141:F141)=0,"",IF(ISNUMBER(E141),1,0))</x:f>
      </x:c>
    </x:row>
    <x:row r="142">
      <x:c r="A142" s="11"/>
      <x:c r="B142" s="11"/>
      <x:c r="C142" s="11"/>
      <x:c r="D142" s="11"/>
      <x:c r="E142" s="12"/>
      <x:c r="F142" s="10"/>
      <x:c r="G142" s="2" t="str">
        <x:f>IF(COUNTA(A142:F142)=0,"",COUNTIFS('External Data'!$L$2:$L$1001,SUBSTITUTE(SUBSTITUTE(SUBSTITUTE(L142,"~","~~"),"*","~*"),"?","~?")))</x:f>
      </x:c>
      <x:c r="H142" s="2" t="str">
        <x:f>IF(COUNTA(A142:F142)=0,"",COUNTIFS('App Data'!$L$2:$L$1001,SUBSTITUTE(SUBSTITUTE(SUBSTITUTE(L142,"~","~~"),"*","~*"),"?","~?")))</x:f>
      </x:c>
      <x:c r="I142" s="13" t="str">
        <x:f>IF(OR(H142&lt;&gt;1,G142&lt;&gt;1),"",SUMIFS('App Data'!$E$2:$E$1001,'App Data'!$L$2:$L$1001,SUBSTITUTE(SUBSTITUTE(SUBSTITUTE(L142,"~","~~"),"*","~*"),"?","~?")))</x:f>
      </x:c>
      <x:c r="J142" s="13" t="str">
        <x:f>IF(OR(NOT(ISNUMBER(E142)),NOT(ISNUMBER(I142))),"",ROUND(E142-I142,2))</x:f>
      </x:c>
      <x:c r="K142" s="2" t="str">
        <x:f>IF(COUNTA(A142:F142)=0,"",IF(OR(A142="",B142="",C142="",D142="",NOT(ISNUMBER(E142))),"Missing / invalid input",IF(G142&gt;1,"Duplicate key in this source",IF(H142=0,"Missing in other source",IF(H142&gt;1,"Duplicate in other source",IF(SUMIFS('App Data'!$M$2:$M$1001,'App Data'!$L$2:$L$1001,SUBSTITUTE(SUBSTITUTE(SUBSTITUTE(L142,"~","~~"),"*","~*"),"?","~?"))&lt;&gt;1,"Other amount is invalid",IF(J142&lt;&gt;0,"Amount differs","Matched")))))))</x:f>
      </x:c>
      <x:c r="L142" t="str">
        <x:f>IF(COUNTA(A142:F142)=0,"",LEN(A142)&amp;":"&amp;A142&amp;LEN(B142)&amp;":"&amp;B142&amp;LEN(C142)&amp;":"&amp;C142&amp;LEN(D142)&amp;":"&amp;D142)</x:f>
      </x:c>
      <x:c r="M142" t="str">
        <x:f>IF(COUNTA(A142:F142)=0,"",IF(ISNUMBER(E142),1,0))</x:f>
      </x:c>
    </x:row>
    <x:row r="143">
      <x:c r="A143" s="11"/>
      <x:c r="B143" s="11"/>
      <x:c r="C143" s="11"/>
      <x:c r="D143" s="11"/>
      <x:c r="E143" s="12"/>
      <x:c r="F143" s="10"/>
      <x:c r="G143" s="2" t="str">
        <x:f>IF(COUNTA(A143:F143)=0,"",COUNTIFS('External Data'!$L$2:$L$1001,SUBSTITUTE(SUBSTITUTE(SUBSTITUTE(L143,"~","~~"),"*","~*"),"?","~?")))</x:f>
      </x:c>
      <x:c r="H143" s="2" t="str">
        <x:f>IF(COUNTA(A143:F143)=0,"",COUNTIFS('App Data'!$L$2:$L$1001,SUBSTITUTE(SUBSTITUTE(SUBSTITUTE(L143,"~","~~"),"*","~*"),"?","~?")))</x:f>
      </x:c>
      <x:c r="I143" s="13" t="str">
        <x:f>IF(OR(H143&lt;&gt;1,G143&lt;&gt;1),"",SUMIFS('App Data'!$E$2:$E$1001,'App Data'!$L$2:$L$1001,SUBSTITUTE(SUBSTITUTE(SUBSTITUTE(L143,"~","~~"),"*","~*"),"?","~?")))</x:f>
      </x:c>
      <x:c r="J143" s="13" t="str">
        <x:f>IF(OR(NOT(ISNUMBER(E143)),NOT(ISNUMBER(I143))),"",ROUND(E143-I143,2))</x:f>
      </x:c>
      <x:c r="K143" s="2" t="str">
        <x:f>IF(COUNTA(A143:F143)=0,"",IF(OR(A143="",B143="",C143="",D143="",NOT(ISNUMBER(E143))),"Missing / invalid input",IF(G143&gt;1,"Duplicate key in this source",IF(H143=0,"Missing in other source",IF(H143&gt;1,"Duplicate in other source",IF(SUMIFS('App Data'!$M$2:$M$1001,'App Data'!$L$2:$L$1001,SUBSTITUTE(SUBSTITUTE(SUBSTITUTE(L143,"~","~~"),"*","~*"),"?","~?"))&lt;&gt;1,"Other amount is invalid",IF(J143&lt;&gt;0,"Amount differs","Matched")))))))</x:f>
      </x:c>
      <x:c r="L143" t="str">
        <x:f>IF(COUNTA(A143:F143)=0,"",LEN(A143)&amp;":"&amp;A143&amp;LEN(B143)&amp;":"&amp;B143&amp;LEN(C143)&amp;":"&amp;C143&amp;LEN(D143)&amp;":"&amp;D143)</x:f>
      </x:c>
      <x:c r="M143" t="str">
        <x:f>IF(COUNTA(A143:F143)=0,"",IF(ISNUMBER(E143),1,0))</x:f>
      </x:c>
    </x:row>
    <x:row r="144">
      <x:c r="A144" s="11"/>
      <x:c r="B144" s="11"/>
      <x:c r="C144" s="11"/>
      <x:c r="D144" s="11"/>
      <x:c r="E144" s="12"/>
      <x:c r="F144" s="10"/>
      <x:c r="G144" s="2" t="str">
        <x:f>IF(COUNTA(A144:F144)=0,"",COUNTIFS('External Data'!$L$2:$L$1001,SUBSTITUTE(SUBSTITUTE(SUBSTITUTE(L144,"~","~~"),"*","~*"),"?","~?")))</x:f>
      </x:c>
      <x:c r="H144" s="2" t="str">
        <x:f>IF(COUNTA(A144:F144)=0,"",COUNTIFS('App Data'!$L$2:$L$1001,SUBSTITUTE(SUBSTITUTE(SUBSTITUTE(L144,"~","~~"),"*","~*"),"?","~?")))</x:f>
      </x:c>
      <x:c r="I144" s="13" t="str">
        <x:f>IF(OR(H144&lt;&gt;1,G144&lt;&gt;1),"",SUMIFS('App Data'!$E$2:$E$1001,'App Data'!$L$2:$L$1001,SUBSTITUTE(SUBSTITUTE(SUBSTITUTE(L144,"~","~~"),"*","~*"),"?","~?")))</x:f>
      </x:c>
      <x:c r="J144" s="13" t="str">
        <x:f>IF(OR(NOT(ISNUMBER(E144)),NOT(ISNUMBER(I144))),"",ROUND(E144-I144,2))</x:f>
      </x:c>
      <x:c r="K144" s="2" t="str">
        <x:f>IF(COUNTA(A144:F144)=0,"",IF(OR(A144="",B144="",C144="",D144="",NOT(ISNUMBER(E144))),"Missing / invalid input",IF(G144&gt;1,"Duplicate key in this source",IF(H144=0,"Missing in other source",IF(H144&gt;1,"Duplicate in other source",IF(SUMIFS('App Data'!$M$2:$M$1001,'App Data'!$L$2:$L$1001,SUBSTITUTE(SUBSTITUTE(SUBSTITUTE(L144,"~","~~"),"*","~*"),"?","~?"))&lt;&gt;1,"Other amount is invalid",IF(J144&lt;&gt;0,"Amount differs","Matched")))))))</x:f>
      </x:c>
      <x:c r="L144" t="str">
        <x:f>IF(COUNTA(A144:F144)=0,"",LEN(A144)&amp;":"&amp;A144&amp;LEN(B144)&amp;":"&amp;B144&amp;LEN(C144)&amp;":"&amp;C144&amp;LEN(D144)&amp;":"&amp;D144)</x:f>
      </x:c>
      <x:c r="M144" t="str">
        <x:f>IF(COUNTA(A144:F144)=0,"",IF(ISNUMBER(E144),1,0))</x:f>
      </x:c>
    </x:row>
    <x:row r="145">
      <x:c r="A145" s="11"/>
      <x:c r="B145" s="11"/>
      <x:c r="C145" s="11"/>
      <x:c r="D145" s="11"/>
      <x:c r="E145" s="12"/>
      <x:c r="F145" s="10"/>
      <x:c r="G145" s="2" t="str">
        <x:f>IF(COUNTA(A145:F145)=0,"",COUNTIFS('External Data'!$L$2:$L$1001,SUBSTITUTE(SUBSTITUTE(SUBSTITUTE(L145,"~","~~"),"*","~*"),"?","~?")))</x:f>
      </x:c>
      <x:c r="H145" s="2" t="str">
        <x:f>IF(COUNTA(A145:F145)=0,"",COUNTIFS('App Data'!$L$2:$L$1001,SUBSTITUTE(SUBSTITUTE(SUBSTITUTE(L145,"~","~~"),"*","~*"),"?","~?")))</x:f>
      </x:c>
      <x:c r="I145" s="13" t="str">
        <x:f>IF(OR(H145&lt;&gt;1,G145&lt;&gt;1),"",SUMIFS('App Data'!$E$2:$E$1001,'App Data'!$L$2:$L$1001,SUBSTITUTE(SUBSTITUTE(SUBSTITUTE(L145,"~","~~"),"*","~*"),"?","~?")))</x:f>
      </x:c>
      <x:c r="J145" s="13" t="str">
        <x:f>IF(OR(NOT(ISNUMBER(E145)),NOT(ISNUMBER(I145))),"",ROUND(E145-I145,2))</x:f>
      </x:c>
      <x:c r="K145" s="2" t="str">
        <x:f>IF(COUNTA(A145:F145)=0,"",IF(OR(A145="",B145="",C145="",D145="",NOT(ISNUMBER(E145))),"Missing / invalid input",IF(G145&gt;1,"Duplicate key in this source",IF(H145=0,"Missing in other source",IF(H145&gt;1,"Duplicate in other source",IF(SUMIFS('App Data'!$M$2:$M$1001,'App Data'!$L$2:$L$1001,SUBSTITUTE(SUBSTITUTE(SUBSTITUTE(L145,"~","~~"),"*","~*"),"?","~?"))&lt;&gt;1,"Other amount is invalid",IF(J145&lt;&gt;0,"Amount differs","Matched")))))))</x:f>
      </x:c>
      <x:c r="L145" t="str">
        <x:f>IF(COUNTA(A145:F145)=0,"",LEN(A145)&amp;":"&amp;A145&amp;LEN(B145)&amp;":"&amp;B145&amp;LEN(C145)&amp;":"&amp;C145&amp;LEN(D145)&amp;":"&amp;D145)</x:f>
      </x:c>
      <x:c r="M145" t="str">
        <x:f>IF(COUNTA(A145:F145)=0,"",IF(ISNUMBER(E145),1,0))</x:f>
      </x:c>
    </x:row>
    <x:row r="146">
      <x:c r="A146" s="11"/>
      <x:c r="B146" s="11"/>
      <x:c r="C146" s="11"/>
      <x:c r="D146" s="11"/>
      <x:c r="E146" s="12"/>
      <x:c r="F146" s="10"/>
      <x:c r="G146" s="2" t="str">
        <x:f>IF(COUNTA(A146:F146)=0,"",COUNTIFS('External Data'!$L$2:$L$1001,SUBSTITUTE(SUBSTITUTE(SUBSTITUTE(L146,"~","~~"),"*","~*"),"?","~?")))</x:f>
      </x:c>
      <x:c r="H146" s="2" t="str">
        <x:f>IF(COUNTA(A146:F146)=0,"",COUNTIFS('App Data'!$L$2:$L$1001,SUBSTITUTE(SUBSTITUTE(SUBSTITUTE(L146,"~","~~"),"*","~*"),"?","~?")))</x:f>
      </x:c>
      <x:c r="I146" s="13" t="str">
        <x:f>IF(OR(H146&lt;&gt;1,G146&lt;&gt;1),"",SUMIFS('App Data'!$E$2:$E$1001,'App Data'!$L$2:$L$1001,SUBSTITUTE(SUBSTITUTE(SUBSTITUTE(L146,"~","~~"),"*","~*"),"?","~?")))</x:f>
      </x:c>
      <x:c r="J146" s="13" t="str">
        <x:f>IF(OR(NOT(ISNUMBER(E146)),NOT(ISNUMBER(I146))),"",ROUND(E146-I146,2))</x:f>
      </x:c>
      <x:c r="K146" s="2" t="str">
        <x:f>IF(COUNTA(A146:F146)=0,"",IF(OR(A146="",B146="",C146="",D146="",NOT(ISNUMBER(E146))),"Missing / invalid input",IF(G146&gt;1,"Duplicate key in this source",IF(H146=0,"Missing in other source",IF(H146&gt;1,"Duplicate in other source",IF(SUMIFS('App Data'!$M$2:$M$1001,'App Data'!$L$2:$L$1001,SUBSTITUTE(SUBSTITUTE(SUBSTITUTE(L146,"~","~~"),"*","~*"),"?","~?"))&lt;&gt;1,"Other amount is invalid",IF(J146&lt;&gt;0,"Amount differs","Matched")))))))</x:f>
      </x:c>
      <x:c r="L146" t="str">
        <x:f>IF(COUNTA(A146:F146)=0,"",LEN(A146)&amp;":"&amp;A146&amp;LEN(B146)&amp;":"&amp;B146&amp;LEN(C146)&amp;":"&amp;C146&amp;LEN(D146)&amp;":"&amp;D146)</x:f>
      </x:c>
      <x:c r="M146" t="str">
        <x:f>IF(COUNTA(A146:F146)=0,"",IF(ISNUMBER(E146),1,0))</x:f>
      </x:c>
    </x:row>
    <x:row r="147">
      <x:c r="A147" s="11"/>
      <x:c r="B147" s="11"/>
      <x:c r="C147" s="11"/>
      <x:c r="D147" s="11"/>
      <x:c r="E147" s="12"/>
      <x:c r="F147" s="10"/>
      <x:c r="G147" s="2" t="str">
        <x:f>IF(COUNTA(A147:F147)=0,"",COUNTIFS('External Data'!$L$2:$L$1001,SUBSTITUTE(SUBSTITUTE(SUBSTITUTE(L147,"~","~~"),"*","~*"),"?","~?")))</x:f>
      </x:c>
      <x:c r="H147" s="2" t="str">
        <x:f>IF(COUNTA(A147:F147)=0,"",COUNTIFS('App Data'!$L$2:$L$1001,SUBSTITUTE(SUBSTITUTE(SUBSTITUTE(L147,"~","~~"),"*","~*"),"?","~?")))</x:f>
      </x:c>
      <x:c r="I147" s="13" t="str">
        <x:f>IF(OR(H147&lt;&gt;1,G147&lt;&gt;1),"",SUMIFS('App Data'!$E$2:$E$1001,'App Data'!$L$2:$L$1001,SUBSTITUTE(SUBSTITUTE(SUBSTITUTE(L147,"~","~~"),"*","~*"),"?","~?")))</x:f>
      </x:c>
      <x:c r="J147" s="13" t="str">
        <x:f>IF(OR(NOT(ISNUMBER(E147)),NOT(ISNUMBER(I147))),"",ROUND(E147-I147,2))</x:f>
      </x:c>
      <x:c r="K147" s="2" t="str">
        <x:f>IF(COUNTA(A147:F147)=0,"",IF(OR(A147="",B147="",C147="",D147="",NOT(ISNUMBER(E147))),"Missing / invalid input",IF(G147&gt;1,"Duplicate key in this source",IF(H147=0,"Missing in other source",IF(H147&gt;1,"Duplicate in other source",IF(SUMIFS('App Data'!$M$2:$M$1001,'App Data'!$L$2:$L$1001,SUBSTITUTE(SUBSTITUTE(SUBSTITUTE(L147,"~","~~"),"*","~*"),"?","~?"))&lt;&gt;1,"Other amount is invalid",IF(J147&lt;&gt;0,"Amount differs","Matched")))))))</x:f>
      </x:c>
      <x:c r="L147" t="str">
        <x:f>IF(COUNTA(A147:F147)=0,"",LEN(A147)&amp;":"&amp;A147&amp;LEN(B147)&amp;":"&amp;B147&amp;LEN(C147)&amp;":"&amp;C147&amp;LEN(D147)&amp;":"&amp;D147)</x:f>
      </x:c>
      <x:c r="M147" t="str">
        <x:f>IF(COUNTA(A147:F147)=0,"",IF(ISNUMBER(E147),1,0))</x:f>
      </x:c>
    </x:row>
    <x:row r="148">
      <x:c r="A148" s="11"/>
      <x:c r="B148" s="11"/>
      <x:c r="C148" s="11"/>
      <x:c r="D148" s="11"/>
      <x:c r="E148" s="12"/>
      <x:c r="F148" s="10"/>
      <x:c r="G148" s="2" t="str">
        <x:f>IF(COUNTA(A148:F148)=0,"",COUNTIFS('External Data'!$L$2:$L$1001,SUBSTITUTE(SUBSTITUTE(SUBSTITUTE(L148,"~","~~"),"*","~*"),"?","~?")))</x:f>
      </x:c>
      <x:c r="H148" s="2" t="str">
        <x:f>IF(COUNTA(A148:F148)=0,"",COUNTIFS('App Data'!$L$2:$L$1001,SUBSTITUTE(SUBSTITUTE(SUBSTITUTE(L148,"~","~~"),"*","~*"),"?","~?")))</x:f>
      </x:c>
      <x:c r="I148" s="13" t="str">
        <x:f>IF(OR(H148&lt;&gt;1,G148&lt;&gt;1),"",SUMIFS('App Data'!$E$2:$E$1001,'App Data'!$L$2:$L$1001,SUBSTITUTE(SUBSTITUTE(SUBSTITUTE(L148,"~","~~"),"*","~*"),"?","~?")))</x:f>
      </x:c>
      <x:c r="J148" s="13" t="str">
        <x:f>IF(OR(NOT(ISNUMBER(E148)),NOT(ISNUMBER(I148))),"",ROUND(E148-I148,2))</x:f>
      </x:c>
      <x:c r="K148" s="2" t="str">
        <x:f>IF(COUNTA(A148:F148)=0,"",IF(OR(A148="",B148="",C148="",D148="",NOT(ISNUMBER(E148))),"Missing / invalid input",IF(G148&gt;1,"Duplicate key in this source",IF(H148=0,"Missing in other source",IF(H148&gt;1,"Duplicate in other source",IF(SUMIFS('App Data'!$M$2:$M$1001,'App Data'!$L$2:$L$1001,SUBSTITUTE(SUBSTITUTE(SUBSTITUTE(L148,"~","~~"),"*","~*"),"?","~?"))&lt;&gt;1,"Other amount is invalid",IF(J148&lt;&gt;0,"Amount differs","Matched")))))))</x:f>
      </x:c>
      <x:c r="L148" t="str">
        <x:f>IF(COUNTA(A148:F148)=0,"",LEN(A148)&amp;":"&amp;A148&amp;LEN(B148)&amp;":"&amp;B148&amp;LEN(C148)&amp;":"&amp;C148&amp;LEN(D148)&amp;":"&amp;D148)</x:f>
      </x:c>
      <x:c r="M148" t="str">
        <x:f>IF(COUNTA(A148:F148)=0,"",IF(ISNUMBER(E148),1,0))</x:f>
      </x:c>
    </x:row>
    <x:row r="149">
      <x:c r="A149" s="11"/>
      <x:c r="B149" s="11"/>
      <x:c r="C149" s="11"/>
      <x:c r="D149" s="11"/>
      <x:c r="E149" s="12"/>
      <x:c r="F149" s="10"/>
      <x:c r="G149" s="2" t="str">
        <x:f>IF(COUNTA(A149:F149)=0,"",COUNTIFS('External Data'!$L$2:$L$1001,SUBSTITUTE(SUBSTITUTE(SUBSTITUTE(L149,"~","~~"),"*","~*"),"?","~?")))</x:f>
      </x:c>
      <x:c r="H149" s="2" t="str">
        <x:f>IF(COUNTA(A149:F149)=0,"",COUNTIFS('App Data'!$L$2:$L$1001,SUBSTITUTE(SUBSTITUTE(SUBSTITUTE(L149,"~","~~"),"*","~*"),"?","~?")))</x:f>
      </x:c>
      <x:c r="I149" s="13" t="str">
        <x:f>IF(OR(H149&lt;&gt;1,G149&lt;&gt;1),"",SUMIFS('App Data'!$E$2:$E$1001,'App Data'!$L$2:$L$1001,SUBSTITUTE(SUBSTITUTE(SUBSTITUTE(L149,"~","~~"),"*","~*"),"?","~?")))</x:f>
      </x:c>
      <x:c r="J149" s="13" t="str">
        <x:f>IF(OR(NOT(ISNUMBER(E149)),NOT(ISNUMBER(I149))),"",ROUND(E149-I149,2))</x:f>
      </x:c>
      <x:c r="K149" s="2" t="str">
        <x:f>IF(COUNTA(A149:F149)=0,"",IF(OR(A149="",B149="",C149="",D149="",NOT(ISNUMBER(E149))),"Missing / invalid input",IF(G149&gt;1,"Duplicate key in this source",IF(H149=0,"Missing in other source",IF(H149&gt;1,"Duplicate in other source",IF(SUMIFS('App Data'!$M$2:$M$1001,'App Data'!$L$2:$L$1001,SUBSTITUTE(SUBSTITUTE(SUBSTITUTE(L149,"~","~~"),"*","~*"),"?","~?"))&lt;&gt;1,"Other amount is invalid",IF(J149&lt;&gt;0,"Amount differs","Matched")))))))</x:f>
      </x:c>
      <x:c r="L149" t="str">
        <x:f>IF(COUNTA(A149:F149)=0,"",LEN(A149)&amp;":"&amp;A149&amp;LEN(B149)&amp;":"&amp;B149&amp;LEN(C149)&amp;":"&amp;C149&amp;LEN(D149)&amp;":"&amp;D149)</x:f>
      </x:c>
      <x:c r="M149" t="str">
        <x:f>IF(COUNTA(A149:F149)=0,"",IF(ISNUMBER(E149),1,0))</x:f>
      </x:c>
    </x:row>
    <x:row r="150">
      <x:c r="A150" s="11"/>
      <x:c r="B150" s="11"/>
      <x:c r="C150" s="11"/>
      <x:c r="D150" s="11"/>
      <x:c r="E150" s="12"/>
      <x:c r="F150" s="10"/>
      <x:c r="G150" s="2" t="str">
        <x:f>IF(COUNTA(A150:F150)=0,"",COUNTIFS('External Data'!$L$2:$L$1001,SUBSTITUTE(SUBSTITUTE(SUBSTITUTE(L150,"~","~~"),"*","~*"),"?","~?")))</x:f>
      </x:c>
      <x:c r="H150" s="2" t="str">
        <x:f>IF(COUNTA(A150:F150)=0,"",COUNTIFS('App Data'!$L$2:$L$1001,SUBSTITUTE(SUBSTITUTE(SUBSTITUTE(L150,"~","~~"),"*","~*"),"?","~?")))</x:f>
      </x:c>
      <x:c r="I150" s="13" t="str">
        <x:f>IF(OR(H150&lt;&gt;1,G150&lt;&gt;1),"",SUMIFS('App Data'!$E$2:$E$1001,'App Data'!$L$2:$L$1001,SUBSTITUTE(SUBSTITUTE(SUBSTITUTE(L150,"~","~~"),"*","~*"),"?","~?")))</x:f>
      </x:c>
      <x:c r="J150" s="13" t="str">
        <x:f>IF(OR(NOT(ISNUMBER(E150)),NOT(ISNUMBER(I150))),"",ROUND(E150-I150,2))</x:f>
      </x:c>
      <x:c r="K150" s="2" t="str">
        <x:f>IF(COUNTA(A150:F150)=0,"",IF(OR(A150="",B150="",C150="",D150="",NOT(ISNUMBER(E150))),"Missing / invalid input",IF(G150&gt;1,"Duplicate key in this source",IF(H150=0,"Missing in other source",IF(H150&gt;1,"Duplicate in other source",IF(SUMIFS('App Data'!$M$2:$M$1001,'App Data'!$L$2:$L$1001,SUBSTITUTE(SUBSTITUTE(SUBSTITUTE(L150,"~","~~"),"*","~*"),"?","~?"))&lt;&gt;1,"Other amount is invalid",IF(J150&lt;&gt;0,"Amount differs","Matched")))))))</x:f>
      </x:c>
      <x:c r="L150" t="str">
        <x:f>IF(COUNTA(A150:F150)=0,"",LEN(A150)&amp;":"&amp;A150&amp;LEN(B150)&amp;":"&amp;B150&amp;LEN(C150)&amp;":"&amp;C150&amp;LEN(D150)&amp;":"&amp;D150)</x:f>
      </x:c>
      <x:c r="M150" t="str">
        <x:f>IF(COUNTA(A150:F150)=0,"",IF(ISNUMBER(E150),1,0))</x:f>
      </x:c>
    </x:row>
    <x:row r="151">
      <x:c r="A151" s="11"/>
      <x:c r="B151" s="11"/>
      <x:c r="C151" s="11"/>
      <x:c r="D151" s="11"/>
      <x:c r="E151" s="12"/>
      <x:c r="F151" s="10"/>
      <x:c r="G151" s="2" t="str">
        <x:f>IF(COUNTA(A151:F151)=0,"",COUNTIFS('External Data'!$L$2:$L$1001,SUBSTITUTE(SUBSTITUTE(SUBSTITUTE(L151,"~","~~"),"*","~*"),"?","~?")))</x:f>
      </x:c>
      <x:c r="H151" s="2" t="str">
        <x:f>IF(COUNTA(A151:F151)=0,"",COUNTIFS('App Data'!$L$2:$L$1001,SUBSTITUTE(SUBSTITUTE(SUBSTITUTE(L151,"~","~~"),"*","~*"),"?","~?")))</x:f>
      </x:c>
      <x:c r="I151" s="13" t="str">
        <x:f>IF(OR(H151&lt;&gt;1,G151&lt;&gt;1),"",SUMIFS('App Data'!$E$2:$E$1001,'App Data'!$L$2:$L$1001,SUBSTITUTE(SUBSTITUTE(SUBSTITUTE(L151,"~","~~"),"*","~*"),"?","~?")))</x:f>
      </x:c>
      <x:c r="J151" s="13" t="str">
        <x:f>IF(OR(NOT(ISNUMBER(E151)),NOT(ISNUMBER(I151))),"",ROUND(E151-I151,2))</x:f>
      </x:c>
      <x:c r="K151" s="2" t="str">
        <x:f>IF(COUNTA(A151:F151)=0,"",IF(OR(A151="",B151="",C151="",D151="",NOT(ISNUMBER(E151))),"Missing / invalid input",IF(G151&gt;1,"Duplicate key in this source",IF(H151=0,"Missing in other source",IF(H151&gt;1,"Duplicate in other source",IF(SUMIFS('App Data'!$M$2:$M$1001,'App Data'!$L$2:$L$1001,SUBSTITUTE(SUBSTITUTE(SUBSTITUTE(L151,"~","~~"),"*","~*"),"?","~?"))&lt;&gt;1,"Other amount is invalid",IF(J151&lt;&gt;0,"Amount differs","Matched")))))))</x:f>
      </x:c>
      <x:c r="L151" t="str">
        <x:f>IF(COUNTA(A151:F151)=0,"",LEN(A151)&amp;":"&amp;A151&amp;LEN(B151)&amp;":"&amp;B151&amp;LEN(C151)&amp;":"&amp;C151&amp;LEN(D151)&amp;":"&amp;D151)</x:f>
      </x:c>
      <x:c r="M151" t="str">
        <x:f>IF(COUNTA(A151:F151)=0,"",IF(ISNUMBER(E151),1,0))</x:f>
      </x:c>
    </x:row>
    <x:row r="152">
      <x:c r="A152" s="11"/>
      <x:c r="B152" s="11"/>
      <x:c r="C152" s="11"/>
      <x:c r="D152" s="11"/>
      <x:c r="E152" s="12"/>
      <x:c r="F152" s="10"/>
      <x:c r="G152" s="2" t="str">
        <x:f>IF(COUNTA(A152:F152)=0,"",COUNTIFS('External Data'!$L$2:$L$1001,SUBSTITUTE(SUBSTITUTE(SUBSTITUTE(L152,"~","~~"),"*","~*"),"?","~?")))</x:f>
      </x:c>
      <x:c r="H152" s="2" t="str">
        <x:f>IF(COUNTA(A152:F152)=0,"",COUNTIFS('App Data'!$L$2:$L$1001,SUBSTITUTE(SUBSTITUTE(SUBSTITUTE(L152,"~","~~"),"*","~*"),"?","~?")))</x:f>
      </x:c>
      <x:c r="I152" s="13" t="str">
        <x:f>IF(OR(H152&lt;&gt;1,G152&lt;&gt;1),"",SUMIFS('App Data'!$E$2:$E$1001,'App Data'!$L$2:$L$1001,SUBSTITUTE(SUBSTITUTE(SUBSTITUTE(L152,"~","~~"),"*","~*"),"?","~?")))</x:f>
      </x:c>
      <x:c r="J152" s="13" t="str">
        <x:f>IF(OR(NOT(ISNUMBER(E152)),NOT(ISNUMBER(I152))),"",ROUND(E152-I152,2))</x:f>
      </x:c>
      <x:c r="K152" s="2" t="str">
        <x:f>IF(COUNTA(A152:F152)=0,"",IF(OR(A152="",B152="",C152="",D152="",NOT(ISNUMBER(E152))),"Missing / invalid input",IF(G152&gt;1,"Duplicate key in this source",IF(H152=0,"Missing in other source",IF(H152&gt;1,"Duplicate in other source",IF(SUMIFS('App Data'!$M$2:$M$1001,'App Data'!$L$2:$L$1001,SUBSTITUTE(SUBSTITUTE(SUBSTITUTE(L152,"~","~~"),"*","~*"),"?","~?"))&lt;&gt;1,"Other amount is invalid",IF(J152&lt;&gt;0,"Amount differs","Matched")))))))</x:f>
      </x:c>
      <x:c r="L152" t="str">
        <x:f>IF(COUNTA(A152:F152)=0,"",LEN(A152)&amp;":"&amp;A152&amp;LEN(B152)&amp;":"&amp;B152&amp;LEN(C152)&amp;":"&amp;C152&amp;LEN(D152)&amp;":"&amp;D152)</x:f>
      </x:c>
      <x:c r="M152" t="str">
        <x:f>IF(COUNTA(A152:F152)=0,"",IF(ISNUMBER(E152),1,0))</x:f>
      </x:c>
    </x:row>
    <x:row r="153">
      <x:c r="A153" s="11"/>
      <x:c r="B153" s="11"/>
      <x:c r="C153" s="11"/>
      <x:c r="D153" s="11"/>
      <x:c r="E153" s="12"/>
      <x:c r="F153" s="10"/>
      <x:c r="G153" s="2" t="str">
        <x:f>IF(COUNTA(A153:F153)=0,"",COUNTIFS('External Data'!$L$2:$L$1001,SUBSTITUTE(SUBSTITUTE(SUBSTITUTE(L153,"~","~~"),"*","~*"),"?","~?")))</x:f>
      </x:c>
      <x:c r="H153" s="2" t="str">
        <x:f>IF(COUNTA(A153:F153)=0,"",COUNTIFS('App Data'!$L$2:$L$1001,SUBSTITUTE(SUBSTITUTE(SUBSTITUTE(L153,"~","~~"),"*","~*"),"?","~?")))</x:f>
      </x:c>
      <x:c r="I153" s="13" t="str">
        <x:f>IF(OR(H153&lt;&gt;1,G153&lt;&gt;1),"",SUMIFS('App Data'!$E$2:$E$1001,'App Data'!$L$2:$L$1001,SUBSTITUTE(SUBSTITUTE(SUBSTITUTE(L153,"~","~~"),"*","~*"),"?","~?")))</x:f>
      </x:c>
      <x:c r="J153" s="13" t="str">
        <x:f>IF(OR(NOT(ISNUMBER(E153)),NOT(ISNUMBER(I153))),"",ROUND(E153-I153,2))</x:f>
      </x:c>
      <x:c r="K153" s="2" t="str">
        <x:f>IF(COUNTA(A153:F153)=0,"",IF(OR(A153="",B153="",C153="",D153="",NOT(ISNUMBER(E153))),"Missing / invalid input",IF(G153&gt;1,"Duplicate key in this source",IF(H153=0,"Missing in other source",IF(H153&gt;1,"Duplicate in other source",IF(SUMIFS('App Data'!$M$2:$M$1001,'App Data'!$L$2:$L$1001,SUBSTITUTE(SUBSTITUTE(SUBSTITUTE(L153,"~","~~"),"*","~*"),"?","~?"))&lt;&gt;1,"Other amount is invalid",IF(J153&lt;&gt;0,"Amount differs","Matched")))))))</x:f>
      </x:c>
      <x:c r="L153" t="str">
        <x:f>IF(COUNTA(A153:F153)=0,"",LEN(A153)&amp;":"&amp;A153&amp;LEN(B153)&amp;":"&amp;B153&amp;LEN(C153)&amp;":"&amp;C153&amp;LEN(D153)&amp;":"&amp;D153)</x:f>
      </x:c>
      <x:c r="M153" t="str">
        <x:f>IF(COUNTA(A153:F153)=0,"",IF(ISNUMBER(E153),1,0))</x:f>
      </x:c>
    </x:row>
    <x:row r="154">
      <x:c r="A154" s="11"/>
      <x:c r="B154" s="11"/>
      <x:c r="C154" s="11"/>
      <x:c r="D154" s="11"/>
      <x:c r="E154" s="12"/>
      <x:c r="F154" s="10"/>
      <x:c r="G154" s="2" t="str">
        <x:f>IF(COUNTA(A154:F154)=0,"",COUNTIFS('External Data'!$L$2:$L$1001,SUBSTITUTE(SUBSTITUTE(SUBSTITUTE(L154,"~","~~"),"*","~*"),"?","~?")))</x:f>
      </x:c>
      <x:c r="H154" s="2" t="str">
        <x:f>IF(COUNTA(A154:F154)=0,"",COUNTIFS('App Data'!$L$2:$L$1001,SUBSTITUTE(SUBSTITUTE(SUBSTITUTE(L154,"~","~~"),"*","~*"),"?","~?")))</x:f>
      </x:c>
      <x:c r="I154" s="13" t="str">
        <x:f>IF(OR(H154&lt;&gt;1,G154&lt;&gt;1),"",SUMIFS('App Data'!$E$2:$E$1001,'App Data'!$L$2:$L$1001,SUBSTITUTE(SUBSTITUTE(SUBSTITUTE(L154,"~","~~"),"*","~*"),"?","~?")))</x:f>
      </x:c>
      <x:c r="J154" s="13" t="str">
        <x:f>IF(OR(NOT(ISNUMBER(E154)),NOT(ISNUMBER(I154))),"",ROUND(E154-I154,2))</x:f>
      </x:c>
      <x:c r="K154" s="2" t="str">
        <x:f>IF(COUNTA(A154:F154)=0,"",IF(OR(A154="",B154="",C154="",D154="",NOT(ISNUMBER(E154))),"Missing / invalid input",IF(G154&gt;1,"Duplicate key in this source",IF(H154=0,"Missing in other source",IF(H154&gt;1,"Duplicate in other source",IF(SUMIFS('App Data'!$M$2:$M$1001,'App Data'!$L$2:$L$1001,SUBSTITUTE(SUBSTITUTE(SUBSTITUTE(L154,"~","~~"),"*","~*"),"?","~?"))&lt;&gt;1,"Other amount is invalid",IF(J154&lt;&gt;0,"Amount differs","Matched")))))))</x:f>
      </x:c>
      <x:c r="L154" t="str">
        <x:f>IF(COUNTA(A154:F154)=0,"",LEN(A154)&amp;":"&amp;A154&amp;LEN(B154)&amp;":"&amp;B154&amp;LEN(C154)&amp;":"&amp;C154&amp;LEN(D154)&amp;":"&amp;D154)</x:f>
      </x:c>
      <x:c r="M154" t="str">
        <x:f>IF(COUNTA(A154:F154)=0,"",IF(ISNUMBER(E154),1,0))</x:f>
      </x:c>
    </x:row>
    <x:row r="155">
      <x:c r="A155" s="11"/>
      <x:c r="B155" s="11"/>
      <x:c r="C155" s="11"/>
      <x:c r="D155" s="11"/>
      <x:c r="E155" s="12"/>
      <x:c r="F155" s="10"/>
      <x:c r="G155" s="2" t="str">
        <x:f>IF(COUNTA(A155:F155)=0,"",COUNTIFS('External Data'!$L$2:$L$1001,SUBSTITUTE(SUBSTITUTE(SUBSTITUTE(L155,"~","~~"),"*","~*"),"?","~?")))</x:f>
      </x:c>
      <x:c r="H155" s="2" t="str">
        <x:f>IF(COUNTA(A155:F155)=0,"",COUNTIFS('App Data'!$L$2:$L$1001,SUBSTITUTE(SUBSTITUTE(SUBSTITUTE(L155,"~","~~"),"*","~*"),"?","~?")))</x:f>
      </x:c>
      <x:c r="I155" s="13" t="str">
        <x:f>IF(OR(H155&lt;&gt;1,G155&lt;&gt;1),"",SUMIFS('App Data'!$E$2:$E$1001,'App Data'!$L$2:$L$1001,SUBSTITUTE(SUBSTITUTE(SUBSTITUTE(L155,"~","~~"),"*","~*"),"?","~?")))</x:f>
      </x:c>
      <x:c r="J155" s="13" t="str">
        <x:f>IF(OR(NOT(ISNUMBER(E155)),NOT(ISNUMBER(I155))),"",ROUND(E155-I155,2))</x:f>
      </x:c>
      <x:c r="K155" s="2" t="str">
        <x:f>IF(COUNTA(A155:F155)=0,"",IF(OR(A155="",B155="",C155="",D155="",NOT(ISNUMBER(E155))),"Missing / invalid input",IF(G155&gt;1,"Duplicate key in this source",IF(H155=0,"Missing in other source",IF(H155&gt;1,"Duplicate in other source",IF(SUMIFS('App Data'!$M$2:$M$1001,'App Data'!$L$2:$L$1001,SUBSTITUTE(SUBSTITUTE(SUBSTITUTE(L155,"~","~~"),"*","~*"),"?","~?"))&lt;&gt;1,"Other amount is invalid",IF(J155&lt;&gt;0,"Amount differs","Matched")))))))</x:f>
      </x:c>
      <x:c r="L155" t="str">
        <x:f>IF(COUNTA(A155:F155)=0,"",LEN(A155)&amp;":"&amp;A155&amp;LEN(B155)&amp;":"&amp;B155&amp;LEN(C155)&amp;":"&amp;C155&amp;LEN(D155)&amp;":"&amp;D155)</x:f>
      </x:c>
      <x:c r="M155" t="str">
        <x:f>IF(COUNTA(A155:F155)=0,"",IF(ISNUMBER(E155),1,0))</x:f>
      </x:c>
    </x:row>
    <x:row r="156">
      <x:c r="A156" s="11"/>
      <x:c r="B156" s="11"/>
      <x:c r="C156" s="11"/>
      <x:c r="D156" s="11"/>
      <x:c r="E156" s="12"/>
      <x:c r="F156" s="10"/>
      <x:c r="G156" s="2" t="str">
        <x:f>IF(COUNTA(A156:F156)=0,"",COUNTIFS('External Data'!$L$2:$L$1001,SUBSTITUTE(SUBSTITUTE(SUBSTITUTE(L156,"~","~~"),"*","~*"),"?","~?")))</x:f>
      </x:c>
      <x:c r="H156" s="2" t="str">
        <x:f>IF(COUNTA(A156:F156)=0,"",COUNTIFS('App Data'!$L$2:$L$1001,SUBSTITUTE(SUBSTITUTE(SUBSTITUTE(L156,"~","~~"),"*","~*"),"?","~?")))</x:f>
      </x:c>
      <x:c r="I156" s="13" t="str">
        <x:f>IF(OR(H156&lt;&gt;1,G156&lt;&gt;1),"",SUMIFS('App Data'!$E$2:$E$1001,'App Data'!$L$2:$L$1001,SUBSTITUTE(SUBSTITUTE(SUBSTITUTE(L156,"~","~~"),"*","~*"),"?","~?")))</x:f>
      </x:c>
      <x:c r="J156" s="13" t="str">
        <x:f>IF(OR(NOT(ISNUMBER(E156)),NOT(ISNUMBER(I156))),"",ROUND(E156-I156,2))</x:f>
      </x:c>
      <x:c r="K156" s="2" t="str">
        <x:f>IF(COUNTA(A156:F156)=0,"",IF(OR(A156="",B156="",C156="",D156="",NOT(ISNUMBER(E156))),"Missing / invalid input",IF(G156&gt;1,"Duplicate key in this source",IF(H156=0,"Missing in other source",IF(H156&gt;1,"Duplicate in other source",IF(SUMIFS('App Data'!$M$2:$M$1001,'App Data'!$L$2:$L$1001,SUBSTITUTE(SUBSTITUTE(SUBSTITUTE(L156,"~","~~"),"*","~*"),"?","~?"))&lt;&gt;1,"Other amount is invalid",IF(J156&lt;&gt;0,"Amount differs","Matched")))))))</x:f>
      </x:c>
      <x:c r="L156" t="str">
        <x:f>IF(COUNTA(A156:F156)=0,"",LEN(A156)&amp;":"&amp;A156&amp;LEN(B156)&amp;":"&amp;B156&amp;LEN(C156)&amp;":"&amp;C156&amp;LEN(D156)&amp;":"&amp;D156)</x:f>
      </x:c>
      <x:c r="M156" t="str">
        <x:f>IF(COUNTA(A156:F156)=0,"",IF(ISNUMBER(E156),1,0))</x:f>
      </x:c>
    </x:row>
    <x:row r="157">
      <x:c r="A157" s="11"/>
      <x:c r="B157" s="11"/>
      <x:c r="C157" s="11"/>
      <x:c r="D157" s="11"/>
      <x:c r="E157" s="12"/>
      <x:c r="F157" s="10"/>
      <x:c r="G157" s="2" t="str">
        <x:f>IF(COUNTA(A157:F157)=0,"",COUNTIFS('External Data'!$L$2:$L$1001,SUBSTITUTE(SUBSTITUTE(SUBSTITUTE(L157,"~","~~"),"*","~*"),"?","~?")))</x:f>
      </x:c>
      <x:c r="H157" s="2" t="str">
        <x:f>IF(COUNTA(A157:F157)=0,"",COUNTIFS('App Data'!$L$2:$L$1001,SUBSTITUTE(SUBSTITUTE(SUBSTITUTE(L157,"~","~~"),"*","~*"),"?","~?")))</x:f>
      </x:c>
      <x:c r="I157" s="13" t="str">
        <x:f>IF(OR(H157&lt;&gt;1,G157&lt;&gt;1),"",SUMIFS('App Data'!$E$2:$E$1001,'App Data'!$L$2:$L$1001,SUBSTITUTE(SUBSTITUTE(SUBSTITUTE(L157,"~","~~"),"*","~*"),"?","~?")))</x:f>
      </x:c>
      <x:c r="J157" s="13" t="str">
        <x:f>IF(OR(NOT(ISNUMBER(E157)),NOT(ISNUMBER(I157))),"",ROUND(E157-I157,2))</x:f>
      </x:c>
      <x:c r="K157" s="2" t="str">
        <x:f>IF(COUNTA(A157:F157)=0,"",IF(OR(A157="",B157="",C157="",D157="",NOT(ISNUMBER(E157))),"Missing / invalid input",IF(G157&gt;1,"Duplicate key in this source",IF(H157=0,"Missing in other source",IF(H157&gt;1,"Duplicate in other source",IF(SUMIFS('App Data'!$M$2:$M$1001,'App Data'!$L$2:$L$1001,SUBSTITUTE(SUBSTITUTE(SUBSTITUTE(L157,"~","~~"),"*","~*"),"?","~?"))&lt;&gt;1,"Other amount is invalid",IF(J157&lt;&gt;0,"Amount differs","Matched")))))))</x:f>
      </x:c>
      <x:c r="L157" t="str">
        <x:f>IF(COUNTA(A157:F157)=0,"",LEN(A157)&amp;":"&amp;A157&amp;LEN(B157)&amp;":"&amp;B157&amp;LEN(C157)&amp;":"&amp;C157&amp;LEN(D157)&amp;":"&amp;D157)</x:f>
      </x:c>
      <x:c r="M157" t="str">
        <x:f>IF(COUNTA(A157:F157)=0,"",IF(ISNUMBER(E157),1,0))</x:f>
      </x:c>
    </x:row>
    <x:row r="158">
      <x:c r="A158" s="11"/>
      <x:c r="B158" s="11"/>
      <x:c r="C158" s="11"/>
      <x:c r="D158" s="11"/>
      <x:c r="E158" s="12"/>
      <x:c r="F158" s="10"/>
      <x:c r="G158" s="2" t="str">
        <x:f>IF(COUNTA(A158:F158)=0,"",COUNTIFS('External Data'!$L$2:$L$1001,SUBSTITUTE(SUBSTITUTE(SUBSTITUTE(L158,"~","~~"),"*","~*"),"?","~?")))</x:f>
      </x:c>
      <x:c r="H158" s="2" t="str">
        <x:f>IF(COUNTA(A158:F158)=0,"",COUNTIFS('App Data'!$L$2:$L$1001,SUBSTITUTE(SUBSTITUTE(SUBSTITUTE(L158,"~","~~"),"*","~*"),"?","~?")))</x:f>
      </x:c>
      <x:c r="I158" s="13" t="str">
        <x:f>IF(OR(H158&lt;&gt;1,G158&lt;&gt;1),"",SUMIFS('App Data'!$E$2:$E$1001,'App Data'!$L$2:$L$1001,SUBSTITUTE(SUBSTITUTE(SUBSTITUTE(L158,"~","~~"),"*","~*"),"?","~?")))</x:f>
      </x:c>
      <x:c r="J158" s="13" t="str">
        <x:f>IF(OR(NOT(ISNUMBER(E158)),NOT(ISNUMBER(I158))),"",ROUND(E158-I158,2))</x:f>
      </x:c>
      <x:c r="K158" s="2" t="str">
        <x:f>IF(COUNTA(A158:F158)=0,"",IF(OR(A158="",B158="",C158="",D158="",NOT(ISNUMBER(E158))),"Missing / invalid input",IF(G158&gt;1,"Duplicate key in this source",IF(H158=0,"Missing in other source",IF(H158&gt;1,"Duplicate in other source",IF(SUMIFS('App Data'!$M$2:$M$1001,'App Data'!$L$2:$L$1001,SUBSTITUTE(SUBSTITUTE(SUBSTITUTE(L158,"~","~~"),"*","~*"),"?","~?"))&lt;&gt;1,"Other amount is invalid",IF(J158&lt;&gt;0,"Amount differs","Matched")))))))</x:f>
      </x:c>
      <x:c r="L158" t="str">
        <x:f>IF(COUNTA(A158:F158)=0,"",LEN(A158)&amp;":"&amp;A158&amp;LEN(B158)&amp;":"&amp;B158&amp;LEN(C158)&amp;":"&amp;C158&amp;LEN(D158)&amp;":"&amp;D158)</x:f>
      </x:c>
      <x:c r="M158" t="str">
        <x:f>IF(COUNTA(A158:F158)=0,"",IF(ISNUMBER(E158),1,0))</x:f>
      </x:c>
    </x:row>
    <x:row r="159">
      <x:c r="A159" s="11"/>
      <x:c r="B159" s="11"/>
      <x:c r="C159" s="11"/>
      <x:c r="D159" s="11"/>
      <x:c r="E159" s="12"/>
      <x:c r="F159" s="10"/>
      <x:c r="G159" s="2" t="str">
        <x:f>IF(COUNTA(A159:F159)=0,"",COUNTIFS('External Data'!$L$2:$L$1001,SUBSTITUTE(SUBSTITUTE(SUBSTITUTE(L159,"~","~~"),"*","~*"),"?","~?")))</x:f>
      </x:c>
      <x:c r="H159" s="2" t="str">
        <x:f>IF(COUNTA(A159:F159)=0,"",COUNTIFS('App Data'!$L$2:$L$1001,SUBSTITUTE(SUBSTITUTE(SUBSTITUTE(L159,"~","~~"),"*","~*"),"?","~?")))</x:f>
      </x:c>
      <x:c r="I159" s="13" t="str">
        <x:f>IF(OR(H159&lt;&gt;1,G159&lt;&gt;1),"",SUMIFS('App Data'!$E$2:$E$1001,'App Data'!$L$2:$L$1001,SUBSTITUTE(SUBSTITUTE(SUBSTITUTE(L159,"~","~~"),"*","~*"),"?","~?")))</x:f>
      </x:c>
      <x:c r="J159" s="13" t="str">
        <x:f>IF(OR(NOT(ISNUMBER(E159)),NOT(ISNUMBER(I159))),"",ROUND(E159-I159,2))</x:f>
      </x:c>
      <x:c r="K159" s="2" t="str">
        <x:f>IF(COUNTA(A159:F159)=0,"",IF(OR(A159="",B159="",C159="",D159="",NOT(ISNUMBER(E159))),"Missing / invalid input",IF(G159&gt;1,"Duplicate key in this source",IF(H159=0,"Missing in other source",IF(H159&gt;1,"Duplicate in other source",IF(SUMIFS('App Data'!$M$2:$M$1001,'App Data'!$L$2:$L$1001,SUBSTITUTE(SUBSTITUTE(SUBSTITUTE(L159,"~","~~"),"*","~*"),"?","~?"))&lt;&gt;1,"Other amount is invalid",IF(J159&lt;&gt;0,"Amount differs","Matched")))))))</x:f>
      </x:c>
      <x:c r="L159" t="str">
        <x:f>IF(COUNTA(A159:F159)=0,"",LEN(A159)&amp;":"&amp;A159&amp;LEN(B159)&amp;":"&amp;B159&amp;LEN(C159)&amp;":"&amp;C159&amp;LEN(D159)&amp;":"&amp;D159)</x:f>
      </x:c>
      <x:c r="M159" t="str">
        <x:f>IF(COUNTA(A159:F159)=0,"",IF(ISNUMBER(E159),1,0))</x:f>
      </x:c>
    </x:row>
    <x:row r="160">
      <x:c r="A160" s="11"/>
      <x:c r="B160" s="11"/>
      <x:c r="C160" s="11"/>
      <x:c r="D160" s="11"/>
      <x:c r="E160" s="12"/>
      <x:c r="F160" s="10"/>
      <x:c r="G160" s="2" t="str">
        <x:f>IF(COUNTA(A160:F160)=0,"",COUNTIFS('External Data'!$L$2:$L$1001,SUBSTITUTE(SUBSTITUTE(SUBSTITUTE(L160,"~","~~"),"*","~*"),"?","~?")))</x:f>
      </x:c>
      <x:c r="H160" s="2" t="str">
        <x:f>IF(COUNTA(A160:F160)=0,"",COUNTIFS('App Data'!$L$2:$L$1001,SUBSTITUTE(SUBSTITUTE(SUBSTITUTE(L160,"~","~~"),"*","~*"),"?","~?")))</x:f>
      </x:c>
      <x:c r="I160" s="13" t="str">
        <x:f>IF(OR(H160&lt;&gt;1,G160&lt;&gt;1),"",SUMIFS('App Data'!$E$2:$E$1001,'App Data'!$L$2:$L$1001,SUBSTITUTE(SUBSTITUTE(SUBSTITUTE(L160,"~","~~"),"*","~*"),"?","~?")))</x:f>
      </x:c>
      <x:c r="J160" s="13" t="str">
        <x:f>IF(OR(NOT(ISNUMBER(E160)),NOT(ISNUMBER(I160))),"",ROUND(E160-I160,2))</x:f>
      </x:c>
      <x:c r="K160" s="2" t="str">
        <x:f>IF(COUNTA(A160:F160)=0,"",IF(OR(A160="",B160="",C160="",D160="",NOT(ISNUMBER(E160))),"Missing / invalid input",IF(G160&gt;1,"Duplicate key in this source",IF(H160=0,"Missing in other source",IF(H160&gt;1,"Duplicate in other source",IF(SUMIFS('App Data'!$M$2:$M$1001,'App Data'!$L$2:$L$1001,SUBSTITUTE(SUBSTITUTE(SUBSTITUTE(L160,"~","~~"),"*","~*"),"?","~?"))&lt;&gt;1,"Other amount is invalid",IF(J160&lt;&gt;0,"Amount differs","Matched")))))))</x:f>
      </x:c>
      <x:c r="L160" t="str">
        <x:f>IF(COUNTA(A160:F160)=0,"",LEN(A160)&amp;":"&amp;A160&amp;LEN(B160)&amp;":"&amp;B160&amp;LEN(C160)&amp;":"&amp;C160&amp;LEN(D160)&amp;":"&amp;D160)</x:f>
      </x:c>
      <x:c r="M160" t="str">
        <x:f>IF(COUNTA(A160:F160)=0,"",IF(ISNUMBER(E160),1,0))</x:f>
      </x:c>
    </x:row>
    <x:row r="161">
      <x:c r="A161" s="11"/>
      <x:c r="B161" s="11"/>
      <x:c r="C161" s="11"/>
      <x:c r="D161" s="11"/>
      <x:c r="E161" s="12"/>
      <x:c r="F161" s="10"/>
      <x:c r="G161" s="2" t="str">
        <x:f>IF(COUNTA(A161:F161)=0,"",COUNTIFS('External Data'!$L$2:$L$1001,SUBSTITUTE(SUBSTITUTE(SUBSTITUTE(L161,"~","~~"),"*","~*"),"?","~?")))</x:f>
      </x:c>
      <x:c r="H161" s="2" t="str">
        <x:f>IF(COUNTA(A161:F161)=0,"",COUNTIFS('App Data'!$L$2:$L$1001,SUBSTITUTE(SUBSTITUTE(SUBSTITUTE(L161,"~","~~"),"*","~*"),"?","~?")))</x:f>
      </x:c>
      <x:c r="I161" s="13" t="str">
        <x:f>IF(OR(H161&lt;&gt;1,G161&lt;&gt;1),"",SUMIFS('App Data'!$E$2:$E$1001,'App Data'!$L$2:$L$1001,SUBSTITUTE(SUBSTITUTE(SUBSTITUTE(L161,"~","~~"),"*","~*"),"?","~?")))</x:f>
      </x:c>
      <x:c r="J161" s="13" t="str">
        <x:f>IF(OR(NOT(ISNUMBER(E161)),NOT(ISNUMBER(I161))),"",ROUND(E161-I161,2))</x:f>
      </x:c>
      <x:c r="K161" s="2" t="str">
        <x:f>IF(COUNTA(A161:F161)=0,"",IF(OR(A161="",B161="",C161="",D161="",NOT(ISNUMBER(E161))),"Missing / invalid input",IF(G161&gt;1,"Duplicate key in this source",IF(H161=0,"Missing in other source",IF(H161&gt;1,"Duplicate in other source",IF(SUMIFS('App Data'!$M$2:$M$1001,'App Data'!$L$2:$L$1001,SUBSTITUTE(SUBSTITUTE(SUBSTITUTE(L161,"~","~~"),"*","~*"),"?","~?"))&lt;&gt;1,"Other amount is invalid",IF(J161&lt;&gt;0,"Amount differs","Matched")))))))</x:f>
      </x:c>
      <x:c r="L161" t="str">
        <x:f>IF(COUNTA(A161:F161)=0,"",LEN(A161)&amp;":"&amp;A161&amp;LEN(B161)&amp;":"&amp;B161&amp;LEN(C161)&amp;":"&amp;C161&amp;LEN(D161)&amp;":"&amp;D161)</x:f>
      </x:c>
      <x:c r="M161" t="str">
        <x:f>IF(COUNTA(A161:F161)=0,"",IF(ISNUMBER(E161),1,0))</x:f>
      </x:c>
    </x:row>
    <x:row r="162">
      <x:c r="A162" s="11"/>
      <x:c r="B162" s="11"/>
      <x:c r="C162" s="11"/>
      <x:c r="D162" s="11"/>
      <x:c r="E162" s="12"/>
      <x:c r="F162" s="10"/>
      <x:c r="G162" s="2" t="str">
        <x:f>IF(COUNTA(A162:F162)=0,"",COUNTIFS('External Data'!$L$2:$L$1001,SUBSTITUTE(SUBSTITUTE(SUBSTITUTE(L162,"~","~~"),"*","~*"),"?","~?")))</x:f>
      </x:c>
      <x:c r="H162" s="2" t="str">
        <x:f>IF(COUNTA(A162:F162)=0,"",COUNTIFS('App Data'!$L$2:$L$1001,SUBSTITUTE(SUBSTITUTE(SUBSTITUTE(L162,"~","~~"),"*","~*"),"?","~?")))</x:f>
      </x:c>
      <x:c r="I162" s="13" t="str">
        <x:f>IF(OR(H162&lt;&gt;1,G162&lt;&gt;1),"",SUMIFS('App Data'!$E$2:$E$1001,'App Data'!$L$2:$L$1001,SUBSTITUTE(SUBSTITUTE(SUBSTITUTE(L162,"~","~~"),"*","~*"),"?","~?")))</x:f>
      </x:c>
      <x:c r="J162" s="13" t="str">
        <x:f>IF(OR(NOT(ISNUMBER(E162)),NOT(ISNUMBER(I162))),"",ROUND(E162-I162,2))</x:f>
      </x:c>
      <x:c r="K162" s="2" t="str">
        <x:f>IF(COUNTA(A162:F162)=0,"",IF(OR(A162="",B162="",C162="",D162="",NOT(ISNUMBER(E162))),"Missing / invalid input",IF(G162&gt;1,"Duplicate key in this source",IF(H162=0,"Missing in other source",IF(H162&gt;1,"Duplicate in other source",IF(SUMIFS('App Data'!$M$2:$M$1001,'App Data'!$L$2:$L$1001,SUBSTITUTE(SUBSTITUTE(SUBSTITUTE(L162,"~","~~"),"*","~*"),"?","~?"))&lt;&gt;1,"Other amount is invalid",IF(J162&lt;&gt;0,"Amount differs","Matched")))))))</x:f>
      </x:c>
      <x:c r="L162" t="str">
        <x:f>IF(COUNTA(A162:F162)=0,"",LEN(A162)&amp;":"&amp;A162&amp;LEN(B162)&amp;":"&amp;B162&amp;LEN(C162)&amp;":"&amp;C162&amp;LEN(D162)&amp;":"&amp;D162)</x:f>
      </x:c>
      <x:c r="M162" t="str">
        <x:f>IF(COUNTA(A162:F162)=0,"",IF(ISNUMBER(E162),1,0))</x:f>
      </x:c>
    </x:row>
    <x:row r="163">
      <x:c r="A163" s="11"/>
      <x:c r="B163" s="11"/>
      <x:c r="C163" s="11"/>
      <x:c r="D163" s="11"/>
      <x:c r="E163" s="12"/>
      <x:c r="F163" s="10"/>
      <x:c r="G163" s="2" t="str">
        <x:f>IF(COUNTA(A163:F163)=0,"",COUNTIFS('External Data'!$L$2:$L$1001,SUBSTITUTE(SUBSTITUTE(SUBSTITUTE(L163,"~","~~"),"*","~*"),"?","~?")))</x:f>
      </x:c>
      <x:c r="H163" s="2" t="str">
        <x:f>IF(COUNTA(A163:F163)=0,"",COUNTIFS('App Data'!$L$2:$L$1001,SUBSTITUTE(SUBSTITUTE(SUBSTITUTE(L163,"~","~~"),"*","~*"),"?","~?")))</x:f>
      </x:c>
      <x:c r="I163" s="13" t="str">
        <x:f>IF(OR(H163&lt;&gt;1,G163&lt;&gt;1),"",SUMIFS('App Data'!$E$2:$E$1001,'App Data'!$L$2:$L$1001,SUBSTITUTE(SUBSTITUTE(SUBSTITUTE(L163,"~","~~"),"*","~*"),"?","~?")))</x:f>
      </x:c>
      <x:c r="J163" s="13" t="str">
        <x:f>IF(OR(NOT(ISNUMBER(E163)),NOT(ISNUMBER(I163))),"",ROUND(E163-I163,2))</x:f>
      </x:c>
      <x:c r="K163" s="2" t="str">
        <x:f>IF(COUNTA(A163:F163)=0,"",IF(OR(A163="",B163="",C163="",D163="",NOT(ISNUMBER(E163))),"Missing / invalid input",IF(G163&gt;1,"Duplicate key in this source",IF(H163=0,"Missing in other source",IF(H163&gt;1,"Duplicate in other source",IF(SUMIFS('App Data'!$M$2:$M$1001,'App Data'!$L$2:$L$1001,SUBSTITUTE(SUBSTITUTE(SUBSTITUTE(L163,"~","~~"),"*","~*"),"?","~?"))&lt;&gt;1,"Other amount is invalid",IF(J163&lt;&gt;0,"Amount differs","Matched")))))))</x:f>
      </x:c>
      <x:c r="L163" t="str">
        <x:f>IF(COUNTA(A163:F163)=0,"",LEN(A163)&amp;":"&amp;A163&amp;LEN(B163)&amp;":"&amp;B163&amp;LEN(C163)&amp;":"&amp;C163&amp;LEN(D163)&amp;":"&amp;D163)</x:f>
      </x:c>
      <x:c r="M163" t="str">
        <x:f>IF(COUNTA(A163:F163)=0,"",IF(ISNUMBER(E163),1,0))</x:f>
      </x:c>
    </x:row>
    <x:row r="164">
      <x:c r="A164" s="11"/>
      <x:c r="B164" s="11"/>
      <x:c r="C164" s="11"/>
      <x:c r="D164" s="11"/>
      <x:c r="E164" s="12"/>
      <x:c r="F164" s="10"/>
      <x:c r="G164" s="2" t="str">
        <x:f>IF(COUNTA(A164:F164)=0,"",COUNTIFS('External Data'!$L$2:$L$1001,SUBSTITUTE(SUBSTITUTE(SUBSTITUTE(L164,"~","~~"),"*","~*"),"?","~?")))</x:f>
      </x:c>
      <x:c r="H164" s="2" t="str">
        <x:f>IF(COUNTA(A164:F164)=0,"",COUNTIFS('App Data'!$L$2:$L$1001,SUBSTITUTE(SUBSTITUTE(SUBSTITUTE(L164,"~","~~"),"*","~*"),"?","~?")))</x:f>
      </x:c>
      <x:c r="I164" s="13" t="str">
        <x:f>IF(OR(H164&lt;&gt;1,G164&lt;&gt;1),"",SUMIFS('App Data'!$E$2:$E$1001,'App Data'!$L$2:$L$1001,SUBSTITUTE(SUBSTITUTE(SUBSTITUTE(L164,"~","~~"),"*","~*"),"?","~?")))</x:f>
      </x:c>
      <x:c r="J164" s="13" t="str">
        <x:f>IF(OR(NOT(ISNUMBER(E164)),NOT(ISNUMBER(I164))),"",ROUND(E164-I164,2))</x:f>
      </x:c>
      <x:c r="K164" s="2" t="str">
        <x:f>IF(COUNTA(A164:F164)=0,"",IF(OR(A164="",B164="",C164="",D164="",NOT(ISNUMBER(E164))),"Missing / invalid input",IF(G164&gt;1,"Duplicate key in this source",IF(H164=0,"Missing in other source",IF(H164&gt;1,"Duplicate in other source",IF(SUMIFS('App Data'!$M$2:$M$1001,'App Data'!$L$2:$L$1001,SUBSTITUTE(SUBSTITUTE(SUBSTITUTE(L164,"~","~~"),"*","~*"),"?","~?"))&lt;&gt;1,"Other amount is invalid",IF(J164&lt;&gt;0,"Amount differs","Matched")))))))</x:f>
      </x:c>
      <x:c r="L164" t="str">
        <x:f>IF(COUNTA(A164:F164)=0,"",LEN(A164)&amp;":"&amp;A164&amp;LEN(B164)&amp;":"&amp;B164&amp;LEN(C164)&amp;":"&amp;C164&amp;LEN(D164)&amp;":"&amp;D164)</x:f>
      </x:c>
      <x:c r="M164" t="str">
        <x:f>IF(COUNTA(A164:F164)=0,"",IF(ISNUMBER(E164),1,0))</x:f>
      </x:c>
    </x:row>
    <x:row r="165">
      <x:c r="A165" s="11"/>
      <x:c r="B165" s="11"/>
      <x:c r="C165" s="11"/>
      <x:c r="D165" s="11"/>
      <x:c r="E165" s="12"/>
      <x:c r="F165" s="10"/>
      <x:c r="G165" s="2" t="str">
        <x:f>IF(COUNTA(A165:F165)=0,"",COUNTIFS('External Data'!$L$2:$L$1001,SUBSTITUTE(SUBSTITUTE(SUBSTITUTE(L165,"~","~~"),"*","~*"),"?","~?")))</x:f>
      </x:c>
      <x:c r="H165" s="2" t="str">
        <x:f>IF(COUNTA(A165:F165)=0,"",COUNTIFS('App Data'!$L$2:$L$1001,SUBSTITUTE(SUBSTITUTE(SUBSTITUTE(L165,"~","~~"),"*","~*"),"?","~?")))</x:f>
      </x:c>
      <x:c r="I165" s="13" t="str">
        <x:f>IF(OR(H165&lt;&gt;1,G165&lt;&gt;1),"",SUMIFS('App Data'!$E$2:$E$1001,'App Data'!$L$2:$L$1001,SUBSTITUTE(SUBSTITUTE(SUBSTITUTE(L165,"~","~~"),"*","~*"),"?","~?")))</x:f>
      </x:c>
      <x:c r="J165" s="13" t="str">
        <x:f>IF(OR(NOT(ISNUMBER(E165)),NOT(ISNUMBER(I165))),"",ROUND(E165-I165,2))</x:f>
      </x:c>
      <x:c r="K165" s="2" t="str">
        <x:f>IF(COUNTA(A165:F165)=0,"",IF(OR(A165="",B165="",C165="",D165="",NOT(ISNUMBER(E165))),"Missing / invalid input",IF(G165&gt;1,"Duplicate key in this source",IF(H165=0,"Missing in other source",IF(H165&gt;1,"Duplicate in other source",IF(SUMIFS('App Data'!$M$2:$M$1001,'App Data'!$L$2:$L$1001,SUBSTITUTE(SUBSTITUTE(SUBSTITUTE(L165,"~","~~"),"*","~*"),"?","~?"))&lt;&gt;1,"Other amount is invalid",IF(J165&lt;&gt;0,"Amount differs","Matched")))))))</x:f>
      </x:c>
      <x:c r="L165" t="str">
        <x:f>IF(COUNTA(A165:F165)=0,"",LEN(A165)&amp;":"&amp;A165&amp;LEN(B165)&amp;":"&amp;B165&amp;LEN(C165)&amp;":"&amp;C165&amp;LEN(D165)&amp;":"&amp;D165)</x:f>
      </x:c>
      <x:c r="M165" t="str">
        <x:f>IF(COUNTA(A165:F165)=0,"",IF(ISNUMBER(E165),1,0))</x:f>
      </x:c>
    </x:row>
    <x:row r="166">
      <x:c r="A166" s="11"/>
      <x:c r="B166" s="11"/>
      <x:c r="C166" s="11"/>
      <x:c r="D166" s="11"/>
      <x:c r="E166" s="12"/>
      <x:c r="F166" s="10"/>
      <x:c r="G166" s="2" t="str">
        <x:f>IF(COUNTA(A166:F166)=0,"",COUNTIFS('External Data'!$L$2:$L$1001,SUBSTITUTE(SUBSTITUTE(SUBSTITUTE(L166,"~","~~"),"*","~*"),"?","~?")))</x:f>
      </x:c>
      <x:c r="H166" s="2" t="str">
        <x:f>IF(COUNTA(A166:F166)=0,"",COUNTIFS('App Data'!$L$2:$L$1001,SUBSTITUTE(SUBSTITUTE(SUBSTITUTE(L166,"~","~~"),"*","~*"),"?","~?")))</x:f>
      </x:c>
      <x:c r="I166" s="13" t="str">
        <x:f>IF(OR(H166&lt;&gt;1,G166&lt;&gt;1),"",SUMIFS('App Data'!$E$2:$E$1001,'App Data'!$L$2:$L$1001,SUBSTITUTE(SUBSTITUTE(SUBSTITUTE(L166,"~","~~"),"*","~*"),"?","~?")))</x:f>
      </x:c>
      <x:c r="J166" s="13" t="str">
        <x:f>IF(OR(NOT(ISNUMBER(E166)),NOT(ISNUMBER(I166))),"",ROUND(E166-I166,2))</x:f>
      </x:c>
      <x:c r="K166" s="2" t="str">
        <x:f>IF(COUNTA(A166:F166)=0,"",IF(OR(A166="",B166="",C166="",D166="",NOT(ISNUMBER(E166))),"Missing / invalid input",IF(G166&gt;1,"Duplicate key in this source",IF(H166=0,"Missing in other source",IF(H166&gt;1,"Duplicate in other source",IF(SUMIFS('App Data'!$M$2:$M$1001,'App Data'!$L$2:$L$1001,SUBSTITUTE(SUBSTITUTE(SUBSTITUTE(L166,"~","~~"),"*","~*"),"?","~?"))&lt;&gt;1,"Other amount is invalid",IF(J166&lt;&gt;0,"Amount differs","Matched")))))))</x:f>
      </x:c>
      <x:c r="L166" t="str">
        <x:f>IF(COUNTA(A166:F166)=0,"",LEN(A166)&amp;":"&amp;A166&amp;LEN(B166)&amp;":"&amp;B166&amp;LEN(C166)&amp;":"&amp;C166&amp;LEN(D166)&amp;":"&amp;D166)</x:f>
      </x:c>
      <x:c r="M166" t="str">
        <x:f>IF(COUNTA(A166:F166)=0,"",IF(ISNUMBER(E166),1,0))</x:f>
      </x:c>
    </x:row>
    <x:row r="167">
      <x:c r="A167" s="11"/>
      <x:c r="B167" s="11"/>
      <x:c r="C167" s="11"/>
      <x:c r="D167" s="11"/>
      <x:c r="E167" s="12"/>
      <x:c r="F167" s="10"/>
      <x:c r="G167" s="2" t="str">
        <x:f>IF(COUNTA(A167:F167)=0,"",COUNTIFS('External Data'!$L$2:$L$1001,SUBSTITUTE(SUBSTITUTE(SUBSTITUTE(L167,"~","~~"),"*","~*"),"?","~?")))</x:f>
      </x:c>
      <x:c r="H167" s="2" t="str">
        <x:f>IF(COUNTA(A167:F167)=0,"",COUNTIFS('App Data'!$L$2:$L$1001,SUBSTITUTE(SUBSTITUTE(SUBSTITUTE(L167,"~","~~"),"*","~*"),"?","~?")))</x:f>
      </x:c>
      <x:c r="I167" s="13" t="str">
        <x:f>IF(OR(H167&lt;&gt;1,G167&lt;&gt;1),"",SUMIFS('App Data'!$E$2:$E$1001,'App Data'!$L$2:$L$1001,SUBSTITUTE(SUBSTITUTE(SUBSTITUTE(L167,"~","~~"),"*","~*"),"?","~?")))</x:f>
      </x:c>
      <x:c r="J167" s="13" t="str">
        <x:f>IF(OR(NOT(ISNUMBER(E167)),NOT(ISNUMBER(I167))),"",ROUND(E167-I167,2))</x:f>
      </x:c>
      <x:c r="K167" s="2" t="str">
        <x:f>IF(COUNTA(A167:F167)=0,"",IF(OR(A167="",B167="",C167="",D167="",NOT(ISNUMBER(E167))),"Missing / invalid input",IF(G167&gt;1,"Duplicate key in this source",IF(H167=0,"Missing in other source",IF(H167&gt;1,"Duplicate in other source",IF(SUMIFS('App Data'!$M$2:$M$1001,'App Data'!$L$2:$L$1001,SUBSTITUTE(SUBSTITUTE(SUBSTITUTE(L167,"~","~~"),"*","~*"),"?","~?"))&lt;&gt;1,"Other amount is invalid",IF(J167&lt;&gt;0,"Amount differs","Matched")))))))</x:f>
      </x:c>
      <x:c r="L167" t="str">
        <x:f>IF(COUNTA(A167:F167)=0,"",LEN(A167)&amp;":"&amp;A167&amp;LEN(B167)&amp;":"&amp;B167&amp;LEN(C167)&amp;":"&amp;C167&amp;LEN(D167)&amp;":"&amp;D167)</x:f>
      </x:c>
      <x:c r="M167" t="str">
        <x:f>IF(COUNTA(A167:F167)=0,"",IF(ISNUMBER(E167),1,0))</x:f>
      </x:c>
    </x:row>
    <x:row r="168">
      <x:c r="A168" s="11"/>
      <x:c r="B168" s="11"/>
      <x:c r="C168" s="11"/>
      <x:c r="D168" s="11"/>
      <x:c r="E168" s="12"/>
      <x:c r="F168" s="10"/>
      <x:c r="G168" s="2" t="str">
        <x:f>IF(COUNTA(A168:F168)=0,"",COUNTIFS('External Data'!$L$2:$L$1001,SUBSTITUTE(SUBSTITUTE(SUBSTITUTE(L168,"~","~~"),"*","~*"),"?","~?")))</x:f>
      </x:c>
      <x:c r="H168" s="2" t="str">
        <x:f>IF(COUNTA(A168:F168)=0,"",COUNTIFS('App Data'!$L$2:$L$1001,SUBSTITUTE(SUBSTITUTE(SUBSTITUTE(L168,"~","~~"),"*","~*"),"?","~?")))</x:f>
      </x:c>
      <x:c r="I168" s="13" t="str">
        <x:f>IF(OR(H168&lt;&gt;1,G168&lt;&gt;1),"",SUMIFS('App Data'!$E$2:$E$1001,'App Data'!$L$2:$L$1001,SUBSTITUTE(SUBSTITUTE(SUBSTITUTE(L168,"~","~~"),"*","~*"),"?","~?")))</x:f>
      </x:c>
      <x:c r="J168" s="13" t="str">
        <x:f>IF(OR(NOT(ISNUMBER(E168)),NOT(ISNUMBER(I168))),"",ROUND(E168-I168,2))</x:f>
      </x:c>
      <x:c r="K168" s="2" t="str">
        <x:f>IF(COUNTA(A168:F168)=0,"",IF(OR(A168="",B168="",C168="",D168="",NOT(ISNUMBER(E168))),"Missing / invalid input",IF(G168&gt;1,"Duplicate key in this source",IF(H168=0,"Missing in other source",IF(H168&gt;1,"Duplicate in other source",IF(SUMIFS('App Data'!$M$2:$M$1001,'App Data'!$L$2:$L$1001,SUBSTITUTE(SUBSTITUTE(SUBSTITUTE(L168,"~","~~"),"*","~*"),"?","~?"))&lt;&gt;1,"Other amount is invalid",IF(J168&lt;&gt;0,"Amount differs","Matched")))))))</x:f>
      </x:c>
      <x:c r="L168" t="str">
        <x:f>IF(COUNTA(A168:F168)=0,"",LEN(A168)&amp;":"&amp;A168&amp;LEN(B168)&amp;":"&amp;B168&amp;LEN(C168)&amp;":"&amp;C168&amp;LEN(D168)&amp;":"&amp;D168)</x:f>
      </x:c>
      <x:c r="M168" t="str">
        <x:f>IF(COUNTA(A168:F168)=0,"",IF(ISNUMBER(E168),1,0))</x:f>
      </x:c>
    </x:row>
    <x:row r="169">
      <x:c r="A169" s="11"/>
      <x:c r="B169" s="11"/>
      <x:c r="C169" s="11"/>
      <x:c r="D169" s="11"/>
      <x:c r="E169" s="12"/>
      <x:c r="F169" s="10"/>
      <x:c r="G169" s="2" t="str">
        <x:f>IF(COUNTA(A169:F169)=0,"",COUNTIFS('External Data'!$L$2:$L$1001,SUBSTITUTE(SUBSTITUTE(SUBSTITUTE(L169,"~","~~"),"*","~*"),"?","~?")))</x:f>
      </x:c>
      <x:c r="H169" s="2" t="str">
        <x:f>IF(COUNTA(A169:F169)=0,"",COUNTIFS('App Data'!$L$2:$L$1001,SUBSTITUTE(SUBSTITUTE(SUBSTITUTE(L169,"~","~~"),"*","~*"),"?","~?")))</x:f>
      </x:c>
      <x:c r="I169" s="13" t="str">
        <x:f>IF(OR(H169&lt;&gt;1,G169&lt;&gt;1),"",SUMIFS('App Data'!$E$2:$E$1001,'App Data'!$L$2:$L$1001,SUBSTITUTE(SUBSTITUTE(SUBSTITUTE(L169,"~","~~"),"*","~*"),"?","~?")))</x:f>
      </x:c>
      <x:c r="J169" s="13" t="str">
        <x:f>IF(OR(NOT(ISNUMBER(E169)),NOT(ISNUMBER(I169))),"",ROUND(E169-I169,2))</x:f>
      </x:c>
      <x:c r="K169" s="2" t="str">
        <x:f>IF(COUNTA(A169:F169)=0,"",IF(OR(A169="",B169="",C169="",D169="",NOT(ISNUMBER(E169))),"Missing / invalid input",IF(G169&gt;1,"Duplicate key in this source",IF(H169=0,"Missing in other source",IF(H169&gt;1,"Duplicate in other source",IF(SUMIFS('App Data'!$M$2:$M$1001,'App Data'!$L$2:$L$1001,SUBSTITUTE(SUBSTITUTE(SUBSTITUTE(L169,"~","~~"),"*","~*"),"?","~?"))&lt;&gt;1,"Other amount is invalid",IF(J169&lt;&gt;0,"Amount differs","Matched")))))))</x:f>
      </x:c>
      <x:c r="L169" t="str">
        <x:f>IF(COUNTA(A169:F169)=0,"",LEN(A169)&amp;":"&amp;A169&amp;LEN(B169)&amp;":"&amp;B169&amp;LEN(C169)&amp;":"&amp;C169&amp;LEN(D169)&amp;":"&amp;D169)</x:f>
      </x:c>
      <x:c r="M169" t="str">
        <x:f>IF(COUNTA(A169:F169)=0,"",IF(ISNUMBER(E169),1,0))</x:f>
      </x:c>
    </x:row>
    <x:row r="170">
      <x:c r="A170" s="11"/>
      <x:c r="B170" s="11"/>
      <x:c r="C170" s="11"/>
      <x:c r="D170" s="11"/>
      <x:c r="E170" s="12"/>
      <x:c r="F170" s="10"/>
      <x:c r="G170" s="2" t="str">
        <x:f>IF(COUNTA(A170:F170)=0,"",COUNTIFS('External Data'!$L$2:$L$1001,SUBSTITUTE(SUBSTITUTE(SUBSTITUTE(L170,"~","~~"),"*","~*"),"?","~?")))</x:f>
      </x:c>
      <x:c r="H170" s="2" t="str">
        <x:f>IF(COUNTA(A170:F170)=0,"",COUNTIFS('App Data'!$L$2:$L$1001,SUBSTITUTE(SUBSTITUTE(SUBSTITUTE(L170,"~","~~"),"*","~*"),"?","~?")))</x:f>
      </x:c>
      <x:c r="I170" s="13" t="str">
        <x:f>IF(OR(H170&lt;&gt;1,G170&lt;&gt;1),"",SUMIFS('App Data'!$E$2:$E$1001,'App Data'!$L$2:$L$1001,SUBSTITUTE(SUBSTITUTE(SUBSTITUTE(L170,"~","~~"),"*","~*"),"?","~?")))</x:f>
      </x:c>
      <x:c r="J170" s="13" t="str">
        <x:f>IF(OR(NOT(ISNUMBER(E170)),NOT(ISNUMBER(I170))),"",ROUND(E170-I170,2))</x:f>
      </x:c>
      <x:c r="K170" s="2" t="str">
        <x:f>IF(COUNTA(A170:F170)=0,"",IF(OR(A170="",B170="",C170="",D170="",NOT(ISNUMBER(E170))),"Missing / invalid input",IF(G170&gt;1,"Duplicate key in this source",IF(H170=0,"Missing in other source",IF(H170&gt;1,"Duplicate in other source",IF(SUMIFS('App Data'!$M$2:$M$1001,'App Data'!$L$2:$L$1001,SUBSTITUTE(SUBSTITUTE(SUBSTITUTE(L170,"~","~~"),"*","~*"),"?","~?"))&lt;&gt;1,"Other amount is invalid",IF(J170&lt;&gt;0,"Amount differs","Matched")))))))</x:f>
      </x:c>
      <x:c r="L170" t="str">
        <x:f>IF(COUNTA(A170:F170)=0,"",LEN(A170)&amp;":"&amp;A170&amp;LEN(B170)&amp;":"&amp;B170&amp;LEN(C170)&amp;":"&amp;C170&amp;LEN(D170)&amp;":"&amp;D170)</x:f>
      </x:c>
      <x:c r="M170" t="str">
        <x:f>IF(COUNTA(A170:F170)=0,"",IF(ISNUMBER(E170),1,0))</x:f>
      </x:c>
    </x:row>
    <x:row r="171">
      <x:c r="A171" s="11"/>
      <x:c r="B171" s="11"/>
      <x:c r="C171" s="11"/>
      <x:c r="D171" s="11"/>
      <x:c r="E171" s="12"/>
      <x:c r="F171" s="10"/>
      <x:c r="G171" s="2" t="str">
        <x:f>IF(COUNTA(A171:F171)=0,"",COUNTIFS('External Data'!$L$2:$L$1001,SUBSTITUTE(SUBSTITUTE(SUBSTITUTE(L171,"~","~~"),"*","~*"),"?","~?")))</x:f>
      </x:c>
      <x:c r="H171" s="2" t="str">
        <x:f>IF(COUNTA(A171:F171)=0,"",COUNTIFS('App Data'!$L$2:$L$1001,SUBSTITUTE(SUBSTITUTE(SUBSTITUTE(L171,"~","~~"),"*","~*"),"?","~?")))</x:f>
      </x:c>
      <x:c r="I171" s="13" t="str">
        <x:f>IF(OR(H171&lt;&gt;1,G171&lt;&gt;1),"",SUMIFS('App Data'!$E$2:$E$1001,'App Data'!$L$2:$L$1001,SUBSTITUTE(SUBSTITUTE(SUBSTITUTE(L171,"~","~~"),"*","~*"),"?","~?")))</x:f>
      </x:c>
      <x:c r="J171" s="13" t="str">
        <x:f>IF(OR(NOT(ISNUMBER(E171)),NOT(ISNUMBER(I171))),"",ROUND(E171-I171,2))</x:f>
      </x:c>
      <x:c r="K171" s="2" t="str">
        <x:f>IF(COUNTA(A171:F171)=0,"",IF(OR(A171="",B171="",C171="",D171="",NOT(ISNUMBER(E171))),"Missing / invalid input",IF(G171&gt;1,"Duplicate key in this source",IF(H171=0,"Missing in other source",IF(H171&gt;1,"Duplicate in other source",IF(SUMIFS('App Data'!$M$2:$M$1001,'App Data'!$L$2:$L$1001,SUBSTITUTE(SUBSTITUTE(SUBSTITUTE(L171,"~","~~"),"*","~*"),"?","~?"))&lt;&gt;1,"Other amount is invalid",IF(J171&lt;&gt;0,"Amount differs","Matched")))))))</x:f>
      </x:c>
      <x:c r="L171" t="str">
        <x:f>IF(COUNTA(A171:F171)=0,"",LEN(A171)&amp;":"&amp;A171&amp;LEN(B171)&amp;":"&amp;B171&amp;LEN(C171)&amp;":"&amp;C171&amp;LEN(D171)&amp;":"&amp;D171)</x:f>
      </x:c>
      <x:c r="M171" t="str">
        <x:f>IF(COUNTA(A171:F171)=0,"",IF(ISNUMBER(E171),1,0))</x:f>
      </x:c>
    </x:row>
    <x:row r="172">
      <x:c r="A172" s="11"/>
      <x:c r="B172" s="11"/>
      <x:c r="C172" s="11"/>
      <x:c r="D172" s="11"/>
      <x:c r="E172" s="12"/>
      <x:c r="F172" s="10"/>
      <x:c r="G172" s="2" t="str">
        <x:f>IF(COUNTA(A172:F172)=0,"",COUNTIFS('External Data'!$L$2:$L$1001,SUBSTITUTE(SUBSTITUTE(SUBSTITUTE(L172,"~","~~"),"*","~*"),"?","~?")))</x:f>
      </x:c>
      <x:c r="H172" s="2" t="str">
        <x:f>IF(COUNTA(A172:F172)=0,"",COUNTIFS('App Data'!$L$2:$L$1001,SUBSTITUTE(SUBSTITUTE(SUBSTITUTE(L172,"~","~~"),"*","~*"),"?","~?")))</x:f>
      </x:c>
      <x:c r="I172" s="13" t="str">
        <x:f>IF(OR(H172&lt;&gt;1,G172&lt;&gt;1),"",SUMIFS('App Data'!$E$2:$E$1001,'App Data'!$L$2:$L$1001,SUBSTITUTE(SUBSTITUTE(SUBSTITUTE(L172,"~","~~"),"*","~*"),"?","~?")))</x:f>
      </x:c>
      <x:c r="J172" s="13" t="str">
        <x:f>IF(OR(NOT(ISNUMBER(E172)),NOT(ISNUMBER(I172))),"",ROUND(E172-I172,2))</x:f>
      </x:c>
      <x:c r="K172" s="2" t="str">
        <x:f>IF(COUNTA(A172:F172)=0,"",IF(OR(A172="",B172="",C172="",D172="",NOT(ISNUMBER(E172))),"Missing / invalid input",IF(G172&gt;1,"Duplicate key in this source",IF(H172=0,"Missing in other source",IF(H172&gt;1,"Duplicate in other source",IF(SUMIFS('App Data'!$M$2:$M$1001,'App Data'!$L$2:$L$1001,SUBSTITUTE(SUBSTITUTE(SUBSTITUTE(L172,"~","~~"),"*","~*"),"?","~?"))&lt;&gt;1,"Other amount is invalid",IF(J172&lt;&gt;0,"Amount differs","Matched")))))))</x:f>
      </x:c>
      <x:c r="L172" t="str">
        <x:f>IF(COUNTA(A172:F172)=0,"",LEN(A172)&amp;":"&amp;A172&amp;LEN(B172)&amp;":"&amp;B172&amp;LEN(C172)&amp;":"&amp;C172&amp;LEN(D172)&amp;":"&amp;D172)</x:f>
      </x:c>
      <x:c r="M172" t="str">
        <x:f>IF(COUNTA(A172:F172)=0,"",IF(ISNUMBER(E172),1,0))</x:f>
      </x:c>
    </x:row>
    <x:row r="173">
      <x:c r="A173" s="11"/>
      <x:c r="B173" s="11"/>
      <x:c r="C173" s="11"/>
      <x:c r="D173" s="11"/>
      <x:c r="E173" s="12"/>
      <x:c r="F173" s="10"/>
      <x:c r="G173" s="2" t="str">
        <x:f>IF(COUNTA(A173:F173)=0,"",COUNTIFS('External Data'!$L$2:$L$1001,SUBSTITUTE(SUBSTITUTE(SUBSTITUTE(L173,"~","~~"),"*","~*"),"?","~?")))</x:f>
      </x:c>
      <x:c r="H173" s="2" t="str">
        <x:f>IF(COUNTA(A173:F173)=0,"",COUNTIFS('App Data'!$L$2:$L$1001,SUBSTITUTE(SUBSTITUTE(SUBSTITUTE(L173,"~","~~"),"*","~*"),"?","~?")))</x:f>
      </x:c>
      <x:c r="I173" s="13" t="str">
        <x:f>IF(OR(H173&lt;&gt;1,G173&lt;&gt;1),"",SUMIFS('App Data'!$E$2:$E$1001,'App Data'!$L$2:$L$1001,SUBSTITUTE(SUBSTITUTE(SUBSTITUTE(L173,"~","~~"),"*","~*"),"?","~?")))</x:f>
      </x:c>
      <x:c r="J173" s="13" t="str">
        <x:f>IF(OR(NOT(ISNUMBER(E173)),NOT(ISNUMBER(I173))),"",ROUND(E173-I173,2))</x:f>
      </x:c>
      <x:c r="K173" s="2" t="str">
        <x:f>IF(COUNTA(A173:F173)=0,"",IF(OR(A173="",B173="",C173="",D173="",NOT(ISNUMBER(E173))),"Missing / invalid input",IF(G173&gt;1,"Duplicate key in this source",IF(H173=0,"Missing in other source",IF(H173&gt;1,"Duplicate in other source",IF(SUMIFS('App Data'!$M$2:$M$1001,'App Data'!$L$2:$L$1001,SUBSTITUTE(SUBSTITUTE(SUBSTITUTE(L173,"~","~~"),"*","~*"),"?","~?"))&lt;&gt;1,"Other amount is invalid",IF(J173&lt;&gt;0,"Amount differs","Matched")))))))</x:f>
      </x:c>
      <x:c r="L173" t="str">
        <x:f>IF(COUNTA(A173:F173)=0,"",LEN(A173)&amp;":"&amp;A173&amp;LEN(B173)&amp;":"&amp;B173&amp;LEN(C173)&amp;":"&amp;C173&amp;LEN(D173)&amp;":"&amp;D173)</x:f>
      </x:c>
      <x:c r="M173" t="str">
        <x:f>IF(COUNTA(A173:F173)=0,"",IF(ISNUMBER(E173),1,0))</x:f>
      </x:c>
    </x:row>
    <x:row r="174">
      <x:c r="A174" s="11"/>
      <x:c r="B174" s="11"/>
      <x:c r="C174" s="11"/>
      <x:c r="D174" s="11"/>
      <x:c r="E174" s="12"/>
      <x:c r="F174" s="10"/>
      <x:c r="G174" s="2" t="str">
        <x:f>IF(COUNTA(A174:F174)=0,"",COUNTIFS('External Data'!$L$2:$L$1001,SUBSTITUTE(SUBSTITUTE(SUBSTITUTE(L174,"~","~~"),"*","~*"),"?","~?")))</x:f>
      </x:c>
      <x:c r="H174" s="2" t="str">
        <x:f>IF(COUNTA(A174:F174)=0,"",COUNTIFS('App Data'!$L$2:$L$1001,SUBSTITUTE(SUBSTITUTE(SUBSTITUTE(L174,"~","~~"),"*","~*"),"?","~?")))</x:f>
      </x:c>
      <x:c r="I174" s="13" t="str">
        <x:f>IF(OR(H174&lt;&gt;1,G174&lt;&gt;1),"",SUMIFS('App Data'!$E$2:$E$1001,'App Data'!$L$2:$L$1001,SUBSTITUTE(SUBSTITUTE(SUBSTITUTE(L174,"~","~~"),"*","~*"),"?","~?")))</x:f>
      </x:c>
      <x:c r="J174" s="13" t="str">
        <x:f>IF(OR(NOT(ISNUMBER(E174)),NOT(ISNUMBER(I174))),"",ROUND(E174-I174,2))</x:f>
      </x:c>
      <x:c r="K174" s="2" t="str">
        <x:f>IF(COUNTA(A174:F174)=0,"",IF(OR(A174="",B174="",C174="",D174="",NOT(ISNUMBER(E174))),"Missing / invalid input",IF(G174&gt;1,"Duplicate key in this source",IF(H174=0,"Missing in other source",IF(H174&gt;1,"Duplicate in other source",IF(SUMIFS('App Data'!$M$2:$M$1001,'App Data'!$L$2:$L$1001,SUBSTITUTE(SUBSTITUTE(SUBSTITUTE(L174,"~","~~"),"*","~*"),"?","~?"))&lt;&gt;1,"Other amount is invalid",IF(J174&lt;&gt;0,"Amount differs","Matched")))))))</x:f>
      </x:c>
      <x:c r="L174" t="str">
        <x:f>IF(COUNTA(A174:F174)=0,"",LEN(A174)&amp;":"&amp;A174&amp;LEN(B174)&amp;":"&amp;B174&amp;LEN(C174)&amp;":"&amp;C174&amp;LEN(D174)&amp;":"&amp;D174)</x:f>
      </x:c>
      <x:c r="M174" t="str">
        <x:f>IF(COUNTA(A174:F174)=0,"",IF(ISNUMBER(E174),1,0))</x:f>
      </x:c>
    </x:row>
    <x:row r="175">
      <x:c r="A175" s="11"/>
      <x:c r="B175" s="11"/>
      <x:c r="C175" s="11"/>
      <x:c r="D175" s="11"/>
      <x:c r="E175" s="12"/>
      <x:c r="F175" s="10"/>
      <x:c r="G175" s="2" t="str">
        <x:f>IF(COUNTA(A175:F175)=0,"",COUNTIFS('External Data'!$L$2:$L$1001,SUBSTITUTE(SUBSTITUTE(SUBSTITUTE(L175,"~","~~"),"*","~*"),"?","~?")))</x:f>
      </x:c>
      <x:c r="H175" s="2" t="str">
        <x:f>IF(COUNTA(A175:F175)=0,"",COUNTIFS('App Data'!$L$2:$L$1001,SUBSTITUTE(SUBSTITUTE(SUBSTITUTE(L175,"~","~~"),"*","~*"),"?","~?")))</x:f>
      </x:c>
      <x:c r="I175" s="13" t="str">
        <x:f>IF(OR(H175&lt;&gt;1,G175&lt;&gt;1),"",SUMIFS('App Data'!$E$2:$E$1001,'App Data'!$L$2:$L$1001,SUBSTITUTE(SUBSTITUTE(SUBSTITUTE(L175,"~","~~"),"*","~*"),"?","~?")))</x:f>
      </x:c>
      <x:c r="J175" s="13" t="str">
        <x:f>IF(OR(NOT(ISNUMBER(E175)),NOT(ISNUMBER(I175))),"",ROUND(E175-I175,2))</x:f>
      </x:c>
      <x:c r="K175" s="2" t="str">
        <x:f>IF(COUNTA(A175:F175)=0,"",IF(OR(A175="",B175="",C175="",D175="",NOT(ISNUMBER(E175))),"Missing / invalid input",IF(G175&gt;1,"Duplicate key in this source",IF(H175=0,"Missing in other source",IF(H175&gt;1,"Duplicate in other source",IF(SUMIFS('App Data'!$M$2:$M$1001,'App Data'!$L$2:$L$1001,SUBSTITUTE(SUBSTITUTE(SUBSTITUTE(L175,"~","~~"),"*","~*"),"?","~?"))&lt;&gt;1,"Other amount is invalid",IF(J175&lt;&gt;0,"Amount differs","Matched")))))))</x:f>
      </x:c>
      <x:c r="L175" t="str">
        <x:f>IF(COUNTA(A175:F175)=0,"",LEN(A175)&amp;":"&amp;A175&amp;LEN(B175)&amp;":"&amp;B175&amp;LEN(C175)&amp;":"&amp;C175&amp;LEN(D175)&amp;":"&amp;D175)</x:f>
      </x:c>
      <x:c r="M175" t="str">
        <x:f>IF(COUNTA(A175:F175)=0,"",IF(ISNUMBER(E175),1,0))</x:f>
      </x:c>
    </x:row>
    <x:row r="176">
      <x:c r="A176" s="11"/>
      <x:c r="B176" s="11"/>
      <x:c r="C176" s="11"/>
      <x:c r="D176" s="11"/>
      <x:c r="E176" s="12"/>
      <x:c r="F176" s="10"/>
      <x:c r="G176" s="2" t="str">
        <x:f>IF(COUNTA(A176:F176)=0,"",COUNTIFS('External Data'!$L$2:$L$1001,SUBSTITUTE(SUBSTITUTE(SUBSTITUTE(L176,"~","~~"),"*","~*"),"?","~?")))</x:f>
      </x:c>
      <x:c r="H176" s="2" t="str">
        <x:f>IF(COUNTA(A176:F176)=0,"",COUNTIFS('App Data'!$L$2:$L$1001,SUBSTITUTE(SUBSTITUTE(SUBSTITUTE(L176,"~","~~"),"*","~*"),"?","~?")))</x:f>
      </x:c>
      <x:c r="I176" s="13" t="str">
        <x:f>IF(OR(H176&lt;&gt;1,G176&lt;&gt;1),"",SUMIFS('App Data'!$E$2:$E$1001,'App Data'!$L$2:$L$1001,SUBSTITUTE(SUBSTITUTE(SUBSTITUTE(L176,"~","~~"),"*","~*"),"?","~?")))</x:f>
      </x:c>
      <x:c r="J176" s="13" t="str">
        <x:f>IF(OR(NOT(ISNUMBER(E176)),NOT(ISNUMBER(I176))),"",ROUND(E176-I176,2))</x:f>
      </x:c>
      <x:c r="K176" s="2" t="str">
        <x:f>IF(COUNTA(A176:F176)=0,"",IF(OR(A176="",B176="",C176="",D176="",NOT(ISNUMBER(E176))),"Missing / invalid input",IF(G176&gt;1,"Duplicate key in this source",IF(H176=0,"Missing in other source",IF(H176&gt;1,"Duplicate in other source",IF(SUMIFS('App Data'!$M$2:$M$1001,'App Data'!$L$2:$L$1001,SUBSTITUTE(SUBSTITUTE(SUBSTITUTE(L176,"~","~~"),"*","~*"),"?","~?"))&lt;&gt;1,"Other amount is invalid",IF(J176&lt;&gt;0,"Amount differs","Matched")))))))</x:f>
      </x:c>
      <x:c r="L176" t="str">
        <x:f>IF(COUNTA(A176:F176)=0,"",LEN(A176)&amp;":"&amp;A176&amp;LEN(B176)&amp;":"&amp;B176&amp;LEN(C176)&amp;":"&amp;C176&amp;LEN(D176)&amp;":"&amp;D176)</x:f>
      </x:c>
      <x:c r="M176" t="str">
        <x:f>IF(COUNTA(A176:F176)=0,"",IF(ISNUMBER(E176),1,0))</x:f>
      </x:c>
    </x:row>
    <x:row r="177">
      <x:c r="A177" s="11"/>
      <x:c r="B177" s="11"/>
      <x:c r="C177" s="11"/>
      <x:c r="D177" s="11"/>
      <x:c r="E177" s="12"/>
      <x:c r="F177" s="10"/>
      <x:c r="G177" s="2" t="str">
        <x:f>IF(COUNTA(A177:F177)=0,"",COUNTIFS('External Data'!$L$2:$L$1001,SUBSTITUTE(SUBSTITUTE(SUBSTITUTE(L177,"~","~~"),"*","~*"),"?","~?")))</x:f>
      </x:c>
      <x:c r="H177" s="2" t="str">
        <x:f>IF(COUNTA(A177:F177)=0,"",COUNTIFS('App Data'!$L$2:$L$1001,SUBSTITUTE(SUBSTITUTE(SUBSTITUTE(L177,"~","~~"),"*","~*"),"?","~?")))</x:f>
      </x:c>
      <x:c r="I177" s="13" t="str">
        <x:f>IF(OR(H177&lt;&gt;1,G177&lt;&gt;1),"",SUMIFS('App Data'!$E$2:$E$1001,'App Data'!$L$2:$L$1001,SUBSTITUTE(SUBSTITUTE(SUBSTITUTE(L177,"~","~~"),"*","~*"),"?","~?")))</x:f>
      </x:c>
      <x:c r="J177" s="13" t="str">
        <x:f>IF(OR(NOT(ISNUMBER(E177)),NOT(ISNUMBER(I177))),"",ROUND(E177-I177,2))</x:f>
      </x:c>
      <x:c r="K177" s="2" t="str">
        <x:f>IF(COUNTA(A177:F177)=0,"",IF(OR(A177="",B177="",C177="",D177="",NOT(ISNUMBER(E177))),"Missing / invalid input",IF(G177&gt;1,"Duplicate key in this source",IF(H177=0,"Missing in other source",IF(H177&gt;1,"Duplicate in other source",IF(SUMIFS('App Data'!$M$2:$M$1001,'App Data'!$L$2:$L$1001,SUBSTITUTE(SUBSTITUTE(SUBSTITUTE(L177,"~","~~"),"*","~*"),"?","~?"))&lt;&gt;1,"Other amount is invalid",IF(J177&lt;&gt;0,"Amount differs","Matched")))))))</x:f>
      </x:c>
      <x:c r="L177" t="str">
        <x:f>IF(COUNTA(A177:F177)=0,"",LEN(A177)&amp;":"&amp;A177&amp;LEN(B177)&amp;":"&amp;B177&amp;LEN(C177)&amp;":"&amp;C177&amp;LEN(D177)&amp;":"&amp;D177)</x:f>
      </x:c>
      <x:c r="M177" t="str">
        <x:f>IF(COUNTA(A177:F177)=0,"",IF(ISNUMBER(E177),1,0))</x:f>
      </x:c>
    </x:row>
    <x:row r="178">
      <x:c r="A178" s="11"/>
      <x:c r="B178" s="11"/>
      <x:c r="C178" s="11"/>
      <x:c r="D178" s="11"/>
      <x:c r="E178" s="12"/>
      <x:c r="F178" s="10"/>
      <x:c r="G178" s="2" t="str">
        <x:f>IF(COUNTA(A178:F178)=0,"",COUNTIFS('External Data'!$L$2:$L$1001,SUBSTITUTE(SUBSTITUTE(SUBSTITUTE(L178,"~","~~"),"*","~*"),"?","~?")))</x:f>
      </x:c>
      <x:c r="H178" s="2" t="str">
        <x:f>IF(COUNTA(A178:F178)=0,"",COUNTIFS('App Data'!$L$2:$L$1001,SUBSTITUTE(SUBSTITUTE(SUBSTITUTE(L178,"~","~~"),"*","~*"),"?","~?")))</x:f>
      </x:c>
      <x:c r="I178" s="13" t="str">
        <x:f>IF(OR(H178&lt;&gt;1,G178&lt;&gt;1),"",SUMIFS('App Data'!$E$2:$E$1001,'App Data'!$L$2:$L$1001,SUBSTITUTE(SUBSTITUTE(SUBSTITUTE(L178,"~","~~"),"*","~*"),"?","~?")))</x:f>
      </x:c>
      <x:c r="J178" s="13" t="str">
        <x:f>IF(OR(NOT(ISNUMBER(E178)),NOT(ISNUMBER(I178))),"",ROUND(E178-I178,2))</x:f>
      </x:c>
      <x:c r="K178" s="2" t="str">
        <x:f>IF(COUNTA(A178:F178)=0,"",IF(OR(A178="",B178="",C178="",D178="",NOT(ISNUMBER(E178))),"Missing / invalid input",IF(G178&gt;1,"Duplicate key in this source",IF(H178=0,"Missing in other source",IF(H178&gt;1,"Duplicate in other source",IF(SUMIFS('App Data'!$M$2:$M$1001,'App Data'!$L$2:$L$1001,SUBSTITUTE(SUBSTITUTE(SUBSTITUTE(L178,"~","~~"),"*","~*"),"?","~?"))&lt;&gt;1,"Other amount is invalid",IF(J178&lt;&gt;0,"Amount differs","Matched")))))))</x:f>
      </x:c>
      <x:c r="L178" t="str">
        <x:f>IF(COUNTA(A178:F178)=0,"",LEN(A178)&amp;":"&amp;A178&amp;LEN(B178)&amp;":"&amp;B178&amp;LEN(C178)&amp;":"&amp;C178&amp;LEN(D178)&amp;":"&amp;D178)</x:f>
      </x:c>
      <x:c r="M178" t="str">
        <x:f>IF(COUNTA(A178:F178)=0,"",IF(ISNUMBER(E178),1,0))</x:f>
      </x:c>
    </x:row>
    <x:row r="179">
      <x:c r="A179" s="11"/>
      <x:c r="B179" s="11"/>
      <x:c r="C179" s="11"/>
      <x:c r="D179" s="11"/>
      <x:c r="E179" s="12"/>
      <x:c r="F179" s="10"/>
      <x:c r="G179" s="2" t="str">
        <x:f>IF(COUNTA(A179:F179)=0,"",COUNTIFS('External Data'!$L$2:$L$1001,SUBSTITUTE(SUBSTITUTE(SUBSTITUTE(L179,"~","~~"),"*","~*"),"?","~?")))</x:f>
      </x:c>
      <x:c r="H179" s="2" t="str">
        <x:f>IF(COUNTA(A179:F179)=0,"",COUNTIFS('App Data'!$L$2:$L$1001,SUBSTITUTE(SUBSTITUTE(SUBSTITUTE(L179,"~","~~"),"*","~*"),"?","~?")))</x:f>
      </x:c>
      <x:c r="I179" s="13" t="str">
        <x:f>IF(OR(H179&lt;&gt;1,G179&lt;&gt;1),"",SUMIFS('App Data'!$E$2:$E$1001,'App Data'!$L$2:$L$1001,SUBSTITUTE(SUBSTITUTE(SUBSTITUTE(L179,"~","~~"),"*","~*"),"?","~?")))</x:f>
      </x:c>
      <x:c r="J179" s="13" t="str">
        <x:f>IF(OR(NOT(ISNUMBER(E179)),NOT(ISNUMBER(I179))),"",ROUND(E179-I179,2))</x:f>
      </x:c>
      <x:c r="K179" s="2" t="str">
        <x:f>IF(COUNTA(A179:F179)=0,"",IF(OR(A179="",B179="",C179="",D179="",NOT(ISNUMBER(E179))),"Missing / invalid input",IF(G179&gt;1,"Duplicate key in this source",IF(H179=0,"Missing in other source",IF(H179&gt;1,"Duplicate in other source",IF(SUMIFS('App Data'!$M$2:$M$1001,'App Data'!$L$2:$L$1001,SUBSTITUTE(SUBSTITUTE(SUBSTITUTE(L179,"~","~~"),"*","~*"),"?","~?"))&lt;&gt;1,"Other amount is invalid",IF(J179&lt;&gt;0,"Amount differs","Matched")))))))</x:f>
      </x:c>
      <x:c r="L179" t="str">
        <x:f>IF(COUNTA(A179:F179)=0,"",LEN(A179)&amp;":"&amp;A179&amp;LEN(B179)&amp;":"&amp;B179&amp;LEN(C179)&amp;":"&amp;C179&amp;LEN(D179)&amp;":"&amp;D179)</x:f>
      </x:c>
      <x:c r="M179" t="str">
        <x:f>IF(COUNTA(A179:F179)=0,"",IF(ISNUMBER(E179),1,0))</x:f>
      </x:c>
    </x:row>
    <x:row r="180">
      <x:c r="A180" s="11"/>
      <x:c r="B180" s="11"/>
      <x:c r="C180" s="11"/>
      <x:c r="D180" s="11"/>
      <x:c r="E180" s="12"/>
      <x:c r="F180" s="10"/>
      <x:c r="G180" s="2" t="str">
        <x:f>IF(COUNTA(A180:F180)=0,"",COUNTIFS('External Data'!$L$2:$L$1001,SUBSTITUTE(SUBSTITUTE(SUBSTITUTE(L180,"~","~~"),"*","~*"),"?","~?")))</x:f>
      </x:c>
      <x:c r="H180" s="2" t="str">
        <x:f>IF(COUNTA(A180:F180)=0,"",COUNTIFS('App Data'!$L$2:$L$1001,SUBSTITUTE(SUBSTITUTE(SUBSTITUTE(L180,"~","~~"),"*","~*"),"?","~?")))</x:f>
      </x:c>
      <x:c r="I180" s="13" t="str">
        <x:f>IF(OR(H180&lt;&gt;1,G180&lt;&gt;1),"",SUMIFS('App Data'!$E$2:$E$1001,'App Data'!$L$2:$L$1001,SUBSTITUTE(SUBSTITUTE(SUBSTITUTE(L180,"~","~~"),"*","~*"),"?","~?")))</x:f>
      </x:c>
      <x:c r="J180" s="13" t="str">
        <x:f>IF(OR(NOT(ISNUMBER(E180)),NOT(ISNUMBER(I180))),"",ROUND(E180-I180,2))</x:f>
      </x:c>
      <x:c r="K180" s="2" t="str">
        <x:f>IF(COUNTA(A180:F180)=0,"",IF(OR(A180="",B180="",C180="",D180="",NOT(ISNUMBER(E180))),"Missing / invalid input",IF(G180&gt;1,"Duplicate key in this source",IF(H180=0,"Missing in other source",IF(H180&gt;1,"Duplicate in other source",IF(SUMIFS('App Data'!$M$2:$M$1001,'App Data'!$L$2:$L$1001,SUBSTITUTE(SUBSTITUTE(SUBSTITUTE(L180,"~","~~"),"*","~*"),"?","~?"))&lt;&gt;1,"Other amount is invalid",IF(J180&lt;&gt;0,"Amount differs","Matched")))))))</x:f>
      </x:c>
      <x:c r="L180" t="str">
        <x:f>IF(COUNTA(A180:F180)=0,"",LEN(A180)&amp;":"&amp;A180&amp;LEN(B180)&amp;":"&amp;B180&amp;LEN(C180)&amp;":"&amp;C180&amp;LEN(D180)&amp;":"&amp;D180)</x:f>
      </x:c>
      <x:c r="M180" t="str">
        <x:f>IF(COUNTA(A180:F180)=0,"",IF(ISNUMBER(E180),1,0))</x:f>
      </x:c>
    </x:row>
    <x:row r="181">
      <x:c r="A181" s="11"/>
      <x:c r="B181" s="11"/>
      <x:c r="C181" s="11"/>
      <x:c r="D181" s="11"/>
      <x:c r="E181" s="12"/>
      <x:c r="F181" s="10"/>
      <x:c r="G181" s="2" t="str">
        <x:f>IF(COUNTA(A181:F181)=0,"",COUNTIFS('External Data'!$L$2:$L$1001,SUBSTITUTE(SUBSTITUTE(SUBSTITUTE(L181,"~","~~"),"*","~*"),"?","~?")))</x:f>
      </x:c>
      <x:c r="H181" s="2" t="str">
        <x:f>IF(COUNTA(A181:F181)=0,"",COUNTIFS('App Data'!$L$2:$L$1001,SUBSTITUTE(SUBSTITUTE(SUBSTITUTE(L181,"~","~~"),"*","~*"),"?","~?")))</x:f>
      </x:c>
      <x:c r="I181" s="13" t="str">
        <x:f>IF(OR(H181&lt;&gt;1,G181&lt;&gt;1),"",SUMIFS('App Data'!$E$2:$E$1001,'App Data'!$L$2:$L$1001,SUBSTITUTE(SUBSTITUTE(SUBSTITUTE(L181,"~","~~"),"*","~*"),"?","~?")))</x:f>
      </x:c>
      <x:c r="J181" s="13" t="str">
        <x:f>IF(OR(NOT(ISNUMBER(E181)),NOT(ISNUMBER(I181))),"",ROUND(E181-I181,2))</x:f>
      </x:c>
      <x:c r="K181" s="2" t="str">
        <x:f>IF(COUNTA(A181:F181)=0,"",IF(OR(A181="",B181="",C181="",D181="",NOT(ISNUMBER(E181))),"Missing / invalid input",IF(G181&gt;1,"Duplicate key in this source",IF(H181=0,"Missing in other source",IF(H181&gt;1,"Duplicate in other source",IF(SUMIFS('App Data'!$M$2:$M$1001,'App Data'!$L$2:$L$1001,SUBSTITUTE(SUBSTITUTE(SUBSTITUTE(L181,"~","~~"),"*","~*"),"?","~?"))&lt;&gt;1,"Other amount is invalid",IF(J181&lt;&gt;0,"Amount differs","Matched")))))))</x:f>
      </x:c>
      <x:c r="L181" t="str">
        <x:f>IF(COUNTA(A181:F181)=0,"",LEN(A181)&amp;":"&amp;A181&amp;LEN(B181)&amp;":"&amp;B181&amp;LEN(C181)&amp;":"&amp;C181&amp;LEN(D181)&amp;":"&amp;D181)</x:f>
      </x:c>
      <x:c r="M181" t="str">
        <x:f>IF(COUNTA(A181:F181)=0,"",IF(ISNUMBER(E181),1,0))</x:f>
      </x:c>
    </x:row>
    <x:row r="182">
      <x:c r="A182" s="11"/>
      <x:c r="B182" s="11"/>
      <x:c r="C182" s="11"/>
      <x:c r="D182" s="11"/>
      <x:c r="E182" s="12"/>
      <x:c r="F182" s="10"/>
      <x:c r="G182" s="2" t="str">
        <x:f>IF(COUNTA(A182:F182)=0,"",COUNTIFS('External Data'!$L$2:$L$1001,SUBSTITUTE(SUBSTITUTE(SUBSTITUTE(L182,"~","~~"),"*","~*"),"?","~?")))</x:f>
      </x:c>
      <x:c r="H182" s="2" t="str">
        <x:f>IF(COUNTA(A182:F182)=0,"",COUNTIFS('App Data'!$L$2:$L$1001,SUBSTITUTE(SUBSTITUTE(SUBSTITUTE(L182,"~","~~"),"*","~*"),"?","~?")))</x:f>
      </x:c>
      <x:c r="I182" s="13" t="str">
        <x:f>IF(OR(H182&lt;&gt;1,G182&lt;&gt;1),"",SUMIFS('App Data'!$E$2:$E$1001,'App Data'!$L$2:$L$1001,SUBSTITUTE(SUBSTITUTE(SUBSTITUTE(L182,"~","~~"),"*","~*"),"?","~?")))</x:f>
      </x:c>
      <x:c r="J182" s="13" t="str">
        <x:f>IF(OR(NOT(ISNUMBER(E182)),NOT(ISNUMBER(I182))),"",ROUND(E182-I182,2))</x:f>
      </x:c>
      <x:c r="K182" s="2" t="str">
        <x:f>IF(COUNTA(A182:F182)=0,"",IF(OR(A182="",B182="",C182="",D182="",NOT(ISNUMBER(E182))),"Missing / invalid input",IF(G182&gt;1,"Duplicate key in this source",IF(H182=0,"Missing in other source",IF(H182&gt;1,"Duplicate in other source",IF(SUMIFS('App Data'!$M$2:$M$1001,'App Data'!$L$2:$L$1001,SUBSTITUTE(SUBSTITUTE(SUBSTITUTE(L182,"~","~~"),"*","~*"),"?","~?"))&lt;&gt;1,"Other amount is invalid",IF(J182&lt;&gt;0,"Amount differs","Matched")))))))</x:f>
      </x:c>
      <x:c r="L182" t="str">
        <x:f>IF(COUNTA(A182:F182)=0,"",LEN(A182)&amp;":"&amp;A182&amp;LEN(B182)&amp;":"&amp;B182&amp;LEN(C182)&amp;":"&amp;C182&amp;LEN(D182)&amp;":"&amp;D182)</x:f>
      </x:c>
      <x:c r="M182" t="str">
        <x:f>IF(COUNTA(A182:F182)=0,"",IF(ISNUMBER(E182),1,0))</x:f>
      </x:c>
    </x:row>
    <x:row r="183">
      <x:c r="A183" s="11"/>
      <x:c r="B183" s="11"/>
      <x:c r="C183" s="11"/>
      <x:c r="D183" s="11"/>
      <x:c r="E183" s="12"/>
      <x:c r="F183" s="10"/>
      <x:c r="G183" s="2" t="str">
        <x:f>IF(COUNTA(A183:F183)=0,"",COUNTIFS('External Data'!$L$2:$L$1001,SUBSTITUTE(SUBSTITUTE(SUBSTITUTE(L183,"~","~~"),"*","~*"),"?","~?")))</x:f>
      </x:c>
      <x:c r="H183" s="2" t="str">
        <x:f>IF(COUNTA(A183:F183)=0,"",COUNTIFS('App Data'!$L$2:$L$1001,SUBSTITUTE(SUBSTITUTE(SUBSTITUTE(L183,"~","~~"),"*","~*"),"?","~?")))</x:f>
      </x:c>
      <x:c r="I183" s="13" t="str">
        <x:f>IF(OR(H183&lt;&gt;1,G183&lt;&gt;1),"",SUMIFS('App Data'!$E$2:$E$1001,'App Data'!$L$2:$L$1001,SUBSTITUTE(SUBSTITUTE(SUBSTITUTE(L183,"~","~~"),"*","~*"),"?","~?")))</x:f>
      </x:c>
      <x:c r="J183" s="13" t="str">
        <x:f>IF(OR(NOT(ISNUMBER(E183)),NOT(ISNUMBER(I183))),"",ROUND(E183-I183,2))</x:f>
      </x:c>
      <x:c r="K183" s="2" t="str">
        <x:f>IF(COUNTA(A183:F183)=0,"",IF(OR(A183="",B183="",C183="",D183="",NOT(ISNUMBER(E183))),"Missing / invalid input",IF(G183&gt;1,"Duplicate key in this source",IF(H183=0,"Missing in other source",IF(H183&gt;1,"Duplicate in other source",IF(SUMIFS('App Data'!$M$2:$M$1001,'App Data'!$L$2:$L$1001,SUBSTITUTE(SUBSTITUTE(SUBSTITUTE(L183,"~","~~"),"*","~*"),"?","~?"))&lt;&gt;1,"Other amount is invalid",IF(J183&lt;&gt;0,"Amount differs","Matched")))))))</x:f>
      </x:c>
      <x:c r="L183" t="str">
        <x:f>IF(COUNTA(A183:F183)=0,"",LEN(A183)&amp;":"&amp;A183&amp;LEN(B183)&amp;":"&amp;B183&amp;LEN(C183)&amp;":"&amp;C183&amp;LEN(D183)&amp;":"&amp;D183)</x:f>
      </x:c>
      <x:c r="M183" t="str">
        <x:f>IF(COUNTA(A183:F183)=0,"",IF(ISNUMBER(E183),1,0))</x:f>
      </x:c>
    </x:row>
    <x:row r="184">
      <x:c r="A184" s="11"/>
      <x:c r="B184" s="11"/>
      <x:c r="C184" s="11"/>
      <x:c r="D184" s="11"/>
      <x:c r="E184" s="12"/>
      <x:c r="F184" s="10"/>
      <x:c r="G184" s="2" t="str">
        <x:f>IF(COUNTA(A184:F184)=0,"",COUNTIFS('External Data'!$L$2:$L$1001,SUBSTITUTE(SUBSTITUTE(SUBSTITUTE(L184,"~","~~"),"*","~*"),"?","~?")))</x:f>
      </x:c>
      <x:c r="H184" s="2" t="str">
        <x:f>IF(COUNTA(A184:F184)=0,"",COUNTIFS('App Data'!$L$2:$L$1001,SUBSTITUTE(SUBSTITUTE(SUBSTITUTE(L184,"~","~~"),"*","~*"),"?","~?")))</x:f>
      </x:c>
      <x:c r="I184" s="13" t="str">
        <x:f>IF(OR(H184&lt;&gt;1,G184&lt;&gt;1),"",SUMIFS('App Data'!$E$2:$E$1001,'App Data'!$L$2:$L$1001,SUBSTITUTE(SUBSTITUTE(SUBSTITUTE(L184,"~","~~"),"*","~*"),"?","~?")))</x:f>
      </x:c>
      <x:c r="J184" s="13" t="str">
        <x:f>IF(OR(NOT(ISNUMBER(E184)),NOT(ISNUMBER(I184))),"",ROUND(E184-I184,2))</x:f>
      </x:c>
      <x:c r="K184" s="2" t="str">
        <x:f>IF(COUNTA(A184:F184)=0,"",IF(OR(A184="",B184="",C184="",D184="",NOT(ISNUMBER(E184))),"Missing / invalid input",IF(G184&gt;1,"Duplicate key in this source",IF(H184=0,"Missing in other source",IF(H184&gt;1,"Duplicate in other source",IF(SUMIFS('App Data'!$M$2:$M$1001,'App Data'!$L$2:$L$1001,SUBSTITUTE(SUBSTITUTE(SUBSTITUTE(L184,"~","~~"),"*","~*"),"?","~?"))&lt;&gt;1,"Other amount is invalid",IF(J184&lt;&gt;0,"Amount differs","Matched")))))))</x:f>
      </x:c>
      <x:c r="L184" t="str">
        <x:f>IF(COUNTA(A184:F184)=0,"",LEN(A184)&amp;":"&amp;A184&amp;LEN(B184)&amp;":"&amp;B184&amp;LEN(C184)&amp;":"&amp;C184&amp;LEN(D184)&amp;":"&amp;D184)</x:f>
      </x:c>
      <x:c r="M184" t="str">
        <x:f>IF(COUNTA(A184:F184)=0,"",IF(ISNUMBER(E184),1,0))</x:f>
      </x:c>
    </x:row>
    <x:row r="185">
      <x:c r="A185" s="11"/>
      <x:c r="B185" s="11"/>
      <x:c r="C185" s="11"/>
      <x:c r="D185" s="11"/>
      <x:c r="E185" s="12"/>
      <x:c r="F185" s="10"/>
      <x:c r="G185" s="2" t="str">
        <x:f>IF(COUNTA(A185:F185)=0,"",COUNTIFS('External Data'!$L$2:$L$1001,SUBSTITUTE(SUBSTITUTE(SUBSTITUTE(L185,"~","~~"),"*","~*"),"?","~?")))</x:f>
      </x:c>
      <x:c r="H185" s="2" t="str">
        <x:f>IF(COUNTA(A185:F185)=0,"",COUNTIFS('App Data'!$L$2:$L$1001,SUBSTITUTE(SUBSTITUTE(SUBSTITUTE(L185,"~","~~"),"*","~*"),"?","~?")))</x:f>
      </x:c>
      <x:c r="I185" s="13" t="str">
        <x:f>IF(OR(H185&lt;&gt;1,G185&lt;&gt;1),"",SUMIFS('App Data'!$E$2:$E$1001,'App Data'!$L$2:$L$1001,SUBSTITUTE(SUBSTITUTE(SUBSTITUTE(L185,"~","~~"),"*","~*"),"?","~?")))</x:f>
      </x:c>
      <x:c r="J185" s="13" t="str">
        <x:f>IF(OR(NOT(ISNUMBER(E185)),NOT(ISNUMBER(I185))),"",ROUND(E185-I185,2))</x:f>
      </x:c>
      <x:c r="K185" s="2" t="str">
        <x:f>IF(COUNTA(A185:F185)=0,"",IF(OR(A185="",B185="",C185="",D185="",NOT(ISNUMBER(E185))),"Missing / invalid input",IF(G185&gt;1,"Duplicate key in this source",IF(H185=0,"Missing in other source",IF(H185&gt;1,"Duplicate in other source",IF(SUMIFS('App Data'!$M$2:$M$1001,'App Data'!$L$2:$L$1001,SUBSTITUTE(SUBSTITUTE(SUBSTITUTE(L185,"~","~~"),"*","~*"),"?","~?"))&lt;&gt;1,"Other amount is invalid",IF(J185&lt;&gt;0,"Amount differs","Matched")))))))</x:f>
      </x:c>
      <x:c r="L185" t="str">
        <x:f>IF(COUNTA(A185:F185)=0,"",LEN(A185)&amp;":"&amp;A185&amp;LEN(B185)&amp;":"&amp;B185&amp;LEN(C185)&amp;":"&amp;C185&amp;LEN(D185)&amp;":"&amp;D185)</x:f>
      </x:c>
      <x:c r="M185" t="str">
        <x:f>IF(COUNTA(A185:F185)=0,"",IF(ISNUMBER(E185),1,0))</x:f>
      </x:c>
    </x:row>
    <x:row r="186">
      <x:c r="A186" s="11"/>
      <x:c r="B186" s="11"/>
      <x:c r="C186" s="11"/>
      <x:c r="D186" s="11"/>
      <x:c r="E186" s="12"/>
      <x:c r="F186" s="10"/>
      <x:c r="G186" s="2" t="str">
        <x:f>IF(COUNTA(A186:F186)=0,"",COUNTIFS('External Data'!$L$2:$L$1001,SUBSTITUTE(SUBSTITUTE(SUBSTITUTE(L186,"~","~~"),"*","~*"),"?","~?")))</x:f>
      </x:c>
      <x:c r="H186" s="2" t="str">
        <x:f>IF(COUNTA(A186:F186)=0,"",COUNTIFS('App Data'!$L$2:$L$1001,SUBSTITUTE(SUBSTITUTE(SUBSTITUTE(L186,"~","~~"),"*","~*"),"?","~?")))</x:f>
      </x:c>
      <x:c r="I186" s="13" t="str">
        <x:f>IF(OR(H186&lt;&gt;1,G186&lt;&gt;1),"",SUMIFS('App Data'!$E$2:$E$1001,'App Data'!$L$2:$L$1001,SUBSTITUTE(SUBSTITUTE(SUBSTITUTE(L186,"~","~~"),"*","~*"),"?","~?")))</x:f>
      </x:c>
      <x:c r="J186" s="13" t="str">
        <x:f>IF(OR(NOT(ISNUMBER(E186)),NOT(ISNUMBER(I186))),"",ROUND(E186-I186,2))</x:f>
      </x:c>
      <x:c r="K186" s="2" t="str">
        <x:f>IF(COUNTA(A186:F186)=0,"",IF(OR(A186="",B186="",C186="",D186="",NOT(ISNUMBER(E186))),"Missing / invalid input",IF(G186&gt;1,"Duplicate key in this source",IF(H186=0,"Missing in other source",IF(H186&gt;1,"Duplicate in other source",IF(SUMIFS('App Data'!$M$2:$M$1001,'App Data'!$L$2:$L$1001,SUBSTITUTE(SUBSTITUTE(SUBSTITUTE(L186,"~","~~"),"*","~*"),"?","~?"))&lt;&gt;1,"Other amount is invalid",IF(J186&lt;&gt;0,"Amount differs","Matched")))))))</x:f>
      </x:c>
      <x:c r="L186" t="str">
        <x:f>IF(COUNTA(A186:F186)=0,"",LEN(A186)&amp;":"&amp;A186&amp;LEN(B186)&amp;":"&amp;B186&amp;LEN(C186)&amp;":"&amp;C186&amp;LEN(D186)&amp;":"&amp;D186)</x:f>
      </x:c>
      <x:c r="M186" t="str">
        <x:f>IF(COUNTA(A186:F186)=0,"",IF(ISNUMBER(E186),1,0))</x:f>
      </x:c>
    </x:row>
    <x:row r="187">
      <x:c r="A187" s="11"/>
      <x:c r="B187" s="11"/>
      <x:c r="C187" s="11"/>
      <x:c r="D187" s="11"/>
      <x:c r="E187" s="12"/>
      <x:c r="F187" s="10"/>
      <x:c r="G187" s="2" t="str">
        <x:f>IF(COUNTA(A187:F187)=0,"",COUNTIFS('External Data'!$L$2:$L$1001,SUBSTITUTE(SUBSTITUTE(SUBSTITUTE(L187,"~","~~"),"*","~*"),"?","~?")))</x:f>
      </x:c>
      <x:c r="H187" s="2" t="str">
        <x:f>IF(COUNTA(A187:F187)=0,"",COUNTIFS('App Data'!$L$2:$L$1001,SUBSTITUTE(SUBSTITUTE(SUBSTITUTE(L187,"~","~~"),"*","~*"),"?","~?")))</x:f>
      </x:c>
      <x:c r="I187" s="13" t="str">
        <x:f>IF(OR(H187&lt;&gt;1,G187&lt;&gt;1),"",SUMIFS('App Data'!$E$2:$E$1001,'App Data'!$L$2:$L$1001,SUBSTITUTE(SUBSTITUTE(SUBSTITUTE(L187,"~","~~"),"*","~*"),"?","~?")))</x:f>
      </x:c>
      <x:c r="J187" s="13" t="str">
        <x:f>IF(OR(NOT(ISNUMBER(E187)),NOT(ISNUMBER(I187))),"",ROUND(E187-I187,2))</x:f>
      </x:c>
      <x:c r="K187" s="2" t="str">
        <x:f>IF(COUNTA(A187:F187)=0,"",IF(OR(A187="",B187="",C187="",D187="",NOT(ISNUMBER(E187))),"Missing / invalid input",IF(G187&gt;1,"Duplicate key in this source",IF(H187=0,"Missing in other source",IF(H187&gt;1,"Duplicate in other source",IF(SUMIFS('App Data'!$M$2:$M$1001,'App Data'!$L$2:$L$1001,SUBSTITUTE(SUBSTITUTE(SUBSTITUTE(L187,"~","~~"),"*","~*"),"?","~?"))&lt;&gt;1,"Other amount is invalid",IF(J187&lt;&gt;0,"Amount differs","Matched")))))))</x:f>
      </x:c>
      <x:c r="L187" t="str">
        <x:f>IF(COUNTA(A187:F187)=0,"",LEN(A187)&amp;":"&amp;A187&amp;LEN(B187)&amp;":"&amp;B187&amp;LEN(C187)&amp;":"&amp;C187&amp;LEN(D187)&amp;":"&amp;D187)</x:f>
      </x:c>
      <x:c r="M187" t="str">
        <x:f>IF(COUNTA(A187:F187)=0,"",IF(ISNUMBER(E187),1,0))</x:f>
      </x:c>
    </x:row>
    <x:row r="188">
      <x:c r="A188" s="11"/>
      <x:c r="B188" s="11"/>
      <x:c r="C188" s="11"/>
      <x:c r="D188" s="11"/>
      <x:c r="E188" s="12"/>
      <x:c r="F188" s="10"/>
      <x:c r="G188" s="2" t="str">
        <x:f>IF(COUNTA(A188:F188)=0,"",COUNTIFS('External Data'!$L$2:$L$1001,SUBSTITUTE(SUBSTITUTE(SUBSTITUTE(L188,"~","~~"),"*","~*"),"?","~?")))</x:f>
      </x:c>
      <x:c r="H188" s="2" t="str">
        <x:f>IF(COUNTA(A188:F188)=0,"",COUNTIFS('App Data'!$L$2:$L$1001,SUBSTITUTE(SUBSTITUTE(SUBSTITUTE(L188,"~","~~"),"*","~*"),"?","~?")))</x:f>
      </x:c>
      <x:c r="I188" s="13" t="str">
        <x:f>IF(OR(H188&lt;&gt;1,G188&lt;&gt;1),"",SUMIFS('App Data'!$E$2:$E$1001,'App Data'!$L$2:$L$1001,SUBSTITUTE(SUBSTITUTE(SUBSTITUTE(L188,"~","~~"),"*","~*"),"?","~?")))</x:f>
      </x:c>
      <x:c r="J188" s="13" t="str">
        <x:f>IF(OR(NOT(ISNUMBER(E188)),NOT(ISNUMBER(I188))),"",ROUND(E188-I188,2))</x:f>
      </x:c>
      <x:c r="K188" s="2" t="str">
        <x:f>IF(COUNTA(A188:F188)=0,"",IF(OR(A188="",B188="",C188="",D188="",NOT(ISNUMBER(E188))),"Missing / invalid input",IF(G188&gt;1,"Duplicate key in this source",IF(H188=0,"Missing in other source",IF(H188&gt;1,"Duplicate in other source",IF(SUMIFS('App Data'!$M$2:$M$1001,'App Data'!$L$2:$L$1001,SUBSTITUTE(SUBSTITUTE(SUBSTITUTE(L188,"~","~~"),"*","~*"),"?","~?"))&lt;&gt;1,"Other amount is invalid",IF(J188&lt;&gt;0,"Amount differs","Matched")))))))</x:f>
      </x:c>
      <x:c r="L188" t="str">
        <x:f>IF(COUNTA(A188:F188)=0,"",LEN(A188)&amp;":"&amp;A188&amp;LEN(B188)&amp;":"&amp;B188&amp;LEN(C188)&amp;":"&amp;C188&amp;LEN(D188)&amp;":"&amp;D188)</x:f>
      </x:c>
      <x:c r="M188" t="str">
        <x:f>IF(COUNTA(A188:F188)=0,"",IF(ISNUMBER(E188),1,0))</x:f>
      </x:c>
    </x:row>
    <x:row r="189">
      <x:c r="A189" s="11"/>
      <x:c r="B189" s="11"/>
      <x:c r="C189" s="11"/>
      <x:c r="D189" s="11"/>
      <x:c r="E189" s="12"/>
      <x:c r="F189" s="10"/>
      <x:c r="G189" s="2" t="str">
        <x:f>IF(COUNTA(A189:F189)=0,"",COUNTIFS('External Data'!$L$2:$L$1001,SUBSTITUTE(SUBSTITUTE(SUBSTITUTE(L189,"~","~~"),"*","~*"),"?","~?")))</x:f>
      </x:c>
      <x:c r="H189" s="2" t="str">
        <x:f>IF(COUNTA(A189:F189)=0,"",COUNTIFS('App Data'!$L$2:$L$1001,SUBSTITUTE(SUBSTITUTE(SUBSTITUTE(L189,"~","~~"),"*","~*"),"?","~?")))</x:f>
      </x:c>
      <x:c r="I189" s="13" t="str">
        <x:f>IF(OR(H189&lt;&gt;1,G189&lt;&gt;1),"",SUMIFS('App Data'!$E$2:$E$1001,'App Data'!$L$2:$L$1001,SUBSTITUTE(SUBSTITUTE(SUBSTITUTE(L189,"~","~~"),"*","~*"),"?","~?")))</x:f>
      </x:c>
      <x:c r="J189" s="13" t="str">
        <x:f>IF(OR(NOT(ISNUMBER(E189)),NOT(ISNUMBER(I189))),"",ROUND(E189-I189,2))</x:f>
      </x:c>
      <x:c r="K189" s="2" t="str">
        <x:f>IF(COUNTA(A189:F189)=0,"",IF(OR(A189="",B189="",C189="",D189="",NOT(ISNUMBER(E189))),"Missing / invalid input",IF(G189&gt;1,"Duplicate key in this source",IF(H189=0,"Missing in other source",IF(H189&gt;1,"Duplicate in other source",IF(SUMIFS('App Data'!$M$2:$M$1001,'App Data'!$L$2:$L$1001,SUBSTITUTE(SUBSTITUTE(SUBSTITUTE(L189,"~","~~"),"*","~*"),"?","~?"))&lt;&gt;1,"Other amount is invalid",IF(J189&lt;&gt;0,"Amount differs","Matched")))))))</x:f>
      </x:c>
      <x:c r="L189" t="str">
        <x:f>IF(COUNTA(A189:F189)=0,"",LEN(A189)&amp;":"&amp;A189&amp;LEN(B189)&amp;":"&amp;B189&amp;LEN(C189)&amp;":"&amp;C189&amp;LEN(D189)&amp;":"&amp;D189)</x:f>
      </x:c>
      <x:c r="M189" t="str">
        <x:f>IF(COUNTA(A189:F189)=0,"",IF(ISNUMBER(E189),1,0))</x:f>
      </x:c>
    </x:row>
    <x:row r="190">
      <x:c r="A190" s="11"/>
      <x:c r="B190" s="11"/>
      <x:c r="C190" s="11"/>
      <x:c r="D190" s="11"/>
      <x:c r="E190" s="12"/>
      <x:c r="F190" s="10"/>
      <x:c r="G190" s="2" t="str">
        <x:f>IF(COUNTA(A190:F190)=0,"",COUNTIFS('External Data'!$L$2:$L$1001,SUBSTITUTE(SUBSTITUTE(SUBSTITUTE(L190,"~","~~"),"*","~*"),"?","~?")))</x:f>
      </x:c>
      <x:c r="H190" s="2" t="str">
        <x:f>IF(COUNTA(A190:F190)=0,"",COUNTIFS('App Data'!$L$2:$L$1001,SUBSTITUTE(SUBSTITUTE(SUBSTITUTE(L190,"~","~~"),"*","~*"),"?","~?")))</x:f>
      </x:c>
      <x:c r="I190" s="13" t="str">
        <x:f>IF(OR(H190&lt;&gt;1,G190&lt;&gt;1),"",SUMIFS('App Data'!$E$2:$E$1001,'App Data'!$L$2:$L$1001,SUBSTITUTE(SUBSTITUTE(SUBSTITUTE(L190,"~","~~"),"*","~*"),"?","~?")))</x:f>
      </x:c>
      <x:c r="J190" s="13" t="str">
        <x:f>IF(OR(NOT(ISNUMBER(E190)),NOT(ISNUMBER(I190))),"",ROUND(E190-I190,2))</x:f>
      </x:c>
      <x:c r="K190" s="2" t="str">
        <x:f>IF(COUNTA(A190:F190)=0,"",IF(OR(A190="",B190="",C190="",D190="",NOT(ISNUMBER(E190))),"Missing / invalid input",IF(G190&gt;1,"Duplicate key in this source",IF(H190=0,"Missing in other source",IF(H190&gt;1,"Duplicate in other source",IF(SUMIFS('App Data'!$M$2:$M$1001,'App Data'!$L$2:$L$1001,SUBSTITUTE(SUBSTITUTE(SUBSTITUTE(L190,"~","~~"),"*","~*"),"?","~?"))&lt;&gt;1,"Other amount is invalid",IF(J190&lt;&gt;0,"Amount differs","Matched")))))))</x:f>
      </x:c>
      <x:c r="L190" t="str">
        <x:f>IF(COUNTA(A190:F190)=0,"",LEN(A190)&amp;":"&amp;A190&amp;LEN(B190)&amp;":"&amp;B190&amp;LEN(C190)&amp;":"&amp;C190&amp;LEN(D190)&amp;":"&amp;D190)</x:f>
      </x:c>
      <x:c r="M190" t="str">
        <x:f>IF(COUNTA(A190:F190)=0,"",IF(ISNUMBER(E190),1,0))</x:f>
      </x:c>
    </x:row>
    <x:row r="191">
      <x:c r="A191" s="11"/>
      <x:c r="B191" s="11"/>
      <x:c r="C191" s="11"/>
      <x:c r="D191" s="11"/>
      <x:c r="E191" s="12"/>
      <x:c r="F191" s="10"/>
      <x:c r="G191" s="2" t="str">
        <x:f>IF(COUNTA(A191:F191)=0,"",COUNTIFS('External Data'!$L$2:$L$1001,SUBSTITUTE(SUBSTITUTE(SUBSTITUTE(L191,"~","~~"),"*","~*"),"?","~?")))</x:f>
      </x:c>
      <x:c r="H191" s="2" t="str">
        <x:f>IF(COUNTA(A191:F191)=0,"",COUNTIFS('App Data'!$L$2:$L$1001,SUBSTITUTE(SUBSTITUTE(SUBSTITUTE(L191,"~","~~"),"*","~*"),"?","~?")))</x:f>
      </x:c>
      <x:c r="I191" s="13" t="str">
        <x:f>IF(OR(H191&lt;&gt;1,G191&lt;&gt;1),"",SUMIFS('App Data'!$E$2:$E$1001,'App Data'!$L$2:$L$1001,SUBSTITUTE(SUBSTITUTE(SUBSTITUTE(L191,"~","~~"),"*","~*"),"?","~?")))</x:f>
      </x:c>
      <x:c r="J191" s="13" t="str">
        <x:f>IF(OR(NOT(ISNUMBER(E191)),NOT(ISNUMBER(I191))),"",ROUND(E191-I191,2))</x:f>
      </x:c>
      <x:c r="K191" s="2" t="str">
        <x:f>IF(COUNTA(A191:F191)=0,"",IF(OR(A191="",B191="",C191="",D191="",NOT(ISNUMBER(E191))),"Missing / invalid input",IF(G191&gt;1,"Duplicate key in this source",IF(H191=0,"Missing in other source",IF(H191&gt;1,"Duplicate in other source",IF(SUMIFS('App Data'!$M$2:$M$1001,'App Data'!$L$2:$L$1001,SUBSTITUTE(SUBSTITUTE(SUBSTITUTE(L191,"~","~~"),"*","~*"),"?","~?"))&lt;&gt;1,"Other amount is invalid",IF(J191&lt;&gt;0,"Amount differs","Matched")))))))</x:f>
      </x:c>
      <x:c r="L191" t="str">
        <x:f>IF(COUNTA(A191:F191)=0,"",LEN(A191)&amp;":"&amp;A191&amp;LEN(B191)&amp;":"&amp;B191&amp;LEN(C191)&amp;":"&amp;C191&amp;LEN(D191)&amp;":"&amp;D191)</x:f>
      </x:c>
      <x:c r="M191" t="str">
        <x:f>IF(COUNTA(A191:F191)=0,"",IF(ISNUMBER(E191),1,0))</x:f>
      </x:c>
    </x:row>
    <x:row r="192">
      <x:c r="A192" s="11"/>
      <x:c r="B192" s="11"/>
      <x:c r="C192" s="11"/>
      <x:c r="D192" s="11"/>
      <x:c r="E192" s="12"/>
      <x:c r="F192" s="10"/>
      <x:c r="G192" s="2" t="str">
        <x:f>IF(COUNTA(A192:F192)=0,"",COUNTIFS('External Data'!$L$2:$L$1001,SUBSTITUTE(SUBSTITUTE(SUBSTITUTE(L192,"~","~~"),"*","~*"),"?","~?")))</x:f>
      </x:c>
      <x:c r="H192" s="2" t="str">
        <x:f>IF(COUNTA(A192:F192)=0,"",COUNTIFS('App Data'!$L$2:$L$1001,SUBSTITUTE(SUBSTITUTE(SUBSTITUTE(L192,"~","~~"),"*","~*"),"?","~?")))</x:f>
      </x:c>
      <x:c r="I192" s="13" t="str">
        <x:f>IF(OR(H192&lt;&gt;1,G192&lt;&gt;1),"",SUMIFS('App Data'!$E$2:$E$1001,'App Data'!$L$2:$L$1001,SUBSTITUTE(SUBSTITUTE(SUBSTITUTE(L192,"~","~~"),"*","~*"),"?","~?")))</x:f>
      </x:c>
      <x:c r="J192" s="13" t="str">
        <x:f>IF(OR(NOT(ISNUMBER(E192)),NOT(ISNUMBER(I192))),"",ROUND(E192-I192,2))</x:f>
      </x:c>
      <x:c r="K192" s="2" t="str">
        <x:f>IF(COUNTA(A192:F192)=0,"",IF(OR(A192="",B192="",C192="",D192="",NOT(ISNUMBER(E192))),"Missing / invalid input",IF(G192&gt;1,"Duplicate key in this source",IF(H192=0,"Missing in other source",IF(H192&gt;1,"Duplicate in other source",IF(SUMIFS('App Data'!$M$2:$M$1001,'App Data'!$L$2:$L$1001,SUBSTITUTE(SUBSTITUTE(SUBSTITUTE(L192,"~","~~"),"*","~*"),"?","~?"))&lt;&gt;1,"Other amount is invalid",IF(J192&lt;&gt;0,"Amount differs","Matched")))))))</x:f>
      </x:c>
      <x:c r="L192" t="str">
        <x:f>IF(COUNTA(A192:F192)=0,"",LEN(A192)&amp;":"&amp;A192&amp;LEN(B192)&amp;":"&amp;B192&amp;LEN(C192)&amp;":"&amp;C192&amp;LEN(D192)&amp;":"&amp;D192)</x:f>
      </x:c>
      <x:c r="M192" t="str">
        <x:f>IF(COUNTA(A192:F192)=0,"",IF(ISNUMBER(E192),1,0))</x:f>
      </x:c>
    </x:row>
    <x:row r="193">
      <x:c r="A193" s="11"/>
      <x:c r="B193" s="11"/>
      <x:c r="C193" s="11"/>
      <x:c r="D193" s="11"/>
      <x:c r="E193" s="12"/>
      <x:c r="F193" s="10"/>
      <x:c r="G193" s="2" t="str">
        <x:f>IF(COUNTA(A193:F193)=0,"",COUNTIFS('External Data'!$L$2:$L$1001,SUBSTITUTE(SUBSTITUTE(SUBSTITUTE(L193,"~","~~"),"*","~*"),"?","~?")))</x:f>
      </x:c>
      <x:c r="H193" s="2" t="str">
        <x:f>IF(COUNTA(A193:F193)=0,"",COUNTIFS('App Data'!$L$2:$L$1001,SUBSTITUTE(SUBSTITUTE(SUBSTITUTE(L193,"~","~~"),"*","~*"),"?","~?")))</x:f>
      </x:c>
      <x:c r="I193" s="13" t="str">
        <x:f>IF(OR(H193&lt;&gt;1,G193&lt;&gt;1),"",SUMIFS('App Data'!$E$2:$E$1001,'App Data'!$L$2:$L$1001,SUBSTITUTE(SUBSTITUTE(SUBSTITUTE(L193,"~","~~"),"*","~*"),"?","~?")))</x:f>
      </x:c>
      <x:c r="J193" s="13" t="str">
        <x:f>IF(OR(NOT(ISNUMBER(E193)),NOT(ISNUMBER(I193))),"",ROUND(E193-I193,2))</x:f>
      </x:c>
      <x:c r="K193" s="2" t="str">
        <x:f>IF(COUNTA(A193:F193)=0,"",IF(OR(A193="",B193="",C193="",D193="",NOT(ISNUMBER(E193))),"Missing / invalid input",IF(G193&gt;1,"Duplicate key in this source",IF(H193=0,"Missing in other source",IF(H193&gt;1,"Duplicate in other source",IF(SUMIFS('App Data'!$M$2:$M$1001,'App Data'!$L$2:$L$1001,SUBSTITUTE(SUBSTITUTE(SUBSTITUTE(L193,"~","~~"),"*","~*"),"?","~?"))&lt;&gt;1,"Other amount is invalid",IF(J193&lt;&gt;0,"Amount differs","Matched")))))))</x:f>
      </x:c>
      <x:c r="L193" t="str">
        <x:f>IF(COUNTA(A193:F193)=0,"",LEN(A193)&amp;":"&amp;A193&amp;LEN(B193)&amp;":"&amp;B193&amp;LEN(C193)&amp;":"&amp;C193&amp;LEN(D193)&amp;":"&amp;D193)</x:f>
      </x:c>
      <x:c r="M193" t="str">
        <x:f>IF(COUNTA(A193:F193)=0,"",IF(ISNUMBER(E193),1,0))</x:f>
      </x:c>
    </x:row>
    <x:row r="194">
      <x:c r="A194" s="11"/>
      <x:c r="B194" s="11"/>
      <x:c r="C194" s="11"/>
      <x:c r="D194" s="11"/>
      <x:c r="E194" s="12"/>
      <x:c r="F194" s="10"/>
      <x:c r="G194" s="2" t="str">
        <x:f>IF(COUNTA(A194:F194)=0,"",COUNTIFS('External Data'!$L$2:$L$1001,SUBSTITUTE(SUBSTITUTE(SUBSTITUTE(L194,"~","~~"),"*","~*"),"?","~?")))</x:f>
      </x:c>
      <x:c r="H194" s="2" t="str">
        <x:f>IF(COUNTA(A194:F194)=0,"",COUNTIFS('App Data'!$L$2:$L$1001,SUBSTITUTE(SUBSTITUTE(SUBSTITUTE(L194,"~","~~"),"*","~*"),"?","~?")))</x:f>
      </x:c>
      <x:c r="I194" s="13" t="str">
        <x:f>IF(OR(H194&lt;&gt;1,G194&lt;&gt;1),"",SUMIFS('App Data'!$E$2:$E$1001,'App Data'!$L$2:$L$1001,SUBSTITUTE(SUBSTITUTE(SUBSTITUTE(L194,"~","~~"),"*","~*"),"?","~?")))</x:f>
      </x:c>
      <x:c r="J194" s="13" t="str">
        <x:f>IF(OR(NOT(ISNUMBER(E194)),NOT(ISNUMBER(I194))),"",ROUND(E194-I194,2))</x:f>
      </x:c>
      <x:c r="K194" s="2" t="str">
        <x:f>IF(COUNTA(A194:F194)=0,"",IF(OR(A194="",B194="",C194="",D194="",NOT(ISNUMBER(E194))),"Missing / invalid input",IF(G194&gt;1,"Duplicate key in this source",IF(H194=0,"Missing in other source",IF(H194&gt;1,"Duplicate in other source",IF(SUMIFS('App Data'!$M$2:$M$1001,'App Data'!$L$2:$L$1001,SUBSTITUTE(SUBSTITUTE(SUBSTITUTE(L194,"~","~~"),"*","~*"),"?","~?"))&lt;&gt;1,"Other amount is invalid",IF(J194&lt;&gt;0,"Amount differs","Matched")))))))</x:f>
      </x:c>
      <x:c r="L194" t="str">
        <x:f>IF(COUNTA(A194:F194)=0,"",LEN(A194)&amp;":"&amp;A194&amp;LEN(B194)&amp;":"&amp;B194&amp;LEN(C194)&amp;":"&amp;C194&amp;LEN(D194)&amp;":"&amp;D194)</x:f>
      </x:c>
      <x:c r="M194" t="str">
        <x:f>IF(COUNTA(A194:F194)=0,"",IF(ISNUMBER(E194),1,0))</x:f>
      </x:c>
    </x:row>
    <x:row r="195">
      <x:c r="A195" s="11"/>
      <x:c r="B195" s="11"/>
      <x:c r="C195" s="11"/>
      <x:c r="D195" s="11"/>
      <x:c r="E195" s="12"/>
      <x:c r="F195" s="10"/>
      <x:c r="G195" s="2" t="str">
        <x:f>IF(COUNTA(A195:F195)=0,"",COUNTIFS('External Data'!$L$2:$L$1001,SUBSTITUTE(SUBSTITUTE(SUBSTITUTE(L195,"~","~~"),"*","~*"),"?","~?")))</x:f>
      </x:c>
      <x:c r="H195" s="2" t="str">
        <x:f>IF(COUNTA(A195:F195)=0,"",COUNTIFS('App Data'!$L$2:$L$1001,SUBSTITUTE(SUBSTITUTE(SUBSTITUTE(L195,"~","~~"),"*","~*"),"?","~?")))</x:f>
      </x:c>
      <x:c r="I195" s="13" t="str">
        <x:f>IF(OR(H195&lt;&gt;1,G195&lt;&gt;1),"",SUMIFS('App Data'!$E$2:$E$1001,'App Data'!$L$2:$L$1001,SUBSTITUTE(SUBSTITUTE(SUBSTITUTE(L195,"~","~~"),"*","~*"),"?","~?")))</x:f>
      </x:c>
      <x:c r="J195" s="13" t="str">
        <x:f>IF(OR(NOT(ISNUMBER(E195)),NOT(ISNUMBER(I195))),"",ROUND(E195-I195,2))</x:f>
      </x:c>
      <x:c r="K195" s="2" t="str">
        <x:f>IF(COUNTA(A195:F195)=0,"",IF(OR(A195="",B195="",C195="",D195="",NOT(ISNUMBER(E195))),"Missing / invalid input",IF(G195&gt;1,"Duplicate key in this source",IF(H195=0,"Missing in other source",IF(H195&gt;1,"Duplicate in other source",IF(SUMIFS('App Data'!$M$2:$M$1001,'App Data'!$L$2:$L$1001,SUBSTITUTE(SUBSTITUTE(SUBSTITUTE(L195,"~","~~"),"*","~*"),"?","~?"))&lt;&gt;1,"Other amount is invalid",IF(J195&lt;&gt;0,"Amount differs","Matched")))))))</x:f>
      </x:c>
      <x:c r="L195" t="str">
        <x:f>IF(COUNTA(A195:F195)=0,"",LEN(A195)&amp;":"&amp;A195&amp;LEN(B195)&amp;":"&amp;B195&amp;LEN(C195)&amp;":"&amp;C195&amp;LEN(D195)&amp;":"&amp;D195)</x:f>
      </x:c>
      <x:c r="M195" t="str">
        <x:f>IF(COUNTA(A195:F195)=0,"",IF(ISNUMBER(E195),1,0))</x:f>
      </x:c>
    </x:row>
    <x:row r="196">
      <x:c r="A196" s="11"/>
      <x:c r="B196" s="11"/>
      <x:c r="C196" s="11"/>
      <x:c r="D196" s="11"/>
      <x:c r="E196" s="12"/>
      <x:c r="F196" s="10"/>
      <x:c r="G196" s="2" t="str">
        <x:f>IF(COUNTA(A196:F196)=0,"",COUNTIFS('External Data'!$L$2:$L$1001,SUBSTITUTE(SUBSTITUTE(SUBSTITUTE(L196,"~","~~"),"*","~*"),"?","~?")))</x:f>
      </x:c>
      <x:c r="H196" s="2" t="str">
        <x:f>IF(COUNTA(A196:F196)=0,"",COUNTIFS('App Data'!$L$2:$L$1001,SUBSTITUTE(SUBSTITUTE(SUBSTITUTE(L196,"~","~~"),"*","~*"),"?","~?")))</x:f>
      </x:c>
      <x:c r="I196" s="13" t="str">
        <x:f>IF(OR(H196&lt;&gt;1,G196&lt;&gt;1),"",SUMIFS('App Data'!$E$2:$E$1001,'App Data'!$L$2:$L$1001,SUBSTITUTE(SUBSTITUTE(SUBSTITUTE(L196,"~","~~"),"*","~*"),"?","~?")))</x:f>
      </x:c>
      <x:c r="J196" s="13" t="str">
        <x:f>IF(OR(NOT(ISNUMBER(E196)),NOT(ISNUMBER(I196))),"",ROUND(E196-I196,2))</x:f>
      </x:c>
      <x:c r="K196" s="2" t="str">
        <x:f>IF(COUNTA(A196:F196)=0,"",IF(OR(A196="",B196="",C196="",D196="",NOT(ISNUMBER(E196))),"Missing / invalid input",IF(G196&gt;1,"Duplicate key in this source",IF(H196=0,"Missing in other source",IF(H196&gt;1,"Duplicate in other source",IF(SUMIFS('App Data'!$M$2:$M$1001,'App Data'!$L$2:$L$1001,SUBSTITUTE(SUBSTITUTE(SUBSTITUTE(L196,"~","~~"),"*","~*"),"?","~?"))&lt;&gt;1,"Other amount is invalid",IF(J196&lt;&gt;0,"Amount differs","Matched")))))))</x:f>
      </x:c>
      <x:c r="L196" t="str">
        <x:f>IF(COUNTA(A196:F196)=0,"",LEN(A196)&amp;":"&amp;A196&amp;LEN(B196)&amp;":"&amp;B196&amp;LEN(C196)&amp;":"&amp;C196&amp;LEN(D196)&amp;":"&amp;D196)</x:f>
      </x:c>
      <x:c r="M196" t="str">
        <x:f>IF(COUNTA(A196:F196)=0,"",IF(ISNUMBER(E196),1,0))</x:f>
      </x:c>
    </x:row>
    <x:row r="197">
      <x:c r="A197" s="11"/>
      <x:c r="B197" s="11"/>
      <x:c r="C197" s="11"/>
      <x:c r="D197" s="11"/>
      <x:c r="E197" s="12"/>
      <x:c r="F197" s="10"/>
      <x:c r="G197" s="2" t="str">
        <x:f>IF(COUNTA(A197:F197)=0,"",COUNTIFS('External Data'!$L$2:$L$1001,SUBSTITUTE(SUBSTITUTE(SUBSTITUTE(L197,"~","~~"),"*","~*"),"?","~?")))</x:f>
      </x:c>
      <x:c r="H197" s="2" t="str">
        <x:f>IF(COUNTA(A197:F197)=0,"",COUNTIFS('App Data'!$L$2:$L$1001,SUBSTITUTE(SUBSTITUTE(SUBSTITUTE(L197,"~","~~"),"*","~*"),"?","~?")))</x:f>
      </x:c>
      <x:c r="I197" s="13" t="str">
        <x:f>IF(OR(H197&lt;&gt;1,G197&lt;&gt;1),"",SUMIFS('App Data'!$E$2:$E$1001,'App Data'!$L$2:$L$1001,SUBSTITUTE(SUBSTITUTE(SUBSTITUTE(L197,"~","~~"),"*","~*"),"?","~?")))</x:f>
      </x:c>
      <x:c r="J197" s="13" t="str">
        <x:f>IF(OR(NOT(ISNUMBER(E197)),NOT(ISNUMBER(I197))),"",ROUND(E197-I197,2))</x:f>
      </x:c>
      <x:c r="K197" s="2" t="str">
        <x:f>IF(COUNTA(A197:F197)=0,"",IF(OR(A197="",B197="",C197="",D197="",NOT(ISNUMBER(E197))),"Missing / invalid input",IF(G197&gt;1,"Duplicate key in this source",IF(H197=0,"Missing in other source",IF(H197&gt;1,"Duplicate in other source",IF(SUMIFS('App Data'!$M$2:$M$1001,'App Data'!$L$2:$L$1001,SUBSTITUTE(SUBSTITUTE(SUBSTITUTE(L197,"~","~~"),"*","~*"),"?","~?"))&lt;&gt;1,"Other amount is invalid",IF(J197&lt;&gt;0,"Amount differs","Matched")))))))</x:f>
      </x:c>
      <x:c r="L197" t="str">
        <x:f>IF(COUNTA(A197:F197)=0,"",LEN(A197)&amp;":"&amp;A197&amp;LEN(B197)&amp;":"&amp;B197&amp;LEN(C197)&amp;":"&amp;C197&amp;LEN(D197)&amp;":"&amp;D197)</x:f>
      </x:c>
      <x:c r="M197" t="str">
        <x:f>IF(COUNTA(A197:F197)=0,"",IF(ISNUMBER(E197),1,0))</x:f>
      </x:c>
    </x:row>
    <x:row r="198">
      <x:c r="A198" s="11"/>
      <x:c r="B198" s="11"/>
      <x:c r="C198" s="11"/>
      <x:c r="D198" s="11"/>
      <x:c r="E198" s="12"/>
      <x:c r="F198" s="10"/>
      <x:c r="G198" s="2" t="str">
        <x:f>IF(COUNTA(A198:F198)=0,"",COUNTIFS('External Data'!$L$2:$L$1001,SUBSTITUTE(SUBSTITUTE(SUBSTITUTE(L198,"~","~~"),"*","~*"),"?","~?")))</x:f>
      </x:c>
      <x:c r="H198" s="2" t="str">
        <x:f>IF(COUNTA(A198:F198)=0,"",COUNTIFS('App Data'!$L$2:$L$1001,SUBSTITUTE(SUBSTITUTE(SUBSTITUTE(L198,"~","~~"),"*","~*"),"?","~?")))</x:f>
      </x:c>
      <x:c r="I198" s="13" t="str">
        <x:f>IF(OR(H198&lt;&gt;1,G198&lt;&gt;1),"",SUMIFS('App Data'!$E$2:$E$1001,'App Data'!$L$2:$L$1001,SUBSTITUTE(SUBSTITUTE(SUBSTITUTE(L198,"~","~~"),"*","~*"),"?","~?")))</x:f>
      </x:c>
      <x:c r="J198" s="13" t="str">
        <x:f>IF(OR(NOT(ISNUMBER(E198)),NOT(ISNUMBER(I198))),"",ROUND(E198-I198,2))</x:f>
      </x:c>
      <x:c r="K198" s="2" t="str">
        <x:f>IF(COUNTA(A198:F198)=0,"",IF(OR(A198="",B198="",C198="",D198="",NOT(ISNUMBER(E198))),"Missing / invalid input",IF(G198&gt;1,"Duplicate key in this source",IF(H198=0,"Missing in other source",IF(H198&gt;1,"Duplicate in other source",IF(SUMIFS('App Data'!$M$2:$M$1001,'App Data'!$L$2:$L$1001,SUBSTITUTE(SUBSTITUTE(SUBSTITUTE(L198,"~","~~"),"*","~*"),"?","~?"))&lt;&gt;1,"Other amount is invalid",IF(J198&lt;&gt;0,"Amount differs","Matched")))))))</x:f>
      </x:c>
      <x:c r="L198" t="str">
        <x:f>IF(COUNTA(A198:F198)=0,"",LEN(A198)&amp;":"&amp;A198&amp;LEN(B198)&amp;":"&amp;B198&amp;LEN(C198)&amp;":"&amp;C198&amp;LEN(D198)&amp;":"&amp;D198)</x:f>
      </x:c>
      <x:c r="M198" t="str">
        <x:f>IF(COUNTA(A198:F198)=0,"",IF(ISNUMBER(E198),1,0))</x:f>
      </x:c>
    </x:row>
    <x:row r="199">
      <x:c r="A199" s="11"/>
      <x:c r="B199" s="11"/>
      <x:c r="C199" s="11"/>
      <x:c r="D199" s="11"/>
      <x:c r="E199" s="12"/>
      <x:c r="F199" s="10"/>
      <x:c r="G199" s="2" t="str">
        <x:f>IF(COUNTA(A199:F199)=0,"",COUNTIFS('External Data'!$L$2:$L$1001,SUBSTITUTE(SUBSTITUTE(SUBSTITUTE(L199,"~","~~"),"*","~*"),"?","~?")))</x:f>
      </x:c>
      <x:c r="H199" s="2" t="str">
        <x:f>IF(COUNTA(A199:F199)=0,"",COUNTIFS('App Data'!$L$2:$L$1001,SUBSTITUTE(SUBSTITUTE(SUBSTITUTE(L199,"~","~~"),"*","~*"),"?","~?")))</x:f>
      </x:c>
      <x:c r="I199" s="13" t="str">
        <x:f>IF(OR(H199&lt;&gt;1,G199&lt;&gt;1),"",SUMIFS('App Data'!$E$2:$E$1001,'App Data'!$L$2:$L$1001,SUBSTITUTE(SUBSTITUTE(SUBSTITUTE(L199,"~","~~"),"*","~*"),"?","~?")))</x:f>
      </x:c>
      <x:c r="J199" s="13" t="str">
        <x:f>IF(OR(NOT(ISNUMBER(E199)),NOT(ISNUMBER(I199))),"",ROUND(E199-I199,2))</x:f>
      </x:c>
      <x:c r="K199" s="2" t="str">
        <x:f>IF(COUNTA(A199:F199)=0,"",IF(OR(A199="",B199="",C199="",D199="",NOT(ISNUMBER(E199))),"Missing / invalid input",IF(G199&gt;1,"Duplicate key in this source",IF(H199=0,"Missing in other source",IF(H199&gt;1,"Duplicate in other source",IF(SUMIFS('App Data'!$M$2:$M$1001,'App Data'!$L$2:$L$1001,SUBSTITUTE(SUBSTITUTE(SUBSTITUTE(L199,"~","~~"),"*","~*"),"?","~?"))&lt;&gt;1,"Other amount is invalid",IF(J199&lt;&gt;0,"Amount differs","Matched")))))))</x:f>
      </x:c>
      <x:c r="L199" t="str">
        <x:f>IF(COUNTA(A199:F199)=0,"",LEN(A199)&amp;":"&amp;A199&amp;LEN(B199)&amp;":"&amp;B199&amp;LEN(C199)&amp;":"&amp;C199&amp;LEN(D199)&amp;":"&amp;D199)</x:f>
      </x:c>
      <x:c r="M199" t="str">
        <x:f>IF(COUNTA(A199:F199)=0,"",IF(ISNUMBER(E199),1,0))</x:f>
      </x:c>
    </x:row>
    <x:row r="200">
      <x:c r="A200" s="11"/>
      <x:c r="B200" s="11"/>
      <x:c r="C200" s="11"/>
      <x:c r="D200" s="11"/>
      <x:c r="E200" s="12"/>
      <x:c r="F200" s="10"/>
      <x:c r="G200" s="2" t="str">
        <x:f>IF(COUNTA(A200:F200)=0,"",COUNTIFS('External Data'!$L$2:$L$1001,SUBSTITUTE(SUBSTITUTE(SUBSTITUTE(L200,"~","~~"),"*","~*"),"?","~?")))</x:f>
      </x:c>
      <x:c r="H200" s="2" t="str">
        <x:f>IF(COUNTA(A200:F200)=0,"",COUNTIFS('App Data'!$L$2:$L$1001,SUBSTITUTE(SUBSTITUTE(SUBSTITUTE(L200,"~","~~"),"*","~*"),"?","~?")))</x:f>
      </x:c>
      <x:c r="I200" s="13" t="str">
        <x:f>IF(OR(H200&lt;&gt;1,G200&lt;&gt;1),"",SUMIFS('App Data'!$E$2:$E$1001,'App Data'!$L$2:$L$1001,SUBSTITUTE(SUBSTITUTE(SUBSTITUTE(L200,"~","~~"),"*","~*"),"?","~?")))</x:f>
      </x:c>
      <x:c r="J200" s="13" t="str">
        <x:f>IF(OR(NOT(ISNUMBER(E200)),NOT(ISNUMBER(I200))),"",ROUND(E200-I200,2))</x:f>
      </x:c>
      <x:c r="K200" s="2" t="str">
        <x:f>IF(COUNTA(A200:F200)=0,"",IF(OR(A200="",B200="",C200="",D200="",NOT(ISNUMBER(E200))),"Missing / invalid input",IF(G200&gt;1,"Duplicate key in this source",IF(H200=0,"Missing in other source",IF(H200&gt;1,"Duplicate in other source",IF(SUMIFS('App Data'!$M$2:$M$1001,'App Data'!$L$2:$L$1001,SUBSTITUTE(SUBSTITUTE(SUBSTITUTE(L200,"~","~~"),"*","~*"),"?","~?"))&lt;&gt;1,"Other amount is invalid",IF(J200&lt;&gt;0,"Amount differs","Matched")))))))</x:f>
      </x:c>
      <x:c r="L200" t="str">
        <x:f>IF(COUNTA(A200:F200)=0,"",LEN(A200)&amp;":"&amp;A200&amp;LEN(B200)&amp;":"&amp;B200&amp;LEN(C200)&amp;":"&amp;C200&amp;LEN(D200)&amp;":"&amp;D200)</x:f>
      </x:c>
      <x:c r="M200" t="str">
        <x:f>IF(COUNTA(A200:F200)=0,"",IF(ISNUMBER(E200),1,0))</x:f>
      </x:c>
    </x:row>
    <x:row r="201">
      <x:c r="A201" s="11"/>
      <x:c r="B201" s="11"/>
      <x:c r="C201" s="11"/>
      <x:c r="D201" s="11"/>
      <x:c r="E201" s="12"/>
      <x:c r="F201" s="10"/>
      <x:c r="G201" s="2" t="str">
        <x:f>IF(COUNTA(A201:F201)=0,"",COUNTIFS('External Data'!$L$2:$L$1001,SUBSTITUTE(SUBSTITUTE(SUBSTITUTE(L201,"~","~~"),"*","~*"),"?","~?")))</x:f>
      </x:c>
      <x:c r="H201" s="2" t="str">
        <x:f>IF(COUNTA(A201:F201)=0,"",COUNTIFS('App Data'!$L$2:$L$1001,SUBSTITUTE(SUBSTITUTE(SUBSTITUTE(L201,"~","~~"),"*","~*"),"?","~?")))</x:f>
      </x:c>
      <x:c r="I201" s="13" t="str">
        <x:f>IF(OR(H201&lt;&gt;1,G201&lt;&gt;1),"",SUMIFS('App Data'!$E$2:$E$1001,'App Data'!$L$2:$L$1001,SUBSTITUTE(SUBSTITUTE(SUBSTITUTE(L201,"~","~~"),"*","~*"),"?","~?")))</x:f>
      </x:c>
      <x:c r="J201" s="13" t="str">
        <x:f>IF(OR(NOT(ISNUMBER(E201)),NOT(ISNUMBER(I201))),"",ROUND(E201-I201,2))</x:f>
      </x:c>
      <x:c r="K201" s="2" t="str">
        <x:f>IF(COUNTA(A201:F201)=0,"",IF(OR(A201="",B201="",C201="",D201="",NOT(ISNUMBER(E201))),"Missing / invalid input",IF(G201&gt;1,"Duplicate key in this source",IF(H201=0,"Missing in other source",IF(H201&gt;1,"Duplicate in other source",IF(SUMIFS('App Data'!$M$2:$M$1001,'App Data'!$L$2:$L$1001,SUBSTITUTE(SUBSTITUTE(SUBSTITUTE(L201,"~","~~"),"*","~*"),"?","~?"))&lt;&gt;1,"Other amount is invalid",IF(J201&lt;&gt;0,"Amount differs","Matched")))))))</x:f>
      </x:c>
      <x:c r="L201" t="str">
        <x:f>IF(COUNTA(A201:F201)=0,"",LEN(A201)&amp;":"&amp;A201&amp;LEN(B201)&amp;":"&amp;B201&amp;LEN(C201)&amp;":"&amp;C201&amp;LEN(D201)&amp;":"&amp;D201)</x:f>
      </x:c>
      <x:c r="M201" t="str">
        <x:f>IF(COUNTA(A201:F201)=0,"",IF(ISNUMBER(E201),1,0))</x:f>
      </x:c>
    </x:row>
    <x:row r="202">
      <x:c r="A202" s="11"/>
      <x:c r="B202" s="11"/>
      <x:c r="C202" s="11"/>
      <x:c r="D202" s="11"/>
      <x:c r="E202" s="12"/>
      <x:c r="F202" s="10"/>
      <x:c r="G202" s="2" t="str">
        <x:f>IF(COUNTA(A202:F202)=0,"",COUNTIFS('External Data'!$L$2:$L$1001,SUBSTITUTE(SUBSTITUTE(SUBSTITUTE(L202,"~","~~"),"*","~*"),"?","~?")))</x:f>
      </x:c>
      <x:c r="H202" s="2" t="str">
        <x:f>IF(COUNTA(A202:F202)=0,"",COUNTIFS('App Data'!$L$2:$L$1001,SUBSTITUTE(SUBSTITUTE(SUBSTITUTE(L202,"~","~~"),"*","~*"),"?","~?")))</x:f>
      </x:c>
      <x:c r="I202" s="13" t="str">
        <x:f>IF(OR(H202&lt;&gt;1,G202&lt;&gt;1),"",SUMIFS('App Data'!$E$2:$E$1001,'App Data'!$L$2:$L$1001,SUBSTITUTE(SUBSTITUTE(SUBSTITUTE(L202,"~","~~"),"*","~*"),"?","~?")))</x:f>
      </x:c>
      <x:c r="J202" s="13" t="str">
        <x:f>IF(OR(NOT(ISNUMBER(E202)),NOT(ISNUMBER(I202))),"",ROUND(E202-I202,2))</x:f>
      </x:c>
      <x:c r="K202" s="2" t="str">
        <x:f>IF(COUNTA(A202:F202)=0,"",IF(OR(A202="",B202="",C202="",D202="",NOT(ISNUMBER(E202))),"Missing / invalid input",IF(G202&gt;1,"Duplicate key in this source",IF(H202=0,"Missing in other source",IF(H202&gt;1,"Duplicate in other source",IF(SUMIFS('App Data'!$M$2:$M$1001,'App Data'!$L$2:$L$1001,SUBSTITUTE(SUBSTITUTE(SUBSTITUTE(L202,"~","~~"),"*","~*"),"?","~?"))&lt;&gt;1,"Other amount is invalid",IF(J202&lt;&gt;0,"Amount differs","Matched")))))))</x:f>
      </x:c>
      <x:c r="L202" t="str">
        <x:f>IF(COUNTA(A202:F202)=0,"",LEN(A202)&amp;":"&amp;A202&amp;LEN(B202)&amp;":"&amp;B202&amp;LEN(C202)&amp;":"&amp;C202&amp;LEN(D202)&amp;":"&amp;D202)</x:f>
      </x:c>
      <x:c r="M202" t="str">
        <x:f>IF(COUNTA(A202:F202)=0,"",IF(ISNUMBER(E202),1,0))</x:f>
      </x:c>
    </x:row>
    <x:row r="203">
      <x:c r="A203" s="11"/>
      <x:c r="B203" s="11"/>
      <x:c r="C203" s="11"/>
      <x:c r="D203" s="11"/>
      <x:c r="E203" s="12"/>
      <x:c r="F203" s="10"/>
      <x:c r="G203" s="2" t="str">
        <x:f>IF(COUNTA(A203:F203)=0,"",COUNTIFS('External Data'!$L$2:$L$1001,SUBSTITUTE(SUBSTITUTE(SUBSTITUTE(L203,"~","~~"),"*","~*"),"?","~?")))</x:f>
      </x:c>
      <x:c r="H203" s="2" t="str">
        <x:f>IF(COUNTA(A203:F203)=0,"",COUNTIFS('App Data'!$L$2:$L$1001,SUBSTITUTE(SUBSTITUTE(SUBSTITUTE(L203,"~","~~"),"*","~*"),"?","~?")))</x:f>
      </x:c>
      <x:c r="I203" s="13" t="str">
        <x:f>IF(OR(H203&lt;&gt;1,G203&lt;&gt;1),"",SUMIFS('App Data'!$E$2:$E$1001,'App Data'!$L$2:$L$1001,SUBSTITUTE(SUBSTITUTE(SUBSTITUTE(L203,"~","~~"),"*","~*"),"?","~?")))</x:f>
      </x:c>
      <x:c r="J203" s="13" t="str">
        <x:f>IF(OR(NOT(ISNUMBER(E203)),NOT(ISNUMBER(I203))),"",ROUND(E203-I203,2))</x:f>
      </x:c>
      <x:c r="K203" s="2" t="str">
        <x:f>IF(COUNTA(A203:F203)=0,"",IF(OR(A203="",B203="",C203="",D203="",NOT(ISNUMBER(E203))),"Missing / invalid input",IF(G203&gt;1,"Duplicate key in this source",IF(H203=0,"Missing in other source",IF(H203&gt;1,"Duplicate in other source",IF(SUMIFS('App Data'!$M$2:$M$1001,'App Data'!$L$2:$L$1001,SUBSTITUTE(SUBSTITUTE(SUBSTITUTE(L203,"~","~~"),"*","~*"),"?","~?"))&lt;&gt;1,"Other amount is invalid",IF(J203&lt;&gt;0,"Amount differs","Matched")))))))</x:f>
      </x:c>
      <x:c r="L203" t="str">
        <x:f>IF(COUNTA(A203:F203)=0,"",LEN(A203)&amp;":"&amp;A203&amp;LEN(B203)&amp;":"&amp;B203&amp;LEN(C203)&amp;":"&amp;C203&amp;LEN(D203)&amp;":"&amp;D203)</x:f>
      </x:c>
      <x:c r="M203" t="str">
        <x:f>IF(COUNTA(A203:F203)=0,"",IF(ISNUMBER(E203),1,0))</x:f>
      </x:c>
    </x:row>
    <x:row r="204">
      <x:c r="A204" s="11"/>
      <x:c r="B204" s="11"/>
      <x:c r="C204" s="11"/>
      <x:c r="D204" s="11"/>
      <x:c r="E204" s="12"/>
      <x:c r="F204" s="10"/>
      <x:c r="G204" s="2" t="str">
        <x:f>IF(COUNTA(A204:F204)=0,"",COUNTIFS('External Data'!$L$2:$L$1001,SUBSTITUTE(SUBSTITUTE(SUBSTITUTE(L204,"~","~~"),"*","~*"),"?","~?")))</x:f>
      </x:c>
      <x:c r="H204" s="2" t="str">
        <x:f>IF(COUNTA(A204:F204)=0,"",COUNTIFS('App Data'!$L$2:$L$1001,SUBSTITUTE(SUBSTITUTE(SUBSTITUTE(L204,"~","~~"),"*","~*"),"?","~?")))</x:f>
      </x:c>
      <x:c r="I204" s="13" t="str">
        <x:f>IF(OR(H204&lt;&gt;1,G204&lt;&gt;1),"",SUMIFS('App Data'!$E$2:$E$1001,'App Data'!$L$2:$L$1001,SUBSTITUTE(SUBSTITUTE(SUBSTITUTE(L204,"~","~~"),"*","~*"),"?","~?")))</x:f>
      </x:c>
      <x:c r="J204" s="13" t="str">
        <x:f>IF(OR(NOT(ISNUMBER(E204)),NOT(ISNUMBER(I204))),"",ROUND(E204-I204,2))</x:f>
      </x:c>
      <x:c r="K204" s="2" t="str">
        <x:f>IF(COUNTA(A204:F204)=0,"",IF(OR(A204="",B204="",C204="",D204="",NOT(ISNUMBER(E204))),"Missing / invalid input",IF(G204&gt;1,"Duplicate key in this source",IF(H204=0,"Missing in other source",IF(H204&gt;1,"Duplicate in other source",IF(SUMIFS('App Data'!$M$2:$M$1001,'App Data'!$L$2:$L$1001,SUBSTITUTE(SUBSTITUTE(SUBSTITUTE(L204,"~","~~"),"*","~*"),"?","~?"))&lt;&gt;1,"Other amount is invalid",IF(J204&lt;&gt;0,"Amount differs","Matched")))))))</x:f>
      </x:c>
      <x:c r="L204" t="str">
        <x:f>IF(COUNTA(A204:F204)=0,"",LEN(A204)&amp;":"&amp;A204&amp;LEN(B204)&amp;":"&amp;B204&amp;LEN(C204)&amp;":"&amp;C204&amp;LEN(D204)&amp;":"&amp;D204)</x:f>
      </x:c>
      <x:c r="M204" t="str">
        <x:f>IF(COUNTA(A204:F204)=0,"",IF(ISNUMBER(E204),1,0))</x:f>
      </x:c>
    </x:row>
    <x:row r="205">
      <x:c r="A205" s="11"/>
      <x:c r="B205" s="11"/>
      <x:c r="C205" s="11"/>
      <x:c r="D205" s="11"/>
      <x:c r="E205" s="12"/>
      <x:c r="F205" s="10"/>
      <x:c r="G205" s="2" t="str">
        <x:f>IF(COUNTA(A205:F205)=0,"",COUNTIFS('External Data'!$L$2:$L$1001,SUBSTITUTE(SUBSTITUTE(SUBSTITUTE(L205,"~","~~"),"*","~*"),"?","~?")))</x:f>
      </x:c>
      <x:c r="H205" s="2" t="str">
        <x:f>IF(COUNTA(A205:F205)=0,"",COUNTIFS('App Data'!$L$2:$L$1001,SUBSTITUTE(SUBSTITUTE(SUBSTITUTE(L205,"~","~~"),"*","~*"),"?","~?")))</x:f>
      </x:c>
      <x:c r="I205" s="13" t="str">
        <x:f>IF(OR(H205&lt;&gt;1,G205&lt;&gt;1),"",SUMIFS('App Data'!$E$2:$E$1001,'App Data'!$L$2:$L$1001,SUBSTITUTE(SUBSTITUTE(SUBSTITUTE(L205,"~","~~"),"*","~*"),"?","~?")))</x:f>
      </x:c>
      <x:c r="J205" s="13" t="str">
        <x:f>IF(OR(NOT(ISNUMBER(E205)),NOT(ISNUMBER(I205))),"",ROUND(E205-I205,2))</x:f>
      </x:c>
      <x:c r="K205" s="2" t="str">
        <x:f>IF(COUNTA(A205:F205)=0,"",IF(OR(A205="",B205="",C205="",D205="",NOT(ISNUMBER(E205))),"Missing / invalid input",IF(G205&gt;1,"Duplicate key in this source",IF(H205=0,"Missing in other source",IF(H205&gt;1,"Duplicate in other source",IF(SUMIFS('App Data'!$M$2:$M$1001,'App Data'!$L$2:$L$1001,SUBSTITUTE(SUBSTITUTE(SUBSTITUTE(L205,"~","~~"),"*","~*"),"?","~?"))&lt;&gt;1,"Other amount is invalid",IF(J205&lt;&gt;0,"Amount differs","Matched")))))))</x:f>
      </x:c>
      <x:c r="L205" t="str">
        <x:f>IF(COUNTA(A205:F205)=0,"",LEN(A205)&amp;":"&amp;A205&amp;LEN(B205)&amp;":"&amp;B205&amp;LEN(C205)&amp;":"&amp;C205&amp;LEN(D205)&amp;":"&amp;D205)</x:f>
      </x:c>
      <x:c r="M205" t="str">
        <x:f>IF(COUNTA(A205:F205)=0,"",IF(ISNUMBER(E205),1,0))</x:f>
      </x:c>
    </x:row>
    <x:row r="206">
      <x:c r="A206" s="11"/>
      <x:c r="B206" s="11"/>
      <x:c r="C206" s="11"/>
      <x:c r="D206" s="11"/>
      <x:c r="E206" s="12"/>
      <x:c r="F206" s="10"/>
      <x:c r="G206" s="2" t="str">
        <x:f>IF(COUNTA(A206:F206)=0,"",COUNTIFS('External Data'!$L$2:$L$1001,SUBSTITUTE(SUBSTITUTE(SUBSTITUTE(L206,"~","~~"),"*","~*"),"?","~?")))</x:f>
      </x:c>
      <x:c r="H206" s="2" t="str">
        <x:f>IF(COUNTA(A206:F206)=0,"",COUNTIFS('App Data'!$L$2:$L$1001,SUBSTITUTE(SUBSTITUTE(SUBSTITUTE(L206,"~","~~"),"*","~*"),"?","~?")))</x:f>
      </x:c>
      <x:c r="I206" s="13" t="str">
        <x:f>IF(OR(H206&lt;&gt;1,G206&lt;&gt;1),"",SUMIFS('App Data'!$E$2:$E$1001,'App Data'!$L$2:$L$1001,SUBSTITUTE(SUBSTITUTE(SUBSTITUTE(L206,"~","~~"),"*","~*"),"?","~?")))</x:f>
      </x:c>
      <x:c r="J206" s="13" t="str">
        <x:f>IF(OR(NOT(ISNUMBER(E206)),NOT(ISNUMBER(I206))),"",ROUND(E206-I206,2))</x:f>
      </x:c>
      <x:c r="K206" s="2" t="str">
        <x:f>IF(COUNTA(A206:F206)=0,"",IF(OR(A206="",B206="",C206="",D206="",NOT(ISNUMBER(E206))),"Missing / invalid input",IF(G206&gt;1,"Duplicate key in this source",IF(H206=0,"Missing in other source",IF(H206&gt;1,"Duplicate in other source",IF(SUMIFS('App Data'!$M$2:$M$1001,'App Data'!$L$2:$L$1001,SUBSTITUTE(SUBSTITUTE(SUBSTITUTE(L206,"~","~~"),"*","~*"),"?","~?"))&lt;&gt;1,"Other amount is invalid",IF(J206&lt;&gt;0,"Amount differs","Matched")))))))</x:f>
      </x:c>
      <x:c r="L206" t="str">
        <x:f>IF(COUNTA(A206:F206)=0,"",LEN(A206)&amp;":"&amp;A206&amp;LEN(B206)&amp;":"&amp;B206&amp;LEN(C206)&amp;":"&amp;C206&amp;LEN(D206)&amp;":"&amp;D206)</x:f>
      </x:c>
      <x:c r="M206" t="str">
        <x:f>IF(COUNTA(A206:F206)=0,"",IF(ISNUMBER(E206),1,0))</x:f>
      </x:c>
    </x:row>
    <x:row r="207">
      <x:c r="A207" s="11"/>
      <x:c r="B207" s="11"/>
      <x:c r="C207" s="11"/>
      <x:c r="D207" s="11"/>
      <x:c r="E207" s="12"/>
      <x:c r="F207" s="10"/>
      <x:c r="G207" s="2" t="str">
        <x:f>IF(COUNTA(A207:F207)=0,"",COUNTIFS('External Data'!$L$2:$L$1001,SUBSTITUTE(SUBSTITUTE(SUBSTITUTE(L207,"~","~~"),"*","~*"),"?","~?")))</x:f>
      </x:c>
      <x:c r="H207" s="2" t="str">
        <x:f>IF(COUNTA(A207:F207)=0,"",COUNTIFS('App Data'!$L$2:$L$1001,SUBSTITUTE(SUBSTITUTE(SUBSTITUTE(L207,"~","~~"),"*","~*"),"?","~?")))</x:f>
      </x:c>
      <x:c r="I207" s="13" t="str">
        <x:f>IF(OR(H207&lt;&gt;1,G207&lt;&gt;1),"",SUMIFS('App Data'!$E$2:$E$1001,'App Data'!$L$2:$L$1001,SUBSTITUTE(SUBSTITUTE(SUBSTITUTE(L207,"~","~~"),"*","~*"),"?","~?")))</x:f>
      </x:c>
      <x:c r="J207" s="13" t="str">
        <x:f>IF(OR(NOT(ISNUMBER(E207)),NOT(ISNUMBER(I207))),"",ROUND(E207-I207,2))</x:f>
      </x:c>
      <x:c r="K207" s="2" t="str">
        <x:f>IF(COUNTA(A207:F207)=0,"",IF(OR(A207="",B207="",C207="",D207="",NOT(ISNUMBER(E207))),"Missing / invalid input",IF(G207&gt;1,"Duplicate key in this source",IF(H207=0,"Missing in other source",IF(H207&gt;1,"Duplicate in other source",IF(SUMIFS('App Data'!$M$2:$M$1001,'App Data'!$L$2:$L$1001,SUBSTITUTE(SUBSTITUTE(SUBSTITUTE(L207,"~","~~"),"*","~*"),"?","~?"))&lt;&gt;1,"Other amount is invalid",IF(J207&lt;&gt;0,"Amount differs","Matched")))))))</x:f>
      </x:c>
      <x:c r="L207" t="str">
        <x:f>IF(COUNTA(A207:F207)=0,"",LEN(A207)&amp;":"&amp;A207&amp;LEN(B207)&amp;":"&amp;B207&amp;LEN(C207)&amp;":"&amp;C207&amp;LEN(D207)&amp;":"&amp;D207)</x:f>
      </x:c>
      <x:c r="M207" t="str">
        <x:f>IF(COUNTA(A207:F207)=0,"",IF(ISNUMBER(E207),1,0))</x:f>
      </x:c>
    </x:row>
    <x:row r="208">
      <x:c r="A208" s="11"/>
      <x:c r="B208" s="11"/>
      <x:c r="C208" s="11"/>
      <x:c r="D208" s="11"/>
      <x:c r="E208" s="12"/>
      <x:c r="F208" s="10"/>
      <x:c r="G208" s="2" t="str">
        <x:f>IF(COUNTA(A208:F208)=0,"",COUNTIFS('External Data'!$L$2:$L$1001,SUBSTITUTE(SUBSTITUTE(SUBSTITUTE(L208,"~","~~"),"*","~*"),"?","~?")))</x:f>
      </x:c>
      <x:c r="H208" s="2" t="str">
        <x:f>IF(COUNTA(A208:F208)=0,"",COUNTIFS('App Data'!$L$2:$L$1001,SUBSTITUTE(SUBSTITUTE(SUBSTITUTE(L208,"~","~~"),"*","~*"),"?","~?")))</x:f>
      </x:c>
      <x:c r="I208" s="13" t="str">
        <x:f>IF(OR(H208&lt;&gt;1,G208&lt;&gt;1),"",SUMIFS('App Data'!$E$2:$E$1001,'App Data'!$L$2:$L$1001,SUBSTITUTE(SUBSTITUTE(SUBSTITUTE(L208,"~","~~"),"*","~*"),"?","~?")))</x:f>
      </x:c>
      <x:c r="J208" s="13" t="str">
        <x:f>IF(OR(NOT(ISNUMBER(E208)),NOT(ISNUMBER(I208))),"",ROUND(E208-I208,2))</x:f>
      </x:c>
      <x:c r="K208" s="2" t="str">
        <x:f>IF(COUNTA(A208:F208)=0,"",IF(OR(A208="",B208="",C208="",D208="",NOT(ISNUMBER(E208))),"Missing / invalid input",IF(G208&gt;1,"Duplicate key in this source",IF(H208=0,"Missing in other source",IF(H208&gt;1,"Duplicate in other source",IF(SUMIFS('App Data'!$M$2:$M$1001,'App Data'!$L$2:$L$1001,SUBSTITUTE(SUBSTITUTE(SUBSTITUTE(L208,"~","~~"),"*","~*"),"?","~?"))&lt;&gt;1,"Other amount is invalid",IF(J208&lt;&gt;0,"Amount differs","Matched")))))))</x:f>
      </x:c>
      <x:c r="L208" t="str">
        <x:f>IF(COUNTA(A208:F208)=0,"",LEN(A208)&amp;":"&amp;A208&amp;LEN(B208)&amp;":"&amp;B208&amp;LEN(C208)&amp;":"&amp;C208&amp;LEN(D208)&amp;":"&amp;D208)</x:f>
      </x:c>
      <x:c r="M208" t="str">
        <x:f>IF(COUNTA(A208:F208)=0,"",IF(ISNUMBER(E208),1,0))</x:f>
      </x:c>
    </x:row>
    <x:row r="209">
      <x:c r="A209" s="11"/>
      <x:c r="B209" s="11"/>
      <x:c r="C209" s="11"/>
      <x:c r="D209" s="11"/>
      <x:c r="E209" s="12"/>
      <x:c r="F209" s="10"/>
      <x:c r="G209" s="2" t="str">
        <x:f>IF(COUNTA(A209:F209)=0,"",COUNTIFS('External Data'!$L$2:$L$1001,SUBSTITUTE(SUBSTITUTE(SUBSTITUTE(L209,"~","~~"),"*","~*"),"?","~?")))</x:f>
      </x:c>
      <x:c r="H209" s="2" t="str">
        <x:f>IF(COUNTA(A209:F209)=0,"",COUNTIFS('App Data'!$L$2:$L$1001,SUBSTITUTE(SUBSTITUTE(SUBSTITUTE(L209,"~","~~"),"*","~*"),"?","~?")))</x:f>
      </x:c>
      <x:c r="I209" s="13" t="str">
        <x:f>IF(OR(H209&lt;&gt;1,G209&lt;&gt;1),"",SUMIFS('App Data'!$E$2:$E$1001,'App Data'!$L$2:$L$1001,SUBSTITUTE(SUBSTITUTE(SUBSTITUTE(L209,"~","~~"),"*","~*"),"?","~?")))</x:f>
      </x:c>
      <x:c r="J209" s="13" t="str">
        <x:f>IF(OR(NOT(ISNUMBER(E209)),NOT(ISNUMBER(I209))),"",ROUND(E209-I209,2))</x:f>
      </x:c>
      <x:c r="K209" s="2" t="str">
        <x:f>IF(COUNTA(A209:F209)=0,"",IF(OR(A209="",B209="",C209="",D209="",NOT(ISNUMBER(E209))),"Missing / invalid input",IF(G209&gt;1,"Duplicate key in this source",IF(H209=0,"Missing in other source",IF(H209&gt;1,"Duplicate in other source",IF(SUMIFS('App Data'!$M$2:$M$1001,'App Data'!$L$2:$L$1001,SUBSTITUTE(SUBSTITUTE(SUBSTITUTE(L209,"~","~~"),"*","~*"),"?","~?"))&lt;&gt;1,"Other amount is invalid",IF(J209&lt;&gt;0,"Amount differs","Matched")))))))</x:f>
      </x:c>
      <x:c r="L209" t="str">
        <x:f>IF(COUNTA(A209:F209)=0,"",LEN(A209)&amp;":"&amp;A209&amp;LEN(B209)&amp;":"&amp;B209&amp;LEN(C209)&amp;":"&amp;C209&amp;LEN(D209)&amp;":"&amp;D209)</x:f>
      </x:c>
      <x:c r="M209" t="str">
        <x:f>IF(COUNTA(A209:F209)=0,"",IF(ISNUMBER(E209),1,0))</x:f>
      </x:c>
    </x:row>
    <x:row r="210">
      <x:c r="A210" s="11"/>
      <x:c r="B210" s="11"/>
      <x:c r="C210" s="11"/>
      <x:c r="D210" s="11"/>
      <x:c r="E210" s="12"/>
      <x:c r="F210" s="10"/>
      <x:c r="G210" s="2" t="str">
        <x:f>IF(COUNTA(A210:F210)=0,"",COUNTIFS('External Data'!$L$2:$L$1001,SUBSTITUTE(SUBSTITUTE(SUBSTITUTE(L210,"~","~~"),"*","~*"),"?","~?")))</x:f>
      </x:c>
      <x:c r="H210" s="2" t="str">
        <x:f>IF(COUNTA(A210:F210)=0,"",COUNTIFS('App Data'!$L$2:$L$1001,SUBSTITUTE(SUBSTITUTE(SUBSTITUTE(L210,"~","~~"),"*","~*"),"?","~?")))</x:f>
      </x:c>
      <x:c r="I210" s="13" t="str">
        <x:f>IF(OR(H210&lt;&gt;1,G210&lt;&gt;1),"",SUMIFS('App Data'!$E$2:$E$1001,'App Data'!$L$2:$L$1001,SUBSTITUTE(SUBSTITUTE(SUBSTITUTE(L210,"~","~~"),"*","~*"),"?","~?")))</x:f>
      </x:c>
      <x:c r="J210" s="13" t="str">
        <x:f>IF(OR(NOT(ISNUMBER(E210)),NOT(ISNUMBER(I210))),"",ROUND(E210-I210,2))</x:f>
      </x:c>
      <x:c r="K210" s="2" t="str">
        <x:f>IF(COUNTA(A210:F210)=0,"",IF(OR(A210="",B210="",C210="",D210="",NOT(ISNUMBER(E210))),"Missing / invalid input",IF(G210&gt;1,"Duplicate key in this source",IF(H210=0,"Missing in other source",IF(H210&gt;1,"Duplicate in other source",IF(SUMIFS('App Data'!$M$2:$M$1001,'App Data'!$L$2:$L$1001,SUBSTITUTE(SUBSTITUTE(SUBSTITUTE(L210,"~","~~"),"*","~*"),"?","~?"))&lt;&gt;1,"Other amount is invalid",IF(J210&lt;&gt;0,"Amount differs","Matched")))))))</x:f>
      </x:c>
      <x:c r="L210" t="str">
        <x:f>IF(COUNTA(A210:F210)=0,"",LEN(A210)&amp;":"&amp;A210&amp;LEN(B210)&amp;":"&amp;B210&amp;LEN(C210)&amp;":"&amp;C210&amp;LEN(D210)&amp;":"&amp;D210)</x:f>
      </x:c>
      <x:c r="M210" t="str">
        <x:f>IF(COUNTA(A210:F210)=0,"",IF(ISNUMBER(E210),1,0))</x:f>
      </x:c>
    </x:row>
    <x:row r="211">
      <x:c r="A211" s="11"/>
      <x:c r="B211" s="11"/>
      <x:c r="C211" s="11"/>
      <x:c r="D211" s="11"/>
      <x:c r="E211" s="12"/>
      <x:c r="F211" s="10"/>
      <x:c r="G211" s="2" t="str">
        <x:f>IF(COUNTA(A211:F211)=0,"",COUNTIFS('External Data'!$L$2:$L$1001,SUBSTITUTE(SUBSTITUTE(SUBSTITUTE(L211,"~","~~"),"*","~*"),"?","~?")))</x:f>
      </x:c>
      <x:c r="H211" s="2" t="str">
        <x:f>IF(COUNTA(A211:F211)=0,"",COUNTIFS('App Data'!$L$2:$L$1001,SUBSTITUTE(SUBSTITUTE(SUBSTITUTE(L211,"~","~~"),"*","~*"),"?","~?")))</x:f>
      </x:c>
      <x:c r="I211" s="13" t="str">
        <x:f>IF(OR(H211&lt;&gt;1,G211&lt;&gt;1),"",SUMIFS('App Data'!$E$2:$E$1001,'App Data'!$L$2:$L$1001,SUBSTITUTE(SUBSTITUTE(SUBSTITUTE(L211,"~","~~"),"*","~*"),"?","~?")))</x:f>
      </x:c>
      <x:c r="J211" s="13" t="str">
        <x:f>IF(OR(NOT(ISNUMBER(E211)),NOT(ISNUMBER(I211))),"",ROUND(E211-I211,2))</x:f>
      </x:c>
      <x:c r="K211" s="2" t="str">
        <x:f>IF(COUNTA(A211:F211)=0,"",IF(OR(A211="",B211="",C211="",D211="",NOT(ISNUMBER(E211))),"Missing / invalid input",IF(G211&gt;1,"Duplicate key in this source",IF(H211=0,"Missing in other source",IF(H211&gt;1,"Duplicate in other source",IF(SUMIFS('App Data'!$M$2:$M$1001,'App Data'!$L$2:$L$1001,SUBSTITUTE(SUBSTITUTE(SUBSTITUTE(L211,"~","~~"),"*","~*"),"?","~?"))&lt;&gt;1,"Other amount is invalid",IF(J211&lt;&gt;0,"Amount differs","Matched")))))))</x:f>
      </x:c>
      <x:c r="L211" t="str">
        <x:f>IF(COUNTA(A211:F211)=0,"",LEN(A211)&amp;":"&amp;A211&amp;LEN(B211)&amp;":"&amp;B211&amp;LEN(C211)&amp;":"&amp;C211&amp;LEN(D211)&amp;":"&amp;D211)</x:f>
      </x:c>
      <x:c r="M211" t="str">
        <x:f>IF(COUNTA(A211:F211)=0,"",IF(ISNUMBER(E211),1,0))</x:f>
      </x:c>
    </x:row>
    <x:row r="212">
      <x:c r="A212" s="11"/>
      <x:c r="B212" s="11"/>
      <x:c r="C212" s="11"/>
      <x:c r="D212" s="11"/>
      <x:c r="E212" s="12"/>
      <x:c r="F212" s="10"/>
      <x:c r="G212" s="2" t="str">
        <x:f>IF(COUNTA(A212:F212)=0,"",COUNTIFS('External Data'!$L$2:$L$1001,SUBSTITUTE(SUBSTITUTE(SUBSTITUTE(L212,"~","~~"),"*","~*"),"?","~?")))</x:f>
      </x:c>
      <x:c r="H212" s="2" t="str">
        <x:f>IF(COUNTA(A212:F212)=0,"",COUNTIFS('App Data'!$L$2:$L$1001,SUBSTITUTE(SUBSTITUTE(SUBSTITUTE(L212,"~","~~"),"*","~*"),"?","~?")))</x:f>
      </x:c>
      <x:c r="I212" s="13" t="str">
        <x:f>IF(OR(H212&lt;&gt;1,G212&lt;&gt;1),"",SUMIFS('App Data'!$E$2:$E$1001,'App Data'!$L$2:$L$1001,SUBSTITUTE(SUBSTITUTE(SUBSTITUTE(L212,"~","~~"),"*","~*"),"?","~?")))</x:f>
      </x:c>
      <x:c r="J212" s="13" t="str">
        <x:f>IF(OR(NOT(ISNUMBER(E212)),NOT(ISNUMBER(I212))),"",ROUND(E212-I212,2))</x:f>
      </x:c>
      <x:c r="K212" s="2" t="str">
        <x:f>IF(COUNTA(A212:F212)=0,"",IF(OR(A212="",B212="",C212="",D212="",NOT(ISNUMBER(E212))),"Missing / invalid input",IF(G212&gt;1,"Duplicate key in this source",IF(H212=0,"Missing in other source",IF(H212&gt;1,"Duplicate in other source",IF(SUMIFS('App Data'!$M$2:$M$1001,'App Data'!$L$2:$L$1001,SUBSTITUTE(SUBSTITUTE(SUBSTITUTE(L212,"~","~~"),"*","~*"),"?","~?"))&lt;&gt;1,"Other amount is invalid",IF(J212&lt;&gt;0,"Amount differs","Matched")))))))</x:f>
      </x:c>
      <x:c r="L212" t="str">
        <x:f>IF(COUNTA(A212:F212)=0,"",LEN(A212)&amp;":"&amp;A212&amp;LEN(B212)&amp;":"&amp;B212&amp;LEN(C212)&amp;":"&amp;C212&amp;LEN(D212)&amp;":"&amp;D212)</x:f>
      </x:c>
      <x:c r="M212" t="str">
        <x:f>IF(COUNTA(A212:F212)=0,"",IF(ISNUMBER(E212),1,0))</x:f>
      </x:c>
    </x:row>
    <x:row r="213">
      <x:c r="A213" s="11"/>
      <x:c r="B213" s="11"/>
      <x:c r="C213" s="11"/>
      <x:c r="D213" s="11"/>
      <x:c r="E213" s="12"/>
      <x:c r="F213" s="10"/>
      <x:c r="G213" s="2" t="str">
        <x:f>IF(COUNTA(A213:F213)=0,"",COUNTIFS('External Data'!$L$2:$L$1001,SUBSTITUTE(SUBSTITUTE(SUBSTITUTE(L213,"~","~~"),"*","~*"),"?","~?")))</x:f>
      </x:c>
      <x:c r="H213" s="2" t="str">
        <x:f>IF(COUNTA(A213:F213)=0,"",COUNTIFS('App Data'!$L$2:$L$1001,SUBSTITUTE(SUBSTITUTE(SUBSTITUTE(L213,"~","~~"),"*","~*"),"?","~?")))</x:f>
      </x:c>
      <x:c r="I213" s="13" t="str">
        <x:f>IF(OR(H213&lt;&gt;1,G213&lt;&gt;1),"",SUMIFS('App Data'!$E$2:$E$1001,'App Data'!$L$2:$L$1001,SUBSTITUTE(SUBSTITUTE(SUBSTITUTE(L213,"~","~~"),"*","~*"),"?","~?")))</x:f>
      </x:c>
      <x:c r="J213" s="13" t="str">
        <x:f>IF(OR(NOT(ISNUMBER(E213)),NOT(ISNUMBER(I213))),"",ROUND(E213-I213,2))</x:f>
      </x:c>
      <x:c r="K213" s="2" t="str">
        <x:f>IF(COUNTA(A213:F213)=0,"",IF(OR(A213="",B213="",C213="",D213="",NOT(ISNUMBER(E213))),"Missing / invalid input",IF(G213&gt;1,"Duplicate key in this source",IF(H213=0,"Missing in other source",IF(H213&gt;1,"Duplicate in other source",IF(SUMIFS('App Data'!$M$2:$M$1001,'App Data'!$L$2:$L$1001,SUBSTITUTE(SUBSTITUTE(SUBSTITUTE(L213,"~","~~"),"*","~*"),"?","~?"))&lt;&gt;1,"Other amount is invalid",IF(J213&lt;&gt;0,"Amount differs","Matched")))))))</x:f>
      </x:c>
      <x:c r="L213" t="str">
        <x:f>IF(COUNTA(A213:F213)=0,"",LEN(A213)&amp;":"&amp;A213&amp;LEN(B213)&amp;":"&amp;B213&amp;LEN(C213)&amp;":"&amp;C213&amp;LEN(D213)&amp;":"&amp;D213)</x:f>
      </x:c>
      <x:c r="M213" t="str">
        <x:f>IF(COUNTA(A213:F213)=0,"",IF(ISNUMBER(E213),1,0))</x:f>
      </x:c>
    </x:row>
    <x:row r="214">
      <x:c r="A214" s="11"/>
      <x:c r="B214" s="11"/>
      <x:c r="C214" s="11"/>
      <x:c r="D214" s="11"/>
      <x:c r="E214" s="12"/>
      <x:c r="F214" s="10"/>
      <x:c r="G214" s="2" t="str">
        <x:f>IF(COUNTA(A214:F214)=0,"",COUNTIFS('External Data'!$L$2:$L$1001,SUBSTITUTE(SUBSTITUTE(SUBSTITUTE(L214,"~","~~"),"*","~*"),"?","~?")))</x:f>
      </x:c>
      <x:c r="H214" s="2" t="str">
        <x:f>IF(COUNTA(A214:F214)=0,"",COUNTIFS('App Data'!$L$2:$L$1001,SUBSTITUTE(SUBSTITUTE(SUBSTITUTE(L214,"~","~~"),"*","~*"),"?","~?")))</x:f>
      </x:c>
      <x:c r="I214" s="13" t="str">
        <x:f>IF(OR(H214&lt;&gt;1,G214&lt;&gt;1),"",SUMIFS('App Data'!$E$2:$E$1001,'App Data'!$L$2:$L$1001,SUBSTITUTE(SUBSTITUTE(SUBSTITUTE(L214,"~","~~"),"*","~*"),"?","~?")))</x:f>
      </x:c>
      <x:c r="J214" s="13" t="str">
        <x:f>IF(OR(NOT(ISNUMBER(E214)),NOT(ISNUMBER(I214))),"",ROUND(E214-I214,2))</x:f>
      </x:c>
      <x:c r="K214" s="2" t="str">
        <x:f>IF(COUNTA(A214:F214)=0,"",IF(OR(A214="",B214="",C214="",D214="",NOT(ISNUMBER(E214))),"Missing / invalid input",IF(G214&gt;1,"Duplicate key in this source",IF(H214=0,"Missing in other source",IF(H214&gt;1,"Duplicate in other source",IF(SUMIFS('App Data'!$M$2:$M$1001,'App Data'!$L$2:$L$1001,SUBSTITUTE(SUBSTITUTE(SUBSTITUTE(L214,"~","~~"),"*","~*"),"?","~?"))&lt;&gt;1,"Other amount is invalid",IF(J214&lt;&gt;0,"Amount differs","Matched")))))))</x:f>
      </x:c>
      <x:c r="L214" t="str">
        <x:f>IF(COUNTA(A214:F214)=0,"",LEN(A214)&amp;":"&amp;A214&amp;LEN(B214)&amp;":"&amp;B214&amp;LEN(C214)&amp;":"&amp;C214&amp;LEN(D214)&amp;":"&amp;D214)</x:f>
      </x:c>
      <x:c r="M214" t="str">
        <x:f>IF(COUNTA(A214:F214)=0,"",IF(ISNUMBER(E214),1,0))</x:f>
      </x:c>
    </x:row>
    <x:row r="215">
      <x:c r="A215" s="11"/>
      <x:c r="B215" s="11"/>
      <x:c r="C215" s="11"/>
      <x:c r="D215" s="11"/>
      <x:c r="E215" s="12"/>
      <x:c r="F215" s="10"/>
      <x:c r="G215" s="2" t="str">
        <x:f>IF(COUNTA(A215:F215)=0,"",COUNTIFS('External Data'!$L$2:$L$1001,SUBSTITUTE(SUBSTITUTE(SUBSTITUTE(L215,"~","~~"),"*","~*"),"?","~?")))</x:f>
      </x:c>
      <x:c r="H215" s="2" t="str">
        <x:f>IF(COUNTA(A215:F215)=0,"",COUNTIFS('App Data'!$L$2:$L$1001,SUBSTITUTE(SUBSTITUTE(SUBSTITUTE(L215,"~","~~"),"*","~*"),"?","~?")))</x:f>
      </x:c>
      <x:c r="I215" s="13" t="str">
        <x:f>IF(OR(H215&lt;&gt;1,G215&lt;&gt;1),"",SUMIFS('App Data'!$E$2:$E$1001,'App Data'!$L$2:$L$1001,SUBSTITUTE(SUBSTITUTE(SUBSTITUTE(L215,"~","~~"),"*","~*"),"?","~?")))</x:f>
      </x:c>
      <x:c r="J215" s="13" t="str">
        <x:f>IF(OR(NOT(ISNUMBER(E215)),NOT(ISNUMBER(I215))),"",ROUND(E215-I215,2))</x:f>
      </x:c>
      <x:c r="K215" s="2" t="str">
        <x:f>IF(COUNTA(A215:F215)=0,"",IF(OR(A215="",B215="",C215="",D215="",NOT(ISNUMBER(E215))),"Missing / invalid input",IF(G215&gt;1,"Duplicate key in this source",IF(H215=0,"Missing in other source",IF(H215&gt;1,"Duplicate in other source",IF(SUMIFS('App Data'!$M$2:$M$1001,'App Data'!$L$2:$L$1001,SUBSTITUTE(SUBSTITUTE(SUBSTITUTE(L215,"~","~~"),"*","~*"),"?","~?"))&lt;&gt;1,"Other amount is invalid",IF(J215&lt;&gt;0,"Amount differs","Matched")))))))</x:f>
      </x:c>
      <x:c r="L215" t="str">
        <x:f>IF(COUNTA(A215:F215)=0,"",LEN(A215)&amp;":"&amp;A215&amp;LEN(B215)&amp;":"&amp;B215&amp;LEN(C215)&amp;":"&amp;C215&amp;LEN(D215)&amp;":"&amp;D215)</x:f>
      </x:c>
      <x:c r="M215" t="str">
        <x:f>IF(COUNTA(A215:F215)=0,"",IF(ISNUMBER(E215),1,0))</x:f>
      </x:c>
    </x:row>
    <x:row r="216">
      <x:c r="A216" s="11"/>
      <x:c r="B216" s="11"/>
      <x:c r="C216" s="11"/>
      <x:c r="D216" s="11"/>
      <x:c r="E216" s="12"/>
      <x:c r="F216" s="10"/>
      <x:c r="G216" s="2" t="str">
        <x:f>IF(COUNTA(A216:F216)=0,"",COUNTIFS('External Data'!$L$2:$L$1001,SUBSTITUTE(SUBSTITUTE(SUBSTITUTE(L216,"~","~~"),"*","~*"),"?","~?")))</x:f>
      </x:c>
      <x:c r="H216" s="2" t="str">
        <x:f>IF(COUNTA(A216:F216)=0,"",COUNTIFS('App Data'!$L$2:$L$1001,SUBSTITUTE(SUBSTITUTE(SUBSTITUTE(L216,"~","~~"),"*","~*"),"?","~?")))</x:f>
      </x:c>
      <x:c r="I216" s="13" t="str">
        <x:f>IF(OR(H216&lt;&gt;1,G216&lt;&gt;1),"",SUMIFS('App Data'!$E$2:$E$1001,'App Data'!$L$2:$L$1001,SUBSTITUTE(SUBSTITUTE(SUBSTITUTE(L216,"~","~~"),"*","~*"),"?","~?")))</x:f>
      </x:c>
      <x:c r="J216" s="13" t="str">
        <x:f>IF(OR(NOT(ISNUMBER(E216)),NOT(ISNUMBER(I216))),"",ROUND(E216-I216,2))</x:f>
      </x:c>
      <x:c r="K216" s="2" t="str">
        <x:f>IF(COUNTA(A216:F216)=0,"",IF(OR(A216="",B216="",C216="",D216="",NOT(ISNUMBER(E216))),"Missing / invalid input",IF(G216&gt;1,"Duplicate key in this source",IF(H216=0,"Missing in other source",IF(H216&gt;1,"Duplicate in other source",IF(SUMIFS('App Data'!$M$2:$M$1001,'App Data'!$L$2:$L$1001,SUBSTITUTE(SUBSTITUTE(SUBSTITUTE(L216,"~","~~"),"*","~*"),"?","~?"))&lt;&gt;1,"Other amount is invalid",IF(J216&lt;&gt;0,"Amount differs","Matched")))))))</x:f>
      </x:c>
      <x:c r="L216" t="str">
        <x:f>IF(COUNTA(A216:F216)=0,"",LEN(A216)&amp;":"&amp;A216&amp;LEN(B216)&amp;":"&amp;B216&amp;LEN(C216)&amp;":"&amp;C216&amp;LEN(D216)&amp;":"&amp;D216)</x:f>
      </x:c>
      <x:c r="M216" t="str">
        <x:f>IF(COUNTA(A216:F216)=0,"",IF(ISNUMBER(E216),1,0))</x:f>
      </x:c>
    </x:row>
    <x:row r="217">
      <x:c r="A217" s="11"/>
      <x:c r="B217" s="11"/>
      <x:c r="C217" s="11"/>
      <x:c r="D217" s="11"/>
      <x:c r="E217" s="12"/>
      <x:c r="F217" s="10"/>
      <x:c r="G217" s="2" t="str">
        <x:f>IF(COUNTA(A217:F217)=0,"",COUNTIFS('External Data'!$L$2:$L$1001,SUBSTITUTE(SUBSTITUTE(SUBSTITUTE(L217,"~","~~"),"*","~*"),"?","~?")))</x:f>
      </x:c>
      <x:c r="H217" s="2" t="str">
        <x:f>IF(COUNTA(A217:F217)=0,"",COUNTIFS('App Data'!$L$2:$L$1001,SUBSTITUTE(SUBSTITUTE(SUBSTITUTE(L217,"~","~~"),"*","~*"),"?","~?")))</x:f>
      </x:c>
      <x:c r="I217" s="13" t="str">
        <x:f>IF(OR(H217&lt;&gt;1,G217&lt;&gt;1),"",SUMIFS('App Data'!$E$2:$E$1001,'App Data'!$L$2:$L$1001,SUBSTITUTE(SUBSTITUTE(SUBSTITUTE(L217,"~","~~"),"*","~*"),"?","~?")))</x:f>
      </x:c>
      <x:c r="J217" s="13" t="str">
        <x:f>IF(OR(NOT(ISNUMBER(E217)),NOT(ISNUMBER(I217))),"",ROUND(E217-I217,2))</x:f>
      </x:c>
      <x:c r="K217" s="2" t="str">
        <x:f>IF(COUNTA(A217:F217)=0,"",IF(OR(A217="",B217="",C217="",D217="",NOT(ISNUMBER(E217))),"Missing / invalid input",IF(G217&gt;1,"Duplicate key in this source",IF(H217=0,"Missing in other source",IF(H217&gt;1,"Duplicate in other source",IF(SUMIFS('App Data'!$M$2:$M$1001,'App Data'!$L$2:$L$1001,SUBSTITUTE(SUBSTITUTE(SUBSTITUTE(L217,"~","~~"),"*","~*"),"?","~?"))&lt;&gt;1,"Other amount is invalid",IF(J217&lt;&gt;0,"Amount differs","Matched")))))))</x:f>
      </x:c>
      <x:c r="L217" t="str">
        <x:f>IF(COUNTA(A217:F217)=0,"",LEN(A217)&amp;":"&amp;A217&amp;LEN(B217)&amp;":"&amp;B217&amp;LEN(C217)&amp;":"&amp;C217&amp;LEN(D217)&amp;":"&amp;D217)</x:f>
      </x:c>
      <x:c r="M217" t="str">
        <x:f>IF(COUNTA(A217:F217)=0,"",IF(ISNUMBER(E217),1,0))</x:f>
      </x:c>
    </x:row>
    <x:row r="218">
      <x:c r="A218" s="11"/>
      <x:c r="B218" s="11"/>
      <x:c r="C218" s="11"/>
      <x:c r="D218" s="11"/>
      <x:c r="E218" s="12"/>
      <x:c r="F218" s="10"/>
      <x:c r="G218" s="2" t="str">
        <x:f>IF(COUNTA(A218:F218)=0,"",COUNTIFS('External Data'!$L$2:$L$1001,SUBSTITUTE(SUBSTITUTE(SUBSTITUTE(L218,"~","~~"),"*","~*"),"?","~?")))</x:f>
      </x:c>
      <x:c r="H218" s="2" t="str">
        <x:f>IF(COUNTA(A218:F218)=0,"",COUNTIFS('App Data'!$L$2:$L$1001,SUBSTITUTE(SUBSTITUTE(SUBSTITUTE(L218,"~","~~"),"*","~*"),"?","~?")))</x:f>
      </x:c>
      <x:c r="I218" s="13" t="str">
        <x:f>IF(OR(H218&lt;&gt;1,G218&lt;&gt;1),"",SUMIFS('App Data'!$E$2:$E$1001,'App Data'!$L$2:$L$1001,SUBSTITUTE(SUBSTITUTE(SUBSTITUTE(L218,"~","~~"),"*","~*"),"?","~?")))</x:f>
      </x:c>
      <x:c r="J218" s="13" t="str">
        <x:f>IF(OR(NOT(ISNUMBER(E218)),NOT(ISNUMBER(I218))),"",ROUND(E218-I218,2))</x:f>
      </x:c>
      <x:c r="K218" s="2" t="str">
        <x:f>IF(COUNTA(A218:F218)=0,"",IF(OR(A218="",B218="",C218="",D218="",NOT(ISNUMBER(E218))),"Missing / invalid input",IF(G218&gt;1,"Duplicate key in this source",IF(H218=0,"Missing in other source",IF(H218&gt;1,"Duplicate in other source",IF(SUMIFS('App Data'!$M$2:$M$1001,'App Data'!$L$2:$L$1001,SUBSTITUTE(SUBSTITUTE(SUBSTITUTE(L218,"~","~~"),"*","~*"),"?","~?"))&lt;&gt;1,"Other amount is invalid",IF(J218&lt;&gt;0,"Amount differs","Matched")))))))</x:f>
      </x:c>
      <x:c r="L218" t="str">
        <x:f>IF(COUNTA(A218:F218)=0,"",LEN(A218)&amp;":"&amp;A218&amp;LEN(B218)&amp;":"&amp;B218&amp;LEN(C218)&amp;":"&amp;C218&amp;LEN(D218)&amp;":"&amp;D218)</x:f>
      </x:c>
      <x:c r="M218" t="str">
        <x:f>IF(COUNTA(A218:F218)=0,"",IF(ISNUMBER(E218),1,0))</x:f>
      </x:c>
    </x:row>
    <x:row r="219">
      <x:c r="A219" s="11"/>
      <x:c r="B219" s="11"/>
      <x:c r="C219" s="11"/>
      <x:c r="D219" s="11"/>
      <x:c r="E219" s="12"/>
      <x:c r="F219" s="10"/>
      <x:c r="G219" s="2" t="str">
        <x:f>IF(COUNTA(A219:F219)=0,"",COUNTIFS('External Data'!$L$2:$L$1001,SUBSTITUTE(SUBSTITUTE(SUBSTITUTE(L219,"~","~~"),"*","~*"),"?","~?")))</x:f>
      </x:c>
      <x:c r="H219" s="2" t="str">
        <x:f>IF(COUNTA(A219:F219)=0,"",COUNTIFS('App Data'!$L$2:$L$1001,SUBSTITUTE(SUBSTITUTE(SUBSTITUTE(L219,"~","~~"),"*","~*"),"?","~?")))</x:f>
      </x:c>
      <x:c r="I219" s="13" t="str">
        <x:f>IF(OR(H219&lt;&gt;1,G219&lt;&gt;1),"",SUMIFS('App Data'!$E$2:$E$1001,'App Data'!$L$2:$L$1001,SUBSTITUTE(SUBSTITUTE(SUBSTITUTE(L219,"~","~~"),"*","~*"),"?","~?")))</x:f>
      </x:c>
      <x:c r="J219" s="13" t="str">
        <x:f>IF(OR(NOT(ISNUMBER(E219)),NOT(ISNUMBER(I219))),"",ROUND(E219-I219,2))</x:f>
      </x:c>
      <x:c r="K219" s="2" t="str">
        <x:f>IF(COUNTA(A219:F219)=0,"",IF(OR(A219="",B219="",C219="",D219="",NOT(ISNUMBER(E219))),"Missing / invalid input",IF(G219&gt;1,"Duplicate key in this source",IF(H219=0,"Missing in other source",IF(H219&gt;1,"Duplicate in other source",IF(SUMIFS('App Data'!$M$2:$M$1001,'App Data'!$L$2:$L$1001,SUBSTITUTE(SUBSTITUTE(SUBSTITUTE(L219,"~","~~"),"*","~*"),"?","~?"))&lt;&gt;1,"Other amount is invalid",IF(J219&lt;&gt;0,"Amount differs","Matched")))))))</x:f>
      </x:c>
      <x:c r="L219" t="str">
        <x:f>IF(COUNTA(A219:F219)=0,"",LEN(A219)&amp;":"&amp;A219&amp;LEN(B219)&amp;":"&amp;B219&amp;LEN(C219)&amp;":"&amp;C219&amp;LEN(D219)&amp;":"&amp;D219)</x:f>
      </x:c>
      <x:c r="M219" t="str">
        <x:f>IF(COUNTA(A219:F219)=0,"",IF(ISNUMBER(E219),1,0))</x:f>
      </x:c>
    </x:row>
    <x:row r="220">
      <x:c r="A220" s="11"/>
      <x:c r="B220" s="11"/>
      <x:c r="C220" s="11"/>
      <x:c r="D220" s="11"/>
      <x:c r="E220" s="12"/>
      <x:c r="F220" s="10"/>
      <x:c r="G220" s="2" t="str">
        <x:f>IF(COUNTA(A220:F220)=0,"",COUNTIFS('External Data'!$L$2:$L$1001,SUBSTITUTE(SUBSTITUTE(SUBSTITUTE(L220,"~","~~"),"*","~*"),"?","~?")))</x:f>
      </x:c>
      <x:c r="H220" s="2" t="str">
        <x:f>IF(COUNTA(A220:F220)=0,"",COUNTIFS('App Data'!$L$2:$L$1001,SUBSTITUTE(SUBSTITUTE(SUBSTITUTE(L220,"~","~~"),"*","~*"),"?","~?")))</x:f>
      </x:c>
      <x:c r="I220" s="13" t="str">
        <x:f>IF(OR(H220&lt;&gt;1,G220&lt;&gt;1),"",SUMIFS('App Data'!$E$2:$E$1001,'App Data'!$L$2:$L$1001,SUBSTITUTE(SUBSTITUTE(SUBSTITUTE(L220,"~","~~"),"*","~*"),"?","~?")))</x:f>
      </x:c>
      <x:c r="J220" s="13" t="str">
        <x:f>IF(OR(NOT(ISNUMBER(E220)),NOT(ISNUMBER(I220))),"",ROUND(E220-I220,2))</x:f>
      </x:c>
      <x:c r="K220" s="2" t="str">
        <x:f>IF(COUNTA(A220:F220)=0,"",IF(OR(A220="",B220="",C220="",D220="",NOT(ISNUMBER(E220))),"Missing / invalid input",IF(G220&gt;1,"Duplicate key in this source",IF(H220=0,"Missing in other source",IF(H220&gt;1,"Duplicate in other source",IF(SUMIFS('App Data'!$M$2:$M$1001,'App Data'!$L$2:$L$1001,SUBSTITUTE(SUBSTITUTE(SUBSTITUTE(L220,"~","~~"),"*","~*"),"?","~?"))&lt;&gt;1,"Other amount is invalid",IF(J220&lt;&gt;0,"Amount differs","Matched")))))))</x:f>
      </x:c>
      <x:c r="L220" t="str">
        <x:f>IF(COUNTA(A220:F220)=0,"",LEN(A220)&amp;":"&amp;A220&amp;LEN(B220)&amp;":"&amp;B220&amp;LEN(C220)&amp;":"&amp;C220&amp;LEN(D220)&amp;":"&amp;D220)</x:f>
      </x:c>
      <x:c r="M220" t="str">
        <x:f>IF(COUNTA(A220:F220)=0,"",IF(ISNUMBER(E220),1,0))</x:f>
      </x:c>
    </x:row>
    <x:row r="221">
      <x:c r="A221" s="11"/>
      <x:c r="B221" s="11"/>
      <x:c r="C221" s="11"/>
      <x:c r="D221" s="11"/>
      <x:c r="E221" s="12"/>
      <x:c r="F221" s="10"/>
      <x:c r="G221" s="2" t="str">
        <x:f>IF(COUNTA(A221:F221)=0,"",COUNTIFS('External Data'!$L$2:$L$1001,SUBSTITUTE(SUBSTITUTE(SUBSTITUTE(L221,"~","~~"),"*","~*"),"?","~?")))</x:f>
      </x:c>
      <x:c r="H221" s="2" t="str">
        <x:f>IF(COUNTA(A221:F221)=0,"",COUNTIFS('App Data'!$L$2:$L$1001,SUBSTITUTE(SUBSTITUTE(SUBSTITUTE(L221,"~","~~"),"*","~*"),"?","~?")))</x:f>
      </x:c>
      <x:c r="I221" s="13" t="str">
        <x:f>IF(OR(H221&lt;&gt;1,G221&lt;&gt;1),"",SUMIFS('App Data'!$E$2:$E$1001,'App Data'!$L$2:$L$1001,SUBSTITUTE(SUBSTITUTE(SUBSTITUTE(L221,"~","~~"),"*","~*"),"?","~?")))</x:f>
      </x:c>
      <x:c r="J221" s="13" t="str">
        <x:f>IF(OR(NOT(ISNUMBER(E221)),NOT(ISNUMBER(I221))),"",ROUND(E221-I221,2))</x:f>
      </x:c>
      <x:c r="K221" s="2" t="str">
        <x:f>IF(COUNTA(A221:F221)=0,"",IF(OR(A221="",B221="",C221="",D221="",NOT(ISNUMBER(E221))),"Missing / invalid input",IF(G221&gt;1,"Duplicate key in this source",IF(H221=0,"Missing in other source",IF(H221&gt;1,"Duplicate in other source",IF(SUMIFS('App Data'!$M$2:$M$1001,'App Data'!$L$2:$L$1001,SUBSTITUTE(SUBSTITUTE(SUBSTITUTE(L221,"~","~~"),"*","~*"),"?","~?"))&lt;&gt;1,"Other amount is invalid",IF(J221&lt;&gt;0,"Amount differs","Matched")))))))</x:f>
      </x:c>
      <x:c r="L221" t="str">
        <x:f>IF(COUNTA(A221:F221)=0,"",LEN(A221)&amp;":"&amp;A221&amp;LEN(B221)&amp;":"&amp;B221&amp;LEN(C221)&amp;":"&amp;C221&amp;LEN(D221)&amp;":"&amp;D221)</x:f>
      </x:c>
      <x:c r="M221" t="str">
        <x:f>IF(COUNTA(A221:F221)=0,"",IF(ISNUMBER(E221),1,0))</x:f>
      </x:c>
    </x:row>
    <x:row r="222">
      <x:c r="A222" s="11"/>
      <x:c r="B222" s="11"/>
      <x:c r="C222" s="11"/>
      <x:c r="D222" s="11"/>
      <x:c r="E222" s="12"/>
      <x:c r="F222" s="10"/>
      <x:c r="G222" s="2" t="str">
        <x:f>IF(COUNTA(A222:F222)=0,"",COUNTIFS('External Data'!$L$2:$L$1001,SUBSTITUTE(SUBSTITUTE(SUBSTITUTE(L222,"~","~~"),"*","~*"),"?","~?")))</x:f>
      </x:c>
      <x:c r="H222" s="2" t="str">
        <x:f>IF(COUNTA(A222:F222)=0,"",COUNTIFS('App Data'!$L$2:$L$1001,SUBSTITUTE(SUBSTITUTE(SUBSTITUTE(L222,"~","~~"),"*","~*"),"?","~?")))</x:f>
      </x:c>
      <x:c r="I222" s="13" t="str">
        <x:f>IF(OR(H222&lt;&gt;1,G222&lt;&gt;1),"",SUMIFS('App Data'!$E$2:$E$1001,'App Data'!$L$2:$L$1001,SUBSTITUTE(SUBSTITUTE(SUBSTITUTE(L222,"~","~~"),"*","~*"),"?","~?")))</x:f>
      </x:c>
      <x:c r="J222" s="13" t="str">
        <x:f>IF(OR(NOT(ISNUMBER(E222)),NOT(ISNUMBER(I222))),"",ROUND(E222-I222,2))</x:f>
      </x:c>
      <x:c r="K222" s="2" t="str">
        <x:f>IF(COUNTA(A222:F222)=0,"",IF(OR(A222="",B222="",C222="",D222="",NOT(ISNUMBER(E222))),"Missing / invalid input",IF(G222&gt;1,"Duplicate key in this source",IF(H222=0,"Missing in other source",IF(H222&gt;1,"Duplicate in other source",IF(SUMIFS('App Data'!$M$2:$M$1001,'App Data'!$L$2:$L$1001,SUBSTITUTE(SUBSTITUTE(SUBSTITUTE(L222,"~","~~"),"*","~*"),"?","~?"))&lt;&gt;1,"Other amount is invalid",IF(J222&lt;&gt;0,"Amount differs","Matched")))))))</x:f>
      </x:c>
      <x:c r="L222" t="str">
        <x:f>IF(COUNTA(A222:F222)=0,"",LEN(A222)&amp;":"&amp;A222&amp;LEN(B222)&amp;":"&amp;B222&amp;LEN(C222)&amp;":"&amp;C222&amp;LEN(D222)&amp;":"&amp;D222)</x:f>
      </x:c>
      <x:c r="M222" t="str">
        <x:f>IF(COUNTA(A222:F222)=0,"",IF(ISNUMBER(E222),1,0))</x:f>
      </x:c>
    </x:row>
    <x:row r="223">
      <x:c r="A223" s="11"/>
      <x:c r="B223" s="11"/>
      <x:c r="C223" s="11"/>
      <x:c r="D223" s="11"/>
      <x:c r="E223" s="12"/>
      <x:c r="F223" s="10"/>
      <x:c r="G223" s="2" t="str">
        <x:f>IF(COUNTA(A223:F223)=0,"",COUNTIFS('External Data'!$L$2:$L$1001,SUBSTITUTE(SUBSTITUTE(SUBSTITUTE(L223,"~","~~"),"*","~*"),"?","~?")))</x:f>
      </x:c>
      <x:c r="H223" s="2" t="str">
        <x:f>IF(COUNTA(A223:F223)=0,"",COUNTIFS('App Data'!$L$2:$L$1001,SUBSTITUTE(SUBSTITUTE(SUBSTITUTE(L223,"~","~~"),"*","~*"),"?","~?")))</x:f>
      </x:c>
      <x:c r="I223" s="13" t="str">
        <x:f>IF(OR(H223&lt;&gt;1,G223&lt;&gt;1),"",SUMIFS('App Data'!$E$2:$E$1001,'App Data'!$L$2:$L$1001,SUBSTITUTE(SUBSTITUTE(SUBSTITUTE(L223,"~","~~"),"*","~*"),"?","~?")))</x:f>
      </x:c>
      <x:c r="J223" s="13" t="str">
        <x:f>IF(OR(NOT(ISNUMBER(E223)),NOT(ISNUMBER(I223))),"",ROUND(E223-I223,2))</x:f>
      </x:c>
      <x:c r="K223" s="2" t="str">
        <x:f>IF(COUNTA(A223:F223)=0,"",IF(OR(A223="",B223="",C223="",D223="",NOT(ISNUMBER(E223))),"Missing / invalid input",IF(G223&gt;1,"Duplicate key in this source",IF(H223=0,"Missing in other source",IF(H223&gt;1,"Duplicate in other source",IF(SUMIFS('App Data'!$M$2:$M$1001,'App Data'!$L$2:$L$1001,SUBSTITUTE(SUBSTITUTE(SUBSTITUTE(L223,"~","~~"),"*","~*"),"?","~?"))&lt;&gt;1,"Other amount is invalid",IF(J223&lt;&gt;0,"Amount differs","Matched")))))))</x:f>
      </x:c>
      <x:c r="L223" t="str">
        <x:f>IF(COUNTA(A223:F223)=0,"",LEN(A223)&amp;":"&amp;A223&amp;LEN(B223)&amp;":"&amp;B223&amp;LEN(C223)&amp;":"&amp;C223&amp;LEN(D223)&amp;":"&amp;D223)</x:f>
      </x:c>
      <x:c r="M223" t="str">
        <x:f>IF(COUNTA(A223:F223)=0,"",IF(ISNUMBER(E223),1,0))</x:f>
      </x:c>
    </x:row>
    <x:row r="224">
      <x:c r="A224" s="11"/>
      <x:c r="B224" s="11"/>
      <x:c r="C224" s="11"/>
      <x:c r="D224" s="11"/>
      <x:c r="E224" s="12"/>
      <x:c r="F224" s="10"/>
      <x:c r="G224" s="2" t="str">
        <x:f>IF(COUNTA(A224:F224)=0,"",COUNTIFS('External Data'!$L$2:$L$1001,SUBSTITUTE(SUBSTITUTE(SUBSTITUTE(L224,"~","~~"),"*","~*"),"?","~?")))</x:f>
      </x:c>
      <x:c r="H224" s="2" t="str">
        <x:f>IF(COUNTA(A224:F224)=0,"",COUNTIFS('App Data'!$L$2:$L$1001,SUBSTITUTE(SUBSTITUTE(SUBSTITUTE(L224,"~","~~"),"*","~*"),"?","~?")))</x:f>
      </x:c>
      <x:c r="I224" s="13" t="str">
        <x:f>IF(OR(H224&lt;&gt;1,G224&lt;&gt;1),"",SUMIFS('App Data'!$E$2:$E$1001,'App Data'!$L$2:$L$1001,SUBSTITUTE(SUBSTITUTE(SUBSTITUTE(L224,"~","~~"),"*","~*"),"?","~?")))</x:f>
      </x:c>
      <x:c r="J224" s="13" t="str">
        <x:f>IF(OR(NOT(ISNUMBER(E224)),NOT(ISNUMBER(I224))),"",ROUND(E224-I224,2))</x:f>
      </x:c>
      <x:c r="K224" s="2" t="str">
        <x:f>IF(COUNTA(A224:F224)=0,"",IF(OR(A224="",B224="",C224="",D224="",NOT(ISNUMBER(E224))),"Missing / invalid input",IF(G224&gt;1,"Duplicate key in this source",IF(H224=0,"Missing in other source",IF(H224&gt;1,"Duplicate in other source",IF(SUMIFS('App Data'!$M$2:$M$1001,'App Data'!$L$2:$L$1001,SUBSTITUTE(SUBSTITUTE(SUBSTITUTE(L224,"~","~~"),"*","~*"),"?","~?"))&lt;&gt;1,"Other amount is invalid",IF(J224&lt;&gt;0,"Amount differs","Matched")))))))</x:f>
      </x:c>
      <x:c r="L224" t="str">
        <x:f>IF(COUNTA(A224:F224)=0,"",LEN(A224)&amp;":"&amp;A224&amp;LEN(B224)&amp;":"&amp;B224&amp;LEN(C224)&amp;":"&amp;C224&amp;LEN(D224)&amp;":"&amp;D224)</x:f>
      </x:c>
      <x:c r="M224" t="str">
        <x:f>IF(COUNTA(A224:F224)=0,"",IF(ISNUMBER(E224),1,0))</x:f>
      </x:c>
    </x:row>
    <x:row r="225">
      <x:c r="A225" s="11"/>
      <x:c r="B225" s="11"/>
      <x:c r="C225" s="11"/>
      <x:c r="D225" s="11"/>
      <x:c r="E225" s="12"/>
      <x:c r="F225" s="10"/>
      <x:c r="G225" s="2" t="str">
        <x:f>IF(COUNTA(A225:F225)=0,"",COUNTIFS('External Data'!$L$2:$L$1001,SUBSTITUTE(SUBSTITUTE(SUBSTITUTE(L225,"~","~~"),"*","~*"),"?","~?")))</x:f>
      </x:c>
      <x:c r="H225" s="2" t="str">
        <x:f>IF(COUNTA(A225:F225)=0,"",COUNTIFS('App Data'!$L$2:$L$1001,SUBSTITUTE(SUBSTITUTE(SUBSTITUTE(L225,"~","~~"),"*","~*"),"?","~?")))</x:f>
      </x:c>
      <x:c r="I225" s="13" t="str">
        <x:f>IF(OR(H225&lt;&gt;1,G225&lt;&gt;1),"",SUMIFS('App Data'!$E$2:$E$1001,'App Data'!$L$2:$L$1001,SUBSTITUTE(SUBSTITUTE(SUBSTITUTE(L225,"~","~~"),"*","~*"),"?","~?")))</x:f>
      </x:c>
      <x:c r="J225" s="13" t="str">
        <x:f>IF(OR(NOT(ISNUMBER(E225)),NOT(ISNUMBER(I225))),"",ROUND(E225-I225,2))</x:f>
      </x:c>
      <x:c r="K225" s="2" t="str">
        <x:f>IF(COUNTA(A225:F225)=0,"",IF(OR(A225="",B225="",C225="",D225="",NOT(ISNUMBER(E225))),"Missing / invalid input",IF(G225&gt;1,"Duplicate key in this source",IF(H225=0,"Missing in other source",IF(H225&gt;1,"Duplicate in other source",IF(SUMIFS('App Data'!$M$2:$M$1001,'App Data'!$L$2:$L$1001,SUBSTITUTE(SUBSTITUTE(SUBSTITUTE(L225,"~","~~"),"*","~*"),"?","~?"))&lt;&gt;1,"Other amount is invalid",IF(J225&lt;&gt;0,"Amount differs","Matched")))))))</x:f>
      </x:c>
      <x:c r="L225" t="str">
        <x:f>IF(COUNTA(A225:F225)=0,"",LEN(A225)&amp;":"&amp;A225&amp;LEN(B225)&amp;":"&amp;B225&amp;LEN(C225)&amp;":"&amp;C225&amp;LEN(D225)&amp;":"&amp;D225)</x:f>
      </x:c>
      <x:c r="M225" t="str">
        <x:f>IF(COUNTA(A225:F225)=0,"",IF(ISNUMBER(E225),1,0))</x:f>
      </x:c>
    </x:row>
    <x:row r="226">
      <x:c r="A226" s="11"/>
      <x:c r="B226" s="11"/>
      <x:c r="C226" s="11"/>
      <x:c r="D226" s="11"/>
      <x:c r="E226" s="12"/>
      <x:c r="F226" s="10"/>
      <x:c r="G226" s="2" t="str">
        <x:f>IF(COUNTA(A226:F226)=0,"",COUNTIFS('External Data'!$L$2:$L$1001,SUBSTITUTE(SUBSTITUTE(SUBSTITUTE(L226,"~","~~"),"*","~*"),"?","~?")))</x:f>
      </x:c>
      <x:c r="H226" s="2" t="str">
        <x:f>IF(COUNTA(A226:F226)=0,"",COUNTIFS('App Data'!$L$2:$L$1001,SUBSTITUTE(SUBSTITUTE(SUBSTITUTE(L226,"~","~~"),"*","~*"),"?","~?")))</x:f>
      </x:c>
      <x:c r="I226" s="13" t="str">
        <x:f>IF(OR(H226&lt;&gt;1,G226&lt;&gt;1),"",SUMIFS('App Data'!$E$2:$E$1001,'App Data'!$L$2:$L$1001,SUBSTITUTE(SUBSTITUTE(SUBSTITUTE(L226,"~","~~"),"*","~*"),"?","~?")))</x:f>
      </x:c>
      <x:c r="J226" s="13" t="str">
        <x:f>IF(OR(NOT(ISNUMBER(E226)),NOT(ISNUMBER(I226))),"",ROUND(E226-I226,2))</x:f>
      </x:c>
      <x:c r="K226" s="2" t="str">
        <x:f>IF(COUNTA(A226:F226)=0,"",IF(OR(A226="",B226="",C226="",D226="",NOT(ISNUMBER(E226))),"Missing / invalid input",IF(G226&gt;1,"Duplicate key in this source",IF(H226=0,"Missing in other source",IF(H226&gt;1,"Duplicate in other source",IF(SUMIFS('App Data'!$M$2:$M$1001,'App Data'!$L$2:$L$1001,SUBSTITUTE(SUBSTITUTE(SUBSTITUTE(L226,"~","~~"),"*","~*"),"?","~?"))&lt;&gt;1,"Other amount is invalid",IF(J226&lt;&gt;0,"Amount differs","Matched")))))))</x:f>
      </x:c>
      <x:c r="L226" t="str">
        <x:f>IF(COUNTA(A226:F226)=0,"",LEN(A226)&amp;":"&amp;A226&amp;LEN(B226)&amp;":"&amp;B226&amp;LEN(C226)&amp;":"&amp;C226&amp;LEN(D226)&amp;":"&amp;D226)</x:f>
      </x:c>
      <x:c r="M226" t="str">
        <x:f>IF(COUNTA(A226:F226)=0,"",IF(ISNUMBER(E226),1,0))</x:f>
      </x:c>
    </x:row>
    <x:row r="227">
      <x:c r="A227" s="11"/>
      <x:c r="B227" s="11"/>
      <x:c r="C227" s="11"/>
      <x:c r="D227" s="11"/>
      <x:c r="E227" s="12"/>
      <x:c r="F227" s="10"/>
      <x:c r="G227" s="2" t="str">
        <x:f>IF(COUNTA(A227:F227)=0,"",COUNTIFS('External Data'!$L$2:$L$1001,SUBSTITUTE(SUBSTITUTE(SUBSTITUTE(L227,"~","~~"),"*","~*"),"?","~?")))</x:f>
      </x:c>
      <x:c r="H227" s="2" t="str">
        <x:f>IF(COUNTA(A227:F227)=0,"",COUNTIFS('App Data'!$L$2:$L$1001,SUBSTITUTE(SUBSTITUTE(SUBSTITUTE(L227,"~","~~"),"*","~*"),"?","~?")))</x:f>
      </x:c>
      <x:c r="I227" s="13" t="str">
        <x:f>IF(OR(H227&lt;&gt;1,G227&lt;&gt;1),"",SUMIFS('App Data'!$E$2:$E$1001,'App Data'!$L$2:$L$1001,SUBSTITUTE(SUBSTITUTE(SUBSTITUTE(L227,"~","~~"),"*","~*"),"?","~?")))</x:f>
      </x:c>
      <x:c r="J227" s="13" t="str">
        <x:f>IF(OR(NOT(ISNUMBER(E227)),NOT(ISNUMBER(I227))),"",ROUND(E227-I227,2))</x:f>
      </x:c>
      <x:c r="K227" s="2" t="str">
        <x:f>IF(COUNTA(A227:F227)=0,"",IF(OR(A227="",B227="",C227="",D227="",NOT(ISNUMBER(E227))),"Missing / invalid input",IF(G227&gt;1,"Duplicate key in this source",IF(H227=0,"Missing in other source",IF(H227&gt;1,"Duplicate in other source",IF(SUMIFS('App Data'!$M$2:$M$1001,'App Data'!$L$2:$L$1001,SUBSTITUTE(SUBSTITUTE(SUBSTITUTE(L227,"~","~~"),"*","~*"),"?","~?"))&lt;&gt;1,"Other amount is invalid",IF(J227&lt;&gt;0,"Amount differs","Matched")))))))</x:f>
      </x:c>
      <x:c r="L227" t="str">
        <x:f>IF(COUNTA(A227:F227)=0,"",LEN(A227)&amp;":"&amp;A227&amp;LEN(B227)&amp;":"&amp;B227&amp;LEN(C227)&amp;":"&amp;C227&amp;LEN(D227)&amp;":"&amp;D227)</x:f>
      </x:c>
      <x:c r="M227" t="str">
        <x:f>IF(COUNTA(A227:F227)=0,"",IF(ISNUMBER(E227),1,0))</x:f>
      </x:c>
    </x:row>
    <x:row r="228">
      <x:c r="A228" s="11"/>
      <x:c r="B228" s="11"/>
      <x:c r="C228" s="11"/>
      <x:c r="D228" s="11"/>
      <x:c r="E228" s="12"/>
      <x:c r="F228" s="10"/>
      <x:c r="G228" s="2" t="str">
        <x:f>IF(COUNTA(A228:F228)=0,"",COUNTIFS('External Data'!$L$2:$L$1001,SUBSTITUTE(SUBSTITUTE(SUBSTITUTE(L228,"~","~~"),"*","~*"),"?","~?")))</x:f>
      </x:c>
      <x:c r="H228" s="2" t="str">
        <x:f>IF(COUNTA(A228:F228)=0,"",COUNTIFS('App Data'!$L$2:$L$1001,SUBSTITUTE(SUBSTITUTE(SUBSTITUTE(L228,"~","~~"),"*","~*"),"?","~?")))</x:f>
      </x:c>
      <x:c r="I228" s="13" t="str">
        <x:f>IF(OR(H228&lt;&gt;1,G228&lt;&gt;1),"",SUMIFS('App Data'!$E$2:$E$1001,'App Data'!$L$2:$L$1001,SUBSTITUTE(SUBSTITUTE(SUBSTITUTE(L228,"~","~~"),"*","~*"),"?","~?")))</x:f>
      </x:c>
      <x:c r="J228" s="13" t="str">
        <x:f>IF(OR(NOT(ISNUMBER(E228)),NOT(ISNUMBER(I228))),"",ROUND(E228-I228,2))</x:f>
      </x:c>
      <x:c r="K228" s="2" t="str">
        <x:f>IF(COUNTA(A228:F228)=0,"",IF(OR(A228="",B228="",C228="",D228="",NOT(ISNUMBER(E228))),"Missing / invalid input",IF(G228&gt;1,"Duplicate key in this source",IF(H228=0,"Missing in other source",IF(H228&gt;1,"Duplicate in other source",IF(SUMIFS('App Data'!$M$2:$M$1001,'App Data'!$L$2:$L$1001,SUBSTITUTE(SUBSTITUTE(SUBSTITUTE(L228,"~","~~"),"*","~*"),"?","~?"))&lt;&gt;1,"Other amount is invalid",IF(J228&lt;&gt;0,"Amount differs","Matched")))))))</x:f>
      </x:c>
      <x:c r="L228" t="str">
        <x:f>IF(COUNTA(A228:F228)=0,"",LEN(A228)&amp;":"&amp;A228&amp;LEN(B228)&amp;":"&amp;B228&amp;LEN(C228)&amp;":"&amp;C228&amp;LEN(D228)&amp;":"&amp;D228)</x:f>
      </x:c>
      <x:c r="M228" t="str">
        <x:f>IF(COUNTA(A228:F228)=0,"",IF(ISNUMBER(E228),1,0))</x:f>
      </x:c>
    </x:row>
    <x:row r="229">
      <x:c r="A229" s="11"/>
      <x:c r="B229" s="11"/>
      <x:c r="C229" s="11"/>
      <x:c r="D229" s="11"/>
      <x:c r="E229" s="12"/>
      <x:c r="F229" s="10"/>
      <x:c r="G229" s="2" t="str">
        <x:f>IF(COUNTA(A229:F229)=0,"",COUNTIFS('External Data'!$L$2:$L$1001,SUBSTITUTE(SUBSTITUTE(SUBSTITUTE(L229,"~","~~"),"*","~*"),"?","~?")))</x:f>
      </x:c>
      <x:c r="H229" s="2" t="str">
        <x:f>IF(COUNTA(A229:F229)=0,"",COUNTIFS('App Data'!$L$2:$L$1001,SUBSTITUTE(SUBSTITUTE(SUBSTITUTE(L229,"~","~~"),"*","~*"),"?","~?")))</x:f>
      </x:c>
      <x:c r="I229" s="13" t="str">
        <x:f>IF(OR(H229&lt;&gt;1,G229&lt;&gt;1),"",SUMIFS('App Data'!$E$2:$E$1001,'App Data'!$L$2:$L$1001,SUBSTITUTE(SUBSTITUTE(SUBSTITUTE(L229,"~","~~"),"*","~*"),"?","~?")))</x:f>
      </x:c>
      <x:c r="J229" s="13" t="str">
        <x:f>IF(OR(NOT(ISNUMBER(E229)),NOT(ISNUMBER(I229))),"",ROUND(E229-I229,2))</x:f>
      </x:c>
      <x:c r="K229" s="2" t="str">
        <x:f>IF(COUNTA(A229:F229)=0,"",IF(OR(A229="",B229="",C229="",D229="",NOT(ISNUMBER(E229))),"Missing / invalid input",IF(G229&gt;1,"Duplicate key in this source",IF(H229=0,"Missing in other source",IF(H229&gt;1,"Duplicate in other source",IF(SUMIFS('App Data'!$M$2:$M$1001,'App Data'!$L$2:$L$1001,SUBSTITUTE(SUBSTITUTE(SUBSTITUTE(L229,"~","~~"),"*","~*"),"?","~?"))&lt;&gt;1,"Other amount is invalid",IF(J229&lt;&gt;0,"Amount differs","Matched")))))))</x:f>
      </x:c>
      <x:c r="L229" t="str">
        <x:f>IF(COUNTA(A229:F229)=0,"",LEN(A229)&amp;":"&amp;A229&amp;LEN(B229)&amp;":"&amp;B229&amp;LEN(C229)&amp;":"&amp;C229&amp;LEN(D229)&amp;":"&amp;D229)</x:f>
      </x:c>
      <x:c r="M229" t="str">
        <x:f>IF(COUNTA(A229:F229)=0,"",IF(ISNUMBER(E229),1,0))</x:f>
      </x:c>
    </x:row>
    <x:row r="230">
      <x:c r="A230" s="11"/>
      <x:c r="B230" s="11"/>
      <x:c r="C230" s="11"/>
      <x:c r="D230" s="11"/>
      <x:c r="E230" s="12"/>
      <x:c r="F230" s="10"/>
      <x:c r="G230" s="2" t="str">
        <x:f>IF(COUNTA(A230:F230)=0,"",COUNTIFS('External Data'!$L$2:$L$1001,SUBSTITUTE(SUBSTITUTE(SUBSTITUTE(L230,"~","~~"),"*","~*"),"?","~?")))</x:f>
      </x:c>
      <x:c r="H230" s="2" t="str">
        <x:f>IF(COUNTA(A230:F230)=0,"",COUNTIFS('App Data'!$L$2:$L$1001,SUBSTITUTE(SUBSTITUTE(SUBSTITUTE(L230,"~","~~"),"*","~*"),"?","~?")))</x:f>
      </x:c>
      <x:c r="I230" s="13" t="str">
        <x:f>IF(OR(H230&lt;&gt;1,G230&lt;&gt;1),"",SUMIFS('App Data'!$E$2:$E$1001,'App Data'!$L$2:$L$1001,SUBSTITUTE(SUBSTITUTE(SUBSTITUTE(L230,"~","~~"),"*","~*"),"?","~?")))</x:f>
      </x:c>
      <x:c r="J230" s="13" t="str">
        <x:f>IF(OR(NOT(ISNUMBER(E230)),NOT(ISNUMBER(I230))),"",ROUND(E230-I230,2))</x:f>
      </x:c>
      <x:c r="K230" s="2" t="str">
        <x:f>IF(COUNTA(A230:F230)=0,"",IF(OR(A230="",B230="",C230="",D230="",NOT(ISNUMBER(E230))),"Missing / invalid input",IF(G230&gt;1,"Duplicate key in this source",IF(H230=0,"Missing in other source",IF(H230&gt;1,"Duplicate in other source",IF(SUMIFS('App Data'!$M$2:$M$1001,'App Data'!$L$2:$L$1001,SUBSTITUTE(SUBSTITUTE(SUBSTITUTE(L230,"~","~~"),"*","~*"),"?","~?"))&lt;&gt;1,"Other amount is invalid",IF(J230&lt;&gt;0,"Amount differs","Matched")))))))</x:f>
      </x:c>
      <x:c r="L230" t="str">
        <x:f>IF(COUNTA(A230:F230)=0,"",LEN(A230)&amp;":"&amp;A230&amp;LEN(B230)&amp;":"&amp;B230&amp;LEN(C230)&amp;":"&amp;C230&amp;LEN(D230)&amp;":"&amp;D230)</x:f>
      </x:c>
      <x:c r="M230" t="str">
        <x:f>IF(COUNTA(A230:F230)=0,"",IF(ISNUMBER(E230),1,0))</x:f>
      </x:c>
    </x:row>
    <x:row r="231">
      <x:c r="A231" s="11"/>
      <x:c r="B231" s="11"/>
      <x:c r="C231" s="11"/>
      <x:c r="D231" s="11"/>
      <x:c r="E231" s="12"/>
      <x:c r="F231" s="10"/>
      <x:c r="G231" s="2" t="str">
        <x:f>IF(COUNTA(A231:F231)=0,"",COUNTIFS('External Data'!$L$2:$L$1001,SUBSTITUTE(SUBSTITUTE(SUBSTITUTE(L231,"~","~~"),"*","~*"),"?","~?")))</x:f>
      </x:c>
      <x:c r="H231" s="2" t="str">
        <x:f>IF(COUNTA(A231:F231)=0,"",COUNTIFS('App Data'!$L$2:$L$1001,SUBSTITUTE(SUBSTITUTE(SUBSTITUTE(L231,"~","~~"),"*","~*"),"?","~?")))</x:f>
      </x:c>
      <x:c r="I231" s="13" t="str">
        <x:f>IF(OR(H231&lt;&gt;1,G231&lt;&gt;1),"",SUMIFS('App Data'!$E$2:$E$1001,'App Data'!$L$2:$L$1001,SUBSTITUTE(SUBSTITUTE(SUBSTITUTE(L231,"~","~~"),"*","~*"),"?","~?")))</x:f>
      </x:c>
      <x:c r="J231" s="13" t="str">
        <x:f>IF(OR(NOT(ISNUMBER(E231)),NOT(ISNUMBER(I231))),"",ROUND(E231-I231,2))</x:f>
      </x:c>
      <x:c r="K231" s="2" t="str">
        <x:f>IF(COUNTA(A231:F231)=0,"",IF(OR(A231="",B231="",C231="",D231="",NOT(ISNUMBER(E231))),"Missing / invalid input",IF(G231&gt;1,"Duplicate key in this source",IF(H231=0,"Missing in other source",IF(H231&gt;1,"Duplicate in other source",IF(SUMIFS('App Data'!$M$2:$M$1001,'App Data'!$L$2:$L$1001,SUBSTITUTE(SUBSTITUTE(SUBSTITUTE(L231,"~","~~"),"*","~*"),"?","~?"))&lt;&gt;1,"Other amount is invalid",IF(J231&lt;&gt;0,"Amount differs","Matched")))))))</x:f>
      </x:c>
      <x:c r="L231" t="str">
        <x:f>IF(COUNTA(A231:F231)=0,"",LEN(A231)&amp;":"&amp;A231&amp;LEN(B231)&amp;":"&amp;B231&amp;LEN(C231)&amp;":"&amp;C231&amp;LEN(D231)&amp;":"&amp;D231)</x:f>
      </x:c>
      <x:c r="M231" t="str">
        <x:f>IF(COUNTA(A231:F231)=0,"",IF(ISNUMBER(E231),1,0))</x:f>
      </x:c>
    </x:row>
    <x:row r="232">
      <x:c r="A232" s="11"/>
      <x:c r="B232" s="11"/>
      <x:c r="C232" s="11"/>
      <x:c r="D232" s="11"/>
      <x:c r="E232" s="12"/>
      <x:c r="F232" s="10"/>
      <x:c r="G232" s="2" t="str">
        <x:f>IF(COUNTA(A232:F232)=0,"",COUNTIFS('External Data'!$L$2:$L$1001,SUBSTITUTE(SUBSTITUTE(SUBSTITUTE(L232,"~","~~"),"*","~*"),"?","~?")))</x:f>
      </x:c>
      <x:c r="H232" s="2" t="str">
        <x:f>IF(COUNTA(A232:F232)=0,"",COUNTIFS('App Data'!$L$2:$L$1001,SUBSTITUTE(SUBSTITUTE(SUBSTITUTE(L232,"~","~~"),"*","~*"),"?","~?")))</x:f>
      </x:c>
      <x:c r="I232" s="13" t="str">
        <x:f>IF(OR(H232&lt;&gt;1,G232&lt;&gt;1),"",SUMIFS('App Data'!$E$2:$E$1001,'App Data'!$L$2:$L$1001,SUBSTITUTE(SUBSTITUTE(SUBSTITUTE(L232,"~","~~"),"*","~*"),"?","~?")))</x:f>
      </x:c>
      <x:c r="J232" s="13" t="str">
        <x:f>IF(OR(NOT(ISNUMBER(E232)),NOT(ISNUMBER(I232))),"",ROUND(E232-I232,2))</x:f>
      </x:c>
      <x:c r="K232" s="2" t="str">
        <x:f>IF(COUNTA(A232:F232)=0,"",IF(OR(A232="",B232="",C232="",D232="",NOT(ISNUMBER(E232))),"Missing / invalid input",IF(G232&gt;1,"Duplicate key in this source",IF(H232=0,"Missing in other source",IF(H232&gt;1,"Duplicate in other source",IF(SUMIFS('App Data'!$M$2:$M$1001,'App Data'!$L$2:$L$1001,SUBSTITUTE(SUBSTITUTE(SUBSTITUTE(L232,"~","~~"),"*","~*"),"?","~?"))&lt;&gt;1,"Other amount is invalid",IF(J232&lt;&gt;0,"Amount differs","Matched")))))))</x:f>
      </x:c>
      <x:c r="L232" t="str">
        <x:f>IF(COUNTA(A232:F232)=0,"",LEN(A232)&amp;":"&amp;A232&amp;LEN(B232)&amp;":"&amp;B232&amp;LEN(C232)&amp;":"&amp;C232&amp;LEN(D232)&amp;":"&amp;D232)</x:f>
      </x:c>
      <x:c r="M232" t="str">
        <x:f>IF(COUNTA(A232:F232)=0,"",IF(ISNUMBER(E232),1,0))</x:f>
      </x:c>
    </x:row>
    <x:row r="233">
      <x:c r="A233" s="11"/>
      <x:c r="B233" s="11"/>
      <x:c r="C233" s="11"/>
      <x:c r="D233" s="11"/>
      <x:c r="E233" s="12"/>
      <x:c r="F233" s="10"/>
      <x:c r="G233" s="2" t="str">
        <x:f>IF(COUNTA(A233:F233)=0,"",COUNTIFS('External Data'!$L$2:$L$1001,SUBSTITUTE(SUBSTITUTE(SUBSTITUTE(L233,"~","~~"),"*","~*"),"?","~?")))</x:f>
      </x:c>
      <x:c r="H233" s="2" t="str">
        <x:f>IF(COUNTA(A233:F233)=0,"",COUNTIFS('App Data'!$L$2:$L$1001,SUBSTITUTE(SUBSTITUTE(SUBSTITUTE(L233,"~","~~"),"*","~*"),"?","~?")))</x:f>
      </x:c>
      <x:c r="I233" s="13" t="str">
        <x:f>IF(OR(H233&lt;&gt;1,G233&lt;&gt;1),"",SUMIFS('App Data'!$E$2:$E$1001,'App Data'!$L$2:$L$1001,SUBSTITUTE(SUBSTITUTE(SUBSTITUTE(L233,"~","~~"),"*","~*"),"?","~?")))</x:f>
      </x:c>
      <x:c r="J233" s="13" t="str">
        <x:f>IF(OR(NOT(ISNUMBER(E233)),NOT(ISNUMBER(I233))),"",ROUND(E233-I233,2))</x:f>
      </x:c>
      <x:c r="K233" s="2" t="str">
        <x:f>IF(COUNTA(A233:F233)=0,"",IF(OR(A233="",B233="",C233="",D233="",NOT(ISNUMBER(E233))),"Missing / invalid input",IF(G233&gt;1,"Duplicate key in this source",IF(H233=0,"Missing in other source",IF(H233&gt;1,"Duplicate in other source",IF(SUMIFS('App Data'!$M$2:$M$1001,'App Data'!$L$2:$L$1001,SUBSTITUTE(SUBSTITUTE(SUBSTITUTE(L233,"~","~~"),"*","~*"),"?","~?"))&lt;&gt;1,"Other amount is invalid",IF(J233&lt;&gt;0,"Amount differs","Matched")))))))</x:f>
      </x:c>
      <x:c r="L233" t="str">
        <x:f>IF(COUNTA(A233:F233)=0,"",LEN(A233)&amp;":"&amp;A233&amp;LEN(B233)&amp;":"&amp;B233&amp;LEN(C233)&amp;":"&amp;C233&amp;LEN(D233)&amp;":"&amp;D233)</x:f>
      </x:c>
      <x:c r="M233" t="str">
        <x:f>IF(COUNTA(A233:F233)=0,"",IF(ISNUMBER(E233),1,0))</x:f>
      </x:c>
    </x:row>
    <x:row r="234">
      <x:c r="A234" s="11"/>
      <x:c r="B234" s="11"/>
      <x:c r="C234" s="11"/>
      <x:c r="D234" s="11"/>
      <x:c r="E234" s="12"/>
      <x:c r="F234" s="10"/>
      <x:c r="G234" s="2" t="str">
        <x:f>IF(COUNTA(A234:F234)=0,"",COUNTIFS('External Data'!$L$2:$L$1001,SUBSTITUTE(SUBSTITUTE(SUBSTITUTE(L234,"~","~~"),"*","~*"),"?","~?")))</x:f>
      </x:c>
      <x:c r="H234" s="2" t="str">
        <x:f>IF(COUNTA(A234:F234)=0,"",COUNTIFS('App Data'!$L$2:$L$1001,SUBSTITUTE(SUBSTITUTE(SUBSTITUTE(L234,"~","~~"),"*","~*"),"?","~?")))</x:f>
      </x:c>
      <x:c r="I234" s="13" t="str">
        <x:f>IF(OR(H234&lt;&gt;1,G234&lt;&gt;1),"",SUMIFS('App Data'!$E$2:$E$1001,'App Data'!$L$2:$L$1001,SUBSTITUTE(SUBSTITUTE(SUBSTITUTE(L234,"~","~~"),"*","~*"),"?","~?")))</x:f>
      </x:c>
      <x:c r="J234" s="13" t="str">
        <x:f>IF(OR(NOT(ISNUMBER(E234)),NOT(ISNUMBER(I234))),"",ROUND(E234-I234,2))</x:f>
      </x:c>
      <x:c r="K234" s="2" t="str">
        <x:f>IF(COUNTA(A234:F234)=0,"",IF(OR(A234="",B234="",C234="",D234="",NOT(ISNUMBER(E234))),"Missing / invalid input",IF(G234&gt;1,"Duplicate key in this source",IF(H234=0,"Missing in other source",IF(H234&gt;1,"Duplicate in other source",IF(SUMIFS('App Data'!$M$2:$M$1001,'App Data'!$L$2:$L$1001,SUBSTITUTE(SUBSTITUTE(SUBSTITUTE(L234,"~","~~"),"*","~*"),"?","~?"))&lt;&gt;1,"Other amount is invalid",IF(J234&lt;&gt;0,"Amount differs","Matched")))))))</x:f>
      </x:c>
      <x:c r="L234" t="str">
        <x:f>IF(COUNTA(A234:F234)=0,"",LEN(A234)&amp;":"&amp;A234&amp;LEN(B234)&amp;":"&amp;B234&amp;LEN(C234)&amp;":"&amp;C234&amp;LEN(D234)&amp;":"&amp;D234)</x:f>
      </x:c>
      <x:c r="M234" t="str">
        <x:f>IF(COUNTA(A234:F234)=0,"",IF(ISNUMBER(E234),1,0))</x:f>
      </x:c>
    </x:row>
    <x:row r="235">
      <x:c r="A235" s="11"/>
      <x:c r="B235" s="11"/>
      <x:c r="C235" s="11"/>
      <x:c r="D235" s="11"/>
      <x:c r="E235" s="12"/>
      <x:c r="F235" s="10"/>
      <x:c r="G235" s="2" t="str">
        <x:f>IF(COUNTA(A235:F235)=0,"",COUNTIFS('External Data'!$L$2:$L$1001,SUBSTITUTE(SUBSTITUTE(SUBSTITUTE(L235,"~","~~"),"*","~*"),"?","~?")))</x:f>
      </x:c>
      <x:c r="H235" s="2" t="str">
        <x:f>IF(COUNTA(A235:F235)=0,"",COUNTIFS('App Data'!$L$2:$L$1001,SUBSTITUTE(SUBSTITUTE(SUBSTITUTE(L235,"~","~~"),"*","~*"),"?","~?")))</x:f>
      </x:c>
      <x:c r="I235" s="13" t="str">
        <x:f>IF(OR(H235&lt;&gt;1,G235&lt;&gt;1),"",SUMIFS('App Data'!$E$2:$E$1001,'App Data'!$L$2:$L$1001,SUBSTITUTE(SUBSTITUTE(SUBSTITUTE(L235,"~","~~"),"*","~*"),"?","~?")))</x:f>
      </x:c>
      <x:c r="J235" s="13" t="str">
        <x:f>IF(OR(NOT(ISNUMBER(E235)),NOT(ISNUMBER(I235))),"",ROUND(E235-I235,2))</x:f>
      </x:c>
      <x:c r="K235" s="2" t="str">
        <x:f>IF(COUNTA(A235:F235)=0,"",IF(OR(A235="",B235="",C235="",D235="",NOT(ISNUMBER(E235))),"Missing / invalid input",IF(G235&gt;1,"Duplicate key in this source",IF(H235=0,"Missing in other source",IF(H235&gt;1,"Duplicate in other source",IF(SUMIFS('App Data'!$M$2:$M$1001,'App Data'!$L$2:$L$1001,SUBSTITUTE(SUBSTITUTE(SUBSTITUTE(L235,"~","~~"),"*","~*"),"?","~?"))&lt;&gt;1,"Other amount is invalid",IF(J235&lt;&gt;0,"Amount differs","Matched")))))))</x:f>
      </x:c>
      <x:c r="L235" t="str">
        <x:f>IF(COUNTA(A235:F235)=0,"",LEN(A235)&amp;":"&amp;A235&amp;LEN(B235)&amp;":"&amp;B235&amp;LEN(C235)&amp;":"&amp;C235&amp;LEN(D235)&amp;":"&amp;D235)</x:f>
      </x:c>
      <x:c r="M235" t="str">
        <x:f>IF(COUNTA(A235:F235)=0,"",IF(ISNUMBER(E235),1,0))</x:f>
      </x:c>
    </x:row>
    <x:row r="236">
      <x:c r="A236" s="11"/>
      <x:c r="B236" s="11"/>
      <x:c r="C236" s="11"/>
      <x:c r="D236" s="11"/>
      <x:c r="E236" s="12"/>
      <x:c r="F236" s="10"/>
      <x:c r="G236" s="2" t="str">
        <x:f>IF(COUNTA(A236:F236)=0,"",COUNTIFS('External Data'!$L$2:$L$1001,SUBSTITUTE(SUBSTITUTE(SUBSTITUTE(L236,"~","~~"),"*","~*"),"?","~?")))</x:f>
      </x:c>
      <x:c r="H236" s="2" t="str">
        <x:f>IF(COUNTA(A236:F236)=0,"",COUNTIFS('App Data'!$L$2:$L$1001,SUBSTITUTE(SUBSTITUTE(SUBSTITUTE(L236,"~","~~"),"*","~*"),"?","~?")))</x:f>
      </x:c>
      <x:c r="I236" s="13" t="str">
        <x:f>IF(OR(H236&lt;&gt;1,G236&lt;&gt;1),"",SUMIFS('App Data'!$E$2:$E$1001,'App Data'!$L$2:$L$1001,SUBSTITUTE(SUBSTITUTE(SUBSTITUTE(L236,"~","~~"),"*","~*"),"?","~?")))</x:f>
      </x:c>
      <x:c r="J236" s="13" t="str">
        <x:f>IF(OR(NOT(ISNUMBER(E236)),NOT(ISNUMBER(I236))),"",ROUND(E236-I236,2))</x:f>
      </x:c>
      <x:c r="K236" s="2" t="str">
        <x:f>IF(COUNTA(A236:F236)=0,"",IF(OR(A236="",B236="",C236="",D236="",NOT(ISNUMBER(E236))),"Missing / invalid input",IF(G236&gt;1,"Duplicate key in this source",IF(H236=0,"Missing in other source",IF(H236&gt;1,"Duplicate in other source",IF(SUMIFS('App Data'!$M$2:$M$1001,'App Data'!$L$2:$L$1001,SUBSTITUTE(SUBSTITUTE(SUBSTITUTE(L236,"~","~~"),"*","~*"),"?","~?"))&lt;&gt;1,"Other amount is invalid",IF(J236&lt;&gt;0,"Amount differs","Matched")))))))</x:f>
      </x:c>
      <x:c r="L236" t="str">
        <x:f>IF(COUNTA(A236:F236)=0,"",LEN(A236)&amp;":"&amp;A236&amp;LEN(B236)&amp;":"&amp;B236&amp;LEN(C236)&amp;":"&amp;C236&amp;LEN(D236)&amp;":"&amp;D236)</x:f>
      </x:c>
      <x:c r="M236" t="str">
        <x:f>IF(COUNTA(A236:F236)=0,"",IF(ISNUMBER(E236),1,0))</x:f>
      </x:c>
    </x:row>
    <x:row r="237">
      <x:c r="A237" s="11"/>
      <x:c r="B237" s="11"/>
      <x:c r="C237" s="11"/>
      <x:c r="D237" s="11"/>
      <x:c r="E237" s="12"/>
      <x:c r="F237" s="10"/>
      <x:c r="G237" s="2" t="str">
        <x:f>IF(COUNTA(A237:F237)=0,"",COUNTIFS('External Data'!$L$2:$L$1001,SUBSTITUTE(SUBSTITUTE(SUBSTITUTE(L237,"~","~~"),"*","~*"),"?","~?")))</x:f>
      </x:c>
      <x:c r="H237" s="2" t="str">
        <x:f>IF(COUNTA(A237:F237)=0,"",COUNTIFS('App Data'!$L$2:$L$1001,SUBSTITUTE(SUBSTITUTE(SUBSTITUTE(L237,"~","~~"),"*","~*"),"?","~?")))</x:f>
      </x:c>
      <x:c r="I237" s="13" t="str">
        <x:f>IF(OR(H237&lt;&gt;1,G237&lt;&gt;1),"",SUMIFS('App Data'!$E$2:$E$1001,'App Data'!$L$2:$L$1001,SUBSTITUTE(SUBSTITUTE(SUBSTITUTE(L237,"~","~~"),"*","~*"),"?","~?")))</x:f>
      </x:c>
      <x:c r="J237" s="13" t="str">
        <x:f>IF(OR(NOT(ISNUMBER(E237)),NOT(ISNUMBER(I237))),"",ROUND(E237-I237,2))</x:f>
      </x:c>
      <x:c r="K237" s="2" t="str">
        <x:f>IF(COUNTA(A237:F237)=0,"",IF(OR(A237="",B237="",C237="",D237="",NOT(ISNUMBER(E237))),"Missing / invalid input",IF(G237&gt;1,"Duplicate key in this source",IF(H237=0,"Missing in other source",IF(H237&gt;1,"Duplicate in other source",IF(SUMIFS('App Data'!$M$2:$M$1001,'App Data'!$L$2:$L$1001,SUBSTITUTE(SUBSTITUTE(SUBSTITUTE(L237,"~","~~"),"*","~*"),"?","~?"))&lt;&gt;1,"Other amount is invalid",IF(J237&lt;&gt;0,"Amount differs","Matched")))))))</x:f>
      </x:c>
      <x:c r="L237" t="str">
        <x:f>IF(COUNTA(A237:F237)=0,"",LEN(A237)&amp;":"&amp;A237&amp;LEN(B237)&amp;":"&amp;B237&amp;LEN(C237)&amp;":"&amp;C237&amp;LEN(D237)&amp;":"&amp;D237)</x:f>
      </x:c>
      <x:c r="M237" t="str">
        <x:f>IF(COUNTA(A237:F237)=0,"",IF(ISNUMBER(E237),1,0))</x:f>
      </x:c>
    </x:row>
    <x:row r="238">
      <x:c r="A238" s="11"/>
      <x:c r="B238" s="11"/>
      <x:c r="C238" s="11"/>
      <x:c r="D238" s="11"/>
      <x:c r="E238" s="12"/>
      <x:c r="F238" s="10"/>
      <x:c r="G238" s="2" t="str">
        <x:f>IF(COUNTA(A238:F238)=0,"",COUNTIFS('External Data'!$L$2:$L$1001,SUBSTITUTE(SUBSTITUTE(SUBSTITUTE(L238,"~","~~"),"*","~*"),"?","~?")))</x:f>
      </x:c>
      <x:c r="H238" s="2" t="str">
        <x:f>IF(COUNTA(A238:F238)=0,"",COUNTIFS('App Data'!$L$2:$L$1001,SUBSTITUTE(SUBSTITUTE(SUBSTITUTE(L238,"~","~~"),"*","~*"),"?","~?")))</x:f>
      </x:c>
      <x:c r="I238" s="13" t="str">
        <x:f>IF(OR(H238&lt;&gt;1,G238&lt;&gt;1),"",SUMIFS('App Data'!$E$2:$E$1001,'App Data'!$L$2:$L$1001,SUBSTITUTE(SUBSTITUTE(SUBSTITUTE(L238,"~","~~"),"*","~*"),"?","~?")))</x:f>
      </x:c>
      <x:c r="J238" s="13" t="str">
        <x:f>IF(OR(NOT(ISNUMBER(E238)),NOT(ISNUMBER(I238))),"",ROUND(E238-I238,2))</x:f>
      </x:c>
      <x:c r="K238" s="2" t="str">
        <x:f>IF(COUNTA(A238:F238)=0,"",IF(OR(A238="",B238="",C238="",D238="",NOT(ISNUMBER(E238))),"Missing / invalid input",IF(G238&gt;1,"Duplicate key in this source",IF(H238=0,"Missing in other source",IF(H238&gt;1,"Duplicate in other source",IF(SUMIFS('App Data'!$M$2:$M$1001,'App Data'!$L$2:$L$1001,SUBSTITUTE(SUBSTITUTE(SUBSTITUTE(L238,"~","~~"),"*","~*"),"?","~?"))&lt;&gt;1,"Other amount is invalid",IF(J238&lt;&gt;0,"Amount differs","Matched")))))))</x:f>
      </x:c>
      <x:c r="L238" t="str">
        <x:f>IF(COUNTA(A238:F238)=0,"",LEN(A238)&amp;":"&amp;A238&amp;LEN(B238)&amp;":"&amp;B238&amp;LEN(C238)&amp;":"&amp;C238&amp;LEN(D238)&amp;":"&amp;D238)</x:f>
      </x:c>
      <x:c r="M238" t="str">
        <x:f>IF(COUNTA(A238:F238)=0,"",IF(ISNUMBER(E238),1,0))</x:f>
      </x:c>
    </x:row>
    <x:row r="239">
      <x:c r="A239" s="11"/>
      <x:c r="B239" s="11"/>
      <x:c r="C239" s="11"/>
      <x:c r="D239" s="11"/>
      <x:c r="E239" s="12"/>
      <x:c r="F239" s="10"/>
      <x:c r="G239" s="2" t="str">
        <x:f>IF(COUNTA(A239:F239)=0,"",COUNTIFS('External Data'!$L$2:$L$1001,SUBSTITUTE(SUBSTITUTE(SUBSTITUTE(L239,"~","~~"),"*","~*"),"?","~?")))</x:f>
      </x:c>
      <x:c r="H239" s="2" t="str">
        <x:f>IF(COUNTA(A239:F239)=0,"",COUNTIFS('App Data'!$L$2:$L$1001,SUBSTITUTE(SUBSTITUTE(SUBSTITUTE(L239,"~","~~"),"*","~*"),"?","~?")))</x:f>
      </x:c>
      <x:c r="I239" s="13" t="str">
        <x:f>IF(OR(H239&lt;&gt;1,G239&lt;&gt;1),"",SUMIFS('App Data'!$E$2:$E$1001,'App Data'!$L$2:$L$1001,SUBSTITUTE(SUBSTITUTE(SUBSTITUTE(L239,"~","~~"),"*","~*"),"?","~?")))</x:f>
      </x:c>
      <x:c r="J239" s="13" t="str">
        <x:f>IF(OR(NOT(ISNUMBER(E239)),NOT(ISNUMBER(I239))),"",ROUND(E239-I239,2))</x:f>
      </x:c>
      <x:c r="K239" s="2" t="str">
        <x:f>IF(COUNTA(A239:F239)=0,"",IF(OR(A239="",B239="",C239="",D239="",NOT(ISNUMBER(E239))),"Missing / invalid input",IF(G239&gt;1,"Duplicate key in this source",IF(H239=0,"Missing in other source",IF(H239&gt;1,"Duplicate in other source",IF(SUMIFS('App Data'!$M$2:$M$1001,'App Data'!$L$2:$L$1001,SUBSTITUTE(SUBSTITUTE(SUBSTITUTE(L239,"~","~~"),"*","~*"),"?","~?"))&lt;&gt;1,"Other amount is invalid",IF(J239&lt;&gt;0,"Amount differs","Matched")))))))</x:f>
      </x:c>
      <x:c r="L239" t="str">
        <x:f>IF(COUNTA(A239:F239)=0,"",LEN(A239)&amp;":"&amp;A239&amp;LEN(B239)&amp;":"&amp;B239&amp;LEN(C239)&amp;":"&amp;C239&amp;LEN(D239)&amp;":"&amp;D239)</x:f>
      </x:c>
      <x:c r="M239" t="str">
        <x:f>IF(COUNTA(A239:F239)=0,"",IF(ISNUMBER(E239),1,0))</x:f>
      </x:c>
    </x:row>
    <x:row r="240">
      <x:c r="A240" s="11"/>
      <x:c r="B240" s="11"/>
      <x:c r="C240" s="11"/>
      <x:c r="D240" s="11"/>
      <x:c r="E240" s="12"/>
      <x:c r="F240" s="10"/>
      <x:c r="G240" s="2" t="str">
        <x:f>IF(COUNTA(A240:F240)=0,"",COUNTIFS('External Data'!$L$2:$L$1001,SUBSTITUTE(SUBSTITUTE(SUBSTITUTE(L240,"~","~~"),"*","~*"),"?","~?")))</x:f>
      </x:c>
      <x:c r="H240" s="2" t="str">
        <x:f>IF(COUNTA(A240:F240)=0,"",COUNTIFS('App Data'!$L$2:$L$1001,SUBSTITUTE(SUBSTITUTE(SUBSTITUTE(L240,"~","~~"),"*","~*"),"?","~?")))</x:f>
      </x:c>
      <x:c r="I240" s="13" t="str">
        <x:f>IF(OR(H240&lt;&gt;1,G240&lt;&gt;1),"",SUMIFS('App Data'!$E$2:$E$1001,'App Data'!$L$2:$L$1001,SUBSTITUTE(SUBSTITUTE(SUBSTITUTE(L240,"~","~~"),"*","~*"),"?","~?")))</x:f>
      </x:c>
      <x:c r="J240" s="13" t="str">
        <x:f>IF(OR(NOT(ISNUMBER(E240)),NOT(ISNUMBER(I240))),"",ROUND(E240-I240,2))</x:f>
      </x:c>
      <x:c r="K240" s="2" t="str">
        <x:f>IF(COUNTA(A240:F240)=0,"",IF(OR(A240="",B240="",C240="",D240="",NOT(ISNUMBER(E240))),"Missing / invalid input",IF(G240&gt;1,"Duplicate key in this source",IF(H240=0,"Missing in other source",IF(H240&gt;1,"Duplicate in other source",IF(SUMIFS('App Data'!$M$2:$M$1001,'App Data'!$L$2:$L$1001,SUBSTITUTE(SUBSTITUTE(SUBSTITUTE(L240,"~","~~"),"*","~*"),"?","~?"))&lt;&gt;1,"Other amount is invalid",IF(J240&lt;&gt;0,"Amount differs","Matched")))))))</x:f>
      </x:c>
      <x:c r="L240" t="str">
        <x:f>IF(COUNTA(A240:F240)=0,"",LEN(A240)&amp;":"&amp;A240&amp;LEN(B240)&amp;":"&amp;B240&amp;LEN(C240)&amp;":"&amp;C240&amp;LEN(D240)&amp;":"&amp;D240)</x:f>
      </x:c>
      <x:c r="M240" t="str">
        <x:f>IF(COUNTA(A240:F240)=0,"",IF(ISNUMBER(E240),1,0))</x:f>
      </x:c>
    </x:row>
    <x:row r="241">
      <x:c r="A241" s="11"/>
      <x:c r="B241" s="11"/>
      <x:c r="C241" s="11"/>
      <x:c r="D241" s="11"/>
      <x:c r="E241" s="12"/>
      <x:c r="F241" s="10"/>
      <x:c r="G241" s="2" t="str">
        <x:f>IF(COUNTA(A241:F241)=0,"",COUNTIFS('External Data'!$L$2:$L$1001,SUBSTITUTE(SUBSTITUTE(SUBSTITUTE(L241,"~","~~"),"*","~*"),"?","~?")))</x:f>
      </x:c>
      <x:c r="H241" s="2" t="str">
        <x:f>IF(COUNTA(A241:F241)=0,"",COUNTIFS('App Data'!$L$2:$L$1001,SUBSTITUTE(SUBSTITUTE(SUBSTITUTE(L241,"~","~~"),"*","~*"),"?","~?")))</x:f>
      </x:c>
      <x:c r="I241" s="13" t="str">
        <x:f>IF(OR(H241&lt;&gt;1,G241&lt;&gt;1),"",SUMIFS('App Data'!$E$2:$E$1001,'App Data'!$L$2:$L$1001,SUBSTITUTE(SUBSTITUTE(SUBSTITUTE(L241,"~","~~"),"*","~*"),"?","~?")))</x:f>
      </x:c>
      <x:c r="J241" s="13" t="str">
        <x:f>IF(OR(NOT(ISNUMBER(E241)),NOT(ISNUMBER(I241))),"",ROUND(E241-I241,2))</x:f>
      </x:c>
      <x:c r="K241" s="2" t="str">
        <x:f>IF(COUNTA(A241:F241)=0,"",IF(OR(A241="",B241="",C241="",D241="",NOT(ISNUMBER(E241))),"Missing / invalid input",IF(G241&gt;1,"Duplicate key in this source",IF(H241=0,"Missing in other source",IF(H241&gt;1,"Duplicate in other source",IF(SUMIFS('App Data'!$M$2:$M$1001,'App Data'!$L$2:$L$1001,SUBSTITUTE(SUBSTITUTE(SUBSTITUTE(L241,"~","~~"),"*","~*"),"?","~?"))&lt;&gt;1,"Other amount is invalid",IF(J241&lt;&gt;0,"Amount differs","Matched")))))))</x:f>
      </x:c>
      <x:c r="L241" t="str">
        <x:f>IF(COUNTA(A241:F241)=0,"",LEN(A241)&amp;":"&amp;A241&amp;LEN(B241)&amp;":"&amp;B241&amp;LEN(C241)&amp;":"&amp;C241&amp;LEN(D241)&amp;":"&amp;D241)</x:f>
      </x:c>
      <x:c r="M241" t="str">
        <x:f>IF(COUNTA(A241:F241)=0,"",IF(ISNUMBER(E241),1,0))</x:f>
      </x:c>
    </x:row>
    <x:row r="242">
      <x:c r="A242" s="11"/>
      <x:c r="B242" s="11"/>
      <x:c r="C242" s="11"/>
      <x:c r="D242" s="11"/>
      <x:c r="E242" s="12"/>
      <x:c r="F242" s="10"/>
      <x:c r="G242" s="2" t="str">
        <x:f>IF(COUNTA(A242:F242)=0,"",COUNTIFS('External Data'!$L$2:$L$1001,SUBSTITUTE(SUBSTITUTE(SUBSTITUTE(L242,"~","~~"),"*","~*"),"?","~?")))</x:f>
      </x:c>
      <x:c r="H242" s="2" t="str">
        <x:f>IF(COUNTA(A242:F242)=0,"",COUNTIFS('App Data'!$L$2:$L$1001,SUBSTITUTE(SUBSTITUTE(SUBSTITUTE(L242,"~","~~"),"*","~*"),"?","~?")))</x:f>
      </x:c>
      <x:c r="I242" s="13" t="str">
        <x:f>IF(OR(H242&lt;&gt;1,G242&lt;&gt;1),"",SUMIFS('App Data'!$E$2:$E$1001,'App Data'!$L$2:$L$1001,SUBSTITUTE(SUBSTITUTE(SUBSTITUTE(L242,"~","~~"),"*","~*"),"?","~?")))</x:f>
      </x:c>
      <x:c r="J242" s="13" t="str">
        <x:f>IF(OR(NOT(ISNUMBER(E242)),NOT(ISNUMBER(I242))),"",ROUND(E242-I242,2))</x:f>
      </x:c>
      <x:c r="K242" s="2" t="str">
        <x:f>IF(COUNTA(A242:F242)=0,"",IF(OR(A242="",B242="",C242="",D242="",NOT(ISNUMBER(E242))),"Missing / invalid input",IF(G242&gt;1,"Duplicate key in this source",IF(H242=0,"Missing in other source",IF(H242&gt;1,"Duplicate in other source",IF(SUMIFS('App Data'!$M$2:$M$1001,'App Data'!$L$2:$L$1001,SUBSTITUTE(SUBSTITUTE(SUBSTITUTE(L242,"~","~~"),"*","~*"),"?","~?"))&lt;&gt;1,"Other amount is invalid",IF(J242&lt;&gt;0,"Amount differs","Matched")))))))</x:f>
      </x:c>
      <x:c r="L242" t="str">
        <x:f>IF(COUNTA(A242:F242)=0,"",LEN(A242)&amp;":"&amp;A242&amp;LEN(B242)&amp;":"&amp;B242&amp;LEN(C242)&amp;":"&amp;C242&amp;LEN(D242)&amp;":"&amp;D242)</x:f>
      </x:c>
      <x:c r="M242" t="str">
        <x:f>IF(COUNTA(A242:F242)=0,"",IF(ISNUMBER(E242),1,0))</x:f>
      </x:c>
    </x:row>
    <x:row r="243">
      <x:c r="A243" s="11"/>
      <x:c r="B243" s="11"/>
      <x:c r="C243" s="11"/>
      <x:c r="D243" s="11"/>
      <x:c r="E243" s="12"/>
      <x:c r="F243" s="10"/>
      <x:c r="G243" s="2" t="str">
        <x:f>IF(COUNTA(A243:F243)=0,"",COUNTIFS('External Data'!$L$2:$L$1001,SUBSTITUTE(SUBSTITUTE(SUBSTITUTE(L243,"~","~~"),"*","~*"),"?","~?")))</x:f>
      </x:c>
      <x:c r="H243" s="2" t="str">
        <x:f>IF(COUNTA(A243:F243)=0,"",COUNTIFS('App Data'!$L$2:$L$1001,SUBSTITUTE(SUBSTITUTE(SUBSTITUTE(L243,"~","~~"),"*","~*"),"?","~?")))</x:f>
      </x:c>
      <x:c r="I243" s="13" t="str">
        <x:f>IF(OR(H243&lt;&gt;1,G243&lt;&gt;1),"",SUMIFS('App Data'!$E$2:$E$1001,'App Data'!$L$2:$L$1001,SUBSTITUTE(SUBSTITUTE(SUBSTITUTE(L243,"~","~~"),"*","~*"),"?","~?")))</x:f>
      </x:c>
      <x:c r="J243" s="13" t="str">
        <x:f>IF(OR(NOT(ISNUMBER(E243)),NOT(ISNUMBER(I243))),"",ROUND(E243-I243,2))</x:f>
      </x:c>
      <x:c r="K243" s="2" t="str">
        <x:f>IF(COUNTA(A243:F243)=0,"",IF(OR(A243="",B243="",C243="",D243="",NOT(ISNUMBER(E243))),"Missing / invalid input",IF(G243&gt;1,"Duplicate key in this source",IF(H243=0,"Missing in other source",IF(H243&gt;1,"Duplicate in other source",IF(SUMIFS('App Data'!$M$2:$M$1001,'App Data'!$L$2:$L$1001,SUBSTITUTE(SUBSTITUTE(SUBSTITUTE(L243,"~","~~"),"*","~*"),"?","~?"))&lt;&gt;1,"Other amount is invalid",IF(J243&lt;&gt;0,"Amount differs","Matched")))))))</x:f>
      </x:c>
      <x:c r="L243" t="str">
        <x:f>IF(COUNTA(A243:F243)=0,"",LEN(A243)&amp;":"&amp;A243&amp;LEN(B243)&amp;":"&amp;B243&amp;LEN(C243)&amp;":"&amp;C243&amp;LEN(D243)&amp;":"&amp;D243)</x:f>
      </x:c>
      <x:c r="M243" t="str">
        <x:f>IF(COUNTA(A243:F243)=0,"",IF(ISNUMBER(E243),1,0))</x:f>
      </x:c>
    </x:row>
    <x:row r="244">
      <x:c r="A244" s="11"/>
      <x:c r="B244" s="11"/>
      <x:c r="C244" s="11"/>
      <x:c r="D244" s="11"/>
      <x:c r="E244" s="12"/>
      <x:c r="F244" s="10"/>
      <x:c r="G244" s="2" t="str">
        <x:f>IF(COUNTA(A244:F244)=0,"",COUNTIFS('External Data'!$L$2:$L$1001,SUBSTITUTE(SUBSTITUTE(SUBSTITUTE(L244,"~","~~"),"*","~*"),"?","~?")))</x:f>
      </x:c>
      <x:c r="H244" s="2" t="str">
        <x:f>IF(COUNTA(A244:F244)=0,"",COUNTIFS('App Data'!$L$2:$L$1001,SUBSTITUTE(SUBSTITUTE(SUBSTITUTE(L244,"~","~~"),"*","~*"),"?","~?")))</x:f>
      </x:c>
      <x:c r="I244" s="13" t="str">
        <x:f>IF(OR(H244&lt;&gt;1,G244&lt;&gt;1),"",SUMIFS('App Data'!$E$2:$E$1001,'App Data'!$L$2:$L$1001,SUBSTITUTE(SUBSTITUTE(SUBSTITUTE(L244,"~","~~"),"*","~*"),"?","~?")))</x:f>
      </x:c>
      <x:c r="J244" s="13" t="str">
        <x:f>IF(OR(NOT(ISNUMBER(E244)),NOT(ISNUMBER(I244))),"",ROUND(E244-I244,2))</x:f>
      </x:c>
      <x:c r="K244" s="2" t="str">
        <x:f>IF(COUNTA(A244:F244)=0,"",IF(OR(A244="",B244="",C244="",D244="",NOT(ISNUMBER(E244))),"Missing / invalid input",IF(G244&gt;1,"Duplicate key in this source",IF(H244=0,"Missing in other source",IF(H244&gt;1,"Duplicate in other source",IF(SUMIFS('App Data'!$M$2:$M$1001,'App Data'!$L$2:$L$1001,SUBSTITUTE(SUBSTITUTE(SUBSTITUTE(L244,"~","~~"),"*","~*"),"?","~?"))&lt;&gt;1,"Other amount is invalid",IF(J244&lt;&gt;0,"Amount differs","Matched")))))))</x:f>
      </x:c>
      <x:c r="L244" t="str">
        <x:f>IF(COUNTA(A244:F244)=0,"",LEN(A244)&amp;":"&amp;A244&amp;LEN(B244)&amp;":"&amp;B244&amp;LEN(C244)&amp;":"&amp;C244&amp;LEN(D244)&amp;":"&amp;D244)</x:f>
      </x:c>
      <x:c r="M244" t="str">
        <x:f>IF(COUNTA(A244:F244)=0,"",IF(ISNUMBER(E244),1,0))</x:f>
      </x:c>
    </x:row>
    <x:row r="245">
      <x:c r="A245" s="11"/>
      <x:c r="B245" s="11"/>
      <x:c r="C245" s="11"/>
      <x:c r="D245" s="11"/>
      <x:c r="E245" s="12"/>
      <x:c r="F245" s="10"/>
      <x:c r="G245" s="2" t="str">
        <x:f>IF(COUNTA(A245:F245)=0,"",COUNTIFS('External Data'!$L$2:$L$1001,SUBSTITUTE(SUBSTITUTE(SUBSTITUTE(L245,"~","~~"),"*","~*"),"?","~?")))</x:f>
      </x:c>
      <x:c r="H245" s="2" t="str">
        <x:f>IF(COUNTA(A245:F245)=0,"",COUNTIFS('App Data'!$L$2:$L$1001,SUBSTITUTE(SUBSTITUTE(SUBSTITUTE(L245,"~","~~"),"*","~*"),"?","~?")))</x:f>
      </x:c>
      <x:c r="I245" s="13" t="str">
        <x:f>IF(OR(H245&lt;&gt;1,G245&lt;&gt;1),"",SUMIFS('App Data'!$E$2:$E$1001,'App Data'!$L$2:$L$1001,SUBSTITUTE(SUBSTITUTE(SUBSTITUTE(L245,"~","~~"),"*","~*"),"?","~?")))</x:f>
      </x:c>
      <x:c r="J245" s="13" t="str">
        <x:f>IF(OR(NOT(ISNUMBER(E245)),NOT(ISNUMBER(I245))),"",ROUND(E245-I245,2))</x:f>
      </x:c>
      <x:c r="K245" s="2" t="str">
        <x:f>IF(COUNTA(A245:F245)=0,"",IF(OR(A245="",B245="",C245="",D245="",NOT(ISNUMBER(E245))),"Missing / invalid input",IF(G245&gt;1,"Duplicate key in this source",IF(H245=0,"Missing in other source",IF(H245&gt;1,"Duplicate in other source",IF(SUMIFS('App Data'!$M$2:$M$1001,'App Data'!$L$2:$L$1001,SUBSTITUTE(SUBSTITUTE(SUBSTITUTE(L245,"~","~~"),"*","~*"),"?","~?"))&lt;&gt;1,"Other amount is invalid",IF(J245&lt;&gt;0,"Amount differs","Matched")))))))</x:f>
      </x:c>
      <x:c r="L245" t="str">
        <x:f>IF(COUNTA(A245:F245)=0,"",LEN(A245)&amp;":"&amp;A245&amp;LEN(B245)&amp;":"&amp;B245&amp;LEN(C245)&amp;":"&amp;C245&amp;LEN(D245)&amp;":"&amp;D245)</x:f>
      </x:c>
      <x:c r="M245" t="str">
        <x:f>IF(COUNTA(A245:F245)=0,"",IF(ISNUMBER(E245),1,0))</x:f>
      </x:c>
    </x:row>
    <x:row r="246">
      <x:c r="A246" s="11"/>
      <x:c r="B246" s="11"/>
      <x:c r="C246" s="11"/>
      <x:c r="D246" s="11"/>
      <x:c r="E246" s="12"/>
      <x:c r="F246" s="10"/>
      <x:c r="G246" s="2" t="str">
        <x:f>IF(COUNTA(A246:F246)=0,"",COUNTIFS('External Data'!$L$2:$L$1001,SUBSTITUTE(SUBSTITUTE(SUBSTITUTE(L246,"~","~~"),"*","~*"),"?","~?")))</x:f>
      </x:c>
      <x:c r="H246" s="2" t="str">
        <x:f>IF(COUNTA(A246:F246)=0,"",COUNTIFS('App Data'!$L$2:$L$1001,SUBSTITUTE(SUBSTITUTE(SUBSTITUTE(L246,"~","~~"),"*","~*"),"?","~?")))</x:f>
      </x:c>
      <x:c r="I246" s="13" t="str">
        <x:f>IF(OR(H246&lt;&gt;1,G246&lt;&gt;1),"",SUMIFS('App Data'!$E$2:$E$1001,'App Data'!$L$2:$L$1001,SUBSTITUTE(SUBSTITUTE(SUBSTITUTE(L246,"~","~~"),"*","~*"),"?","~?")))</x:f>
      </x:c>
      <x:c r="J246" s="13" t="str">
        <x:f>IF(OR(NOT(ISNUMBER(E246)),NOT(ISNUMBER(I246))),"",ROUND(E246-I246,2))</x:f>
      </x:c>
      <x:c r="K246" s="2" t="str">
        <x:f>IF(COUNTA(A246:F246)=0,"",IF(OR(A246="",B246="",C246="",D246="",NOT(ISNUMBER(E246))),"Missing / invalid input",IF(G246&gt;1,"Duplicate key in this source",IF(H246=0,"Missing in other source",IF(H246&gt;1,"Duplicate in other source",IF(SUMIFS('App Data'!$M$2:$M$1001,'App Data'!$L$2:$L$1001,SUBSTITUTE(SUBSTITUTE(SUBSTITUTE(L246,"~","~~"),"*","~*"),"?","~?"))&lt;&gt;1,"Other amount is invalid",IF(J246&lt;&gt;0,"Amount differs","Matched")))))))</x:f>
      </x:c>
      <x:c r="L246" t="str">
        <x:f>IF(COUNTA(A246:F246)=0,"",LEN(A246)&amp;":"&amp;A246&amp;LEN(B246)&amp;":"&amp;B246&amp;LEN(C246)&amp;":"&amp;C246&amp;LEN(D246)&amp;":"&amp;D246)</x:f>
      </x:c>
      <x:c r="M246" t="str">
        <x:f>IF(COUNTA(A246:F246)=0,"",IF(ISNUMBER(E246),1,0))</x:f>
      </x:c>
    </x:row>
    <x:row r="247">
      <x:c r="A247" s="11"/>
      <x:c r="B247" s="11"/>
      <x:c r="C247" s="11"/>
      <x:c r="D247" s="11"/>
      <x:c r="E247" s="12"/>
      <x:c r="F247" s="10"/>
      <x:c r="G247" s="2" t="str">
        <x:f>IF(COUNTA(A247:F247)=0,"",COUNTIFS('External Data'!$L$2:$L$1001,SUBSTITUTE(SUBSTITUTE(SUBSTITUTE(L247,"~","~~"),"*","~*"),"?","~?")))</x:f>
      </x:c>
      <x:c r="H247" s="2" t="str">
        <x:f>IF(COUNTA(A247:F247)=0,"",COUNTIFS('App Data'!$L$2:$L$1001,SUBSTITUTE(SUBSTITUTE(SUBSTITUTE(L247,"~","~~"),"*","~*"),"?","~?")))</x:f>
      </x:c>
      <x:c r="I247" s="13" t="str">
        <x:f>IF(OR(H247&lt;&gt;1,G247&lt;&gt;1),"",SUMIFS('App Data'!$E$2:$E$1001,'App Data'!$L$2:$L$1001,SUBSTITUTE(SUBSTITUTE(SUBSTITUTE(L247,"~","~~"),"*","~*"),"?","~?")))</x:f>
      </x:c>
      <x:c r="J247" s="13" t="str">
        <x:f>IF(OR(NOT(ISNUMBER(E247)),NOT(ISNUMBER(I247))),"",ROUND(E247-I247,2))</x:f>
      </x:c>
      <x:c r="K247" s="2" t="str">
        <x:f>IF(COUNTA(A247:F247)=0,"",IF(OR(A247="",B247="",C247="",D247="",NOT(ISNUMBER(E247))),"Missing / invalid input",IF(G247&gt;1,"Duplicate key in this source",IF(H247=0,"Missing in other source",IF(H247&gt;1,"Duplicate in other source",IF(SUMIFS('App Data'!$M$2:$M$1001,'App Data'!$L$2:$L$1001,SUBSTITUTE(SUBSTITUTE(SUBSTITUTE(L247,"~","~~"),"*","~*"),"?","~?"))&lt;&gt;1,"Other amount is invalid",IF(J247&lt;&gt;0,"Amount differs","Matched")))))))</x:f>
      </x:c>
      <x:c r="L247" t="str">
        <x:f>IF(COUNTA(A247:F247)=0,"",LEN(A247)&amp;":"&amp;A247&amp;LEN(B247)&amp;":"&amp;B247&amp;LEN(C247)&amp;":"&amp;C247&amp;LEN(D247)&amp;":"&amp;D247)</x:f>
      </x:c>
      <x:c r="M247" t="str">
        <x:f>IF(COUNTA(A247:F247)=0,"",IF(ISNUMBER(E247),1,0))</x:f>
      </x:c>
    </x:row>
    <x:row r="248">
      <x:c r="A248" s="11"/>
      <x:c r="B248" s="11"/>
      <x:c r="C248" s="11"/>
      <x:c r="D248" s="11"/>
      <x:c r="E248" s="12"/>
      <x:c r="F248" s="10"/>
      <x:c r="G248" s="2" t="str">
        <x:f>IF(COUNTA(A248:F248)=0,"",COUNTIFS('External Data'!$L$2:$L$1001,SUBSTITUTE(SUBSTITUTE(SUBSTITUTE(L248,"~","~~"),"*","~*"),"?","~?")))</x:f>
      </x:c>
      <x:c r="H248" s="2" t="str">
        <x:f>IF(COUNTA(A248:F248)=0,"",COUNTIFS('App Data'!$L$2:$L$1001,SUBSTITUTE(SUBSTITUTE(SUBSTITUTE(L248,"~","~~"),"*","~*"),"?","~?")))</x:f>
      </x:c>
      <x:c r="I248" s="13" t="str">
        <x:f>IF(OR(H248&lt;&gt;1,G248&lt;&gt;1),"",SUMIFS('App Data'!$E$2:$E$1001,'App Data'!$L$2:$L$1001,SUBSTITUTE(SUBSTITUTE(SUBSTITUTE(L248,"~","~~"),"*","~*"),"?","~?")))</x:f>
      </x:c>
      <x:c r="J248" s="13" t="str">
        <x:f>IF(OR(NOT(ISNUMBER(E248)),NOT(ISNUMBER(I248))),"",ROUND(E248-I248,2))</x:f>
      </x:c>
      <x:c r="K248" s="2" t="str">
        <x:f>IF(COUNTA(A248:F248)=0,"",IF(OR(A248="",B248="",C248="",D248="",NOT(ISNUMBER(E248))),"Missing / invalid input",IF(G248&gt;1,"Duplicate key in this source",IF(H248=0,"Missing in other source",IF(H248&gt;1,"Duplicate in other source",IF(SUMIFS('App Data'!$M$2:$M$1001,'App Data'!$L$2:$L$1001,SUBSTITUTE(SUBSTITUTE(SUBSTITUTE(L248,"~","~~"),"*","~*"),"?","~?"))&lt;&gt;1,"Other amount is invalid",IF(J248&lt;&gt;0,"Amount differs","Matched")))))))</x:f>
      </x:c>
      <x:c r="L248" t="str">
        <x:f>IF(COUNTA(A248:F248)=0,"",LEN(A248)&amp;":"&amp;A248&amp;LEN(B248)&amp;":"&amp;B248&amp;LEN(C248)&amp;":"&amp;C248&amp;LEN(D248)&amp;":"&amp;D248)</x:f>
      </x:c>
      <x:c r="M248" t="str">
        <x:f>IF(COUNTA(A248:F248)=0,"",IF(ISNUMBER(E248),1,0))</x:f>
      </x:c>
    </x:row>
    <x:row r="249">
      <x:c r="A249" s="11"/>
      <x:c r="B249" s="11"/>
      <x:c r="C249" s="11"/>
      <x:c r="D249" s="11"/>
      <x:c r="E249" s="12"/>
      <x:c r="F249" s="10"/>
      <x:c r="G249" s="2" t="str">
        <x:f>IF(COUNTA(A249:F249)=0,"",COUNTIFS('External Data'!$L$2:$L$1001,SUBSTITUTE(SUBSTITUTE(SUBSTITUTE(L249,"~","~~"),"*","~*"),"?","~?")))</x:f>
      </x:c>
      <x:c r="H249" s="2" t="str">
        <x:f>IF(COUNTA(A249:F249)=0,"",COUNTIFS('App Data'!$L$2:$L$1001,SUBSTITUTE(SUBSTITUTE(SUBSTITUTE(L249,"~","~~"),"*","~*"),"?","~?")))</x:f>
      </x:c>
      <x:c r="I249" s="13" t="str">
        <x:f>IF(OR(H249&lt;&gt;1,G249&lt;&gt;1),"",SUMIFS('App Data'!$E$2:$E$1001,'App Data'!$L$2:$L$1001,SUBSTITUTE(SUBSTITUTE(SUBSTITUTE(L249,"~","~~"),"*","~*"),"?","~?")))</x:f>
      </x:c>
      <x:c r="J249" s="13" t="str">
        <x:f>IF(OR(NOT(ISNUMBER(E249)),NOT(ISNUMBER(I249))),"",ROUND(E249-I249,2))</x:f>
      </x:c>
      <x:c r="K249" s="2" t="str">
        <x:f>IF(COUNTA(A249:F249)=0,"",IF(OR(A249="",B249="",C249="",D249="",NOT(ISNUMBER(E249))),"Missing / invalid input",IF(G249&gt;1,"Duplicate key in this source",IF(H249=0,"Missing in other source",IF(H249&gt;1,"Duplicate in other source",IF(SUMIFS('App Data'!$M$2:$M$1001,'App Data'!$L$2:$L$1001,SUBSTITUTE(SUBSTITUTE(SUBSTITUTE(L249,"~","~~"),"*","~*"),"?","~?"))&lt;&gt;1,"Other amount is invalid",IF(J249&lt;&gt;0,"Amount differs","Matched")))))))</x:f>
      </x:c>
      <x:c r="L249" t="str">
        <x:f>IF(COUNTA(A249:F249)=0,"",LEN(A249)&amp;":"&amp;A249&amp;LEN(B249)&amp;":"&amp;B249&amp;LEN(C249)&amp;":"&amp;C249&amp;LEN(D249)&amp;":"&amp;D249)</x:f>
      </x:c>
      <x:c r="M249" t="str">
        <x:f>IF(COUNTA(A249:F249)=0,"",IF(ISNUMBER(E249),1,0))</x:f>
      </x:c>
    </x:row>
    <x:row r="250">
      <x:c r="A250" s="11"/>
      <x:c r="B250" s="11"/>
      <x:c r="C250" s="11"/>
      <x:c r="D250" s="11"/>
      <x:c r="E250" s="12"/>
      <x:c r="F250" s="10"/>
      <x:c r="G250" s="2" t="str">
        <x:f>IF(COUNTA(A250:F250)=0,"",COUNTIFS('External Data'!$L$2:$L$1001,SUBSTITUTE(SUBSTITUTE(SUBSTITUTE(L250,"~","~~"),"*","~*"),"?","~?")))</x:f>
      </x:c>
      <x:c r="H250" s="2" t="str">
        <x:f>IF(COUNTA(A250:F250)=0,"",COUNTIFS('App Data'!$L$2:$L$1001,SUBSTITUTE(SUBSTITUTE(SUBSTITUTE(L250,"~","~~"),"*","~*"),"?","~?")))</x:f>
      </x:c>
      <x:c r="I250" s="13" t="str">
        <x:f>IF(OR(H250&lt;&gt;1,G250&lt;&gt;1),"",SUMIFS('App Data'!$E$2:$E$1001,'App Data'!$L$2:$L$1001,SUBSTITUTE(SUBSTITUTE(SUBSTITUTE(L250,"~","~~"),"*","~*"),"?","~?")))</x:f>
      </x:c>
      <x:c r="J250" s="13" t="str">
        <x:f>IF(OR(NOT(ISNUMBER(E250)),NOT(ISNUMBER(I250))),"",ROUND(E250-I250,2))</x:f>
      </x:c>
      <x:c r="K250" s="2" t="str">
        <x:f>IF(COUNTA(A250:F250)=0,"",IF(OR(A250="",B250="",C250="",D250="",NOT(ISNUMBER(E250))),"Missing / invalid input",IF(G250&gt;1,"Duplicate key in this source",IF(H250=0,"Missing in other source",IF(H250&gt;1,"Duplicate in other source",IF(SUMIFS('App Data'!$M$2:$M$1001,'App Data'!$L$2:$L$1001,SUBSTITUTE(SUBSTITUTE(SUBSTITUTE(L250,"~","~~"),"*","~*"),"?","~?"))&lt;&gt;1,"Other amount is invalid",IF(J250&lt;&gt;0,"Amount differs","Matched")))))))</x:f>
      </x:c>
      <x:c r="L250" t="str">
        <x:f>IF(COUNTA(A250:F250)=0,"",LEN(A250)&amp;":"&amp;A250&amp;LEN(B250)&amp;":"&amp;B250&amp;LEN(C250)&amp;":"&amp;C250&amp;LEN(D250)&amp;":"&amp;D250)</x:f>
      </x:c>
      <x:c r="M250" t="str">
        <x:f>IF(COUNTA(A250:F250)=0,"",IF(ISNUMBER(E250),1,0))</x:f>
      </x:c>
    </x:row>
    <x:row r="251">
      <x:c r="A251" s="11"/>
      <x:c r="B251" s="11"/>
      <x:c r="C251" s="11"/>
      <x:c r="D251" s="11"/>
      <x:c r="E251" s="12"/>
      <x:c r="F251" s="10"/>
      <x:c r="G251" s="2" t="str">
        <x:f>IF(COUNTA(A251:F251)=0,"",COUNTIFS('External Data'!$L$2:$L$1001,SUBSTITUTE(SUBSTITUTE(SUBSTITUTE(L251,"~","~~"),"*","~*"),"?","~?")))</x:f>
      </x:c>
      <x:c r="H251" s="2" t="str">
        <x:f>IF(COUNTA(A251:F251)=0,"",COUNTIFS('App Data'!$L$2:$L$1001,SUBSTITUTE(SUBSTITUTE(SUBSTITUTE(L251,"~","~~"),"*","~*"),"?","~?")))</x:f>
      </x:c>
      <x:c r="I251" s="13" t="str">
        <x:f>IF(OR(H251&lt;&gt;1,G251&lt;&gt;1),"",SUMIFS('App Data'!$E$2:$E$1001,'App Data'!$L$2:$L$1001,SUBSTITUTE(SUBSTITUTE(SUBSTITUTE(L251,"~","~~"),"*","~*"),"?","~?")))</x:f>
      </x:c>
      <x:c r="J251" s="13" t="str">
        <x:f>IF(OR(NOT(ISNUMBER(E251)),NOT(ISNUMBER(I251))),"",ROUND(E251-I251,2))</x:f>
      </x:c>
      <x:c r="K251" s="2" t="str">
        <x:f>IF(COUNTA(A251:F251)=0,"",IF(OR(A251="",B251="",C251="",D251="",NOT(ISNUMBER(E251))),"Missing / invalid input",IF(G251&gt;1,"Duplicate key in this source",IF(H251=0,"Missing in other source",IF(H251&gt;1,"Duplicate in other source",IF(SUMIFS('App Data'!$M$2:$M$1001,'App Data'!$L$2:$L$1001,SUBSTITUTE(SUBSTITUTE(SUBSTITUTE(L251,"~","~~"),"*","~*"),"?","~?"))&lt;&gt;1,"Other amount is invalid",IF(J251&lt;&gt;0,"Amount differs","Matched")))))))</x:f>
      </x:c>
      <x:c r="L251" t="str">
        <x:f>IF(COUNTA(A251:F251)=0,"",LEN(A251)&amp;":"&amp;A251&amp;LEN(B251)&amp;":"&amp;B251&amp;LEN(C251)&amp;":"&amp;C251&amp;LEN(D251)&amp;":"&amp;D251)</x:f>
      </x:c>
      <x:c r="M251" t="str">
        <x:f>IF(COUNTA(A251:F251)=0,"",IF(ISNUMBER(E251),1,0))</x:f>
      </x:c>
    </x:row>
    <x:row r="252">
      <x:c r="A252" s="11"/>
      <x:c r="B252" s="11"/>
      <x:c r="C252" s="11"/>
      <x:c r="D252" s="11"/>
      <x:c r="E252" s="12"/>
      <x:c r="F252" s="10"/>
      <x:c r="G252" s="2" t="str">
        <x:f>IF(COUNTA(A252:F252)=0,"",COUNTIFS('External Data'!$L$2:$L$1001,SUBSTITUTE(SUBSTITUTE(SUBSTITUTE(L252,"~","~~"),"*","~*"),"?","~?")))</x:f>
      </x:c>
      <x:c r="H252" s="2" t="str">
        <x:f>IF(COUNTA(A252:F252)=0,"",COUNTIFS('App Data'!$L$2:$L$1001,SUBSTITUTE(SUBSTITUTE(SUBSTITUTE(L252,"~","~~"),"*","~*"),"?","~?")))</x:f>
      </x:c>
      <x:c r="I252" s="13" t="str">
        <x:f>IF(OR(H252&lt;&gt;1,G252&lt;&gt;1),"",SUMIFS('App Data'!$E$2:$E$1001,'App Data'!$L$2:$L$1001,SUBSTITUTE(SUBSTITUTE(SUBSTITUTE(L252,"~","~~"),"*","~*"),"?","~?")))</x:f>
      </x:c>
      <x:c r="J252" s="13" t="str">
        <x:f>IF(OR(NOT(ISNUMBER(E252)),NOT(ISNUMBER(I252))),"",ROUND(E252-I252,2))</x:f>
      </x:c>
      <x:c r="K252" s="2" t="str">
        <x:f>IF(COUNTA(A252:F252)=0,"",IF(OR(A252="",B252="",C252="",D252="",NOT(ISNUMBER(E252))),"Missing / invalid input",IF(G252&gt;1,"Duplicate key in this source",IF(H252=0,"Missing in other source",IF(H252&gt;1,"Duplicate in other source",IF(SUMIFS('App Data'!$M$2:$M$1001,'App Data'!$L$2:$L$1001,SUBSTITUTE(SUBSTITUTE(SUBSTITUTE(L252,"~","~~"),"*","~*"),"?","~?"))&lt;&gt;1,"Other amount is invalid",IF(J252&lt;&gt;0,"Amount differs","Matched")))))))</x:f>
      </x:c>
      <x:c r="L252" t="str">
        <x:f>IF(COUNTA(A252:F252)=0,"",LEN(A252)&amp;":"&amp;A252&amp;LEN(B252)&amp;":"&amp;B252&amp;LEN(C252)&amp;":"&amp;C252&amp;LEN(D252)&amp;":"&amp;D252)</x:f>
      </x:c>
      <x:c r="M252" t="str">
        <x:f>IF(COUNTA(A252:F252)=0,"",IF(ISNUMBER(E252),1,0))</x:f>
      </x:c>
    </x:row>
    <x:row r="253">
      <x:c r="A253" s="11"/>
      <x:c r="B253" s="11"/>
      <x:c r="C253" s="11"/>
      <x:c r="D253" s="11"/>
      <x:c r="E253" s="12"/>
      <x:c r="F253" s="10"/>
      <x:c r="G253" s="2" t="str">
        <x:f>IF(COUNTA(A253:F253)=0,"",COUNTIFS('External Data'!$L$2:$L$1001,SUBSTITUTE(SUBSTITUTE(SUBSTITUTE(L253,"~","~~"),"*","~*"),"?","~?")))</x:f>
      </x:c>
      <x:c r="H253" s="2" t="str">
        <x:f>IF(COUNTA(A253:F253)=0,"",COUNTIFS('App Data'!$L$2:$L$1001,SUBSTITUTE(SUBSTITUTE(SUBSTITUTE(L253,"~","~~"),"*","~*"),"?","~?")))</x:f>
      </x:c>
      <x:c r="I253" s="13" t="str">
        <x:f>IF(OR(H253&lt;&gt;1,G253&lt;&gt;1),"",SUMIFS('App Data'!$E$2:$E$1001,'App Data'!$L$2:$L$1001,SUBSTITUTE(SUBSTITUTE(SUBSTITUTE(L253,"~","~~"),"*","~*"),"?","~?")))</x:f>
      </x:c>
      <x:c r="J253" s="13" t="str">
        <x:f>IF(OR(NOT(ISNUMBER(E253)),NOT(ISNUMBER(I253))),"",ROUND(E253-I253,2))</x:f>
      </x:c>
      <x:c r="K253" s="2" t="str">
        <x:f>IF(COUNTA(A253:F253)=0,"",IF(OR(A253="",B253="",C253="",D253="",NOT(ISNUMBER(E253))),"Missing / invalid input",IF(G253&gt;1,"Duplicate key in this source",IF(H253=0,"Missing in other source",IF(H253&gt;1,"Duplicate in other source",IF(SUMIFS('App Data'!$M$2:$M$1001,'App Data'!$L$2:$L$1001,SUBSTITUTE(SUBSTITUTE(SUBSTITUTE(L253,"~","~~"),"*","~*"),"?","~?"))&lt;&gt;1,"Other amount is invalid",IF(J253&lt;&gt;0,"Amount differs","Matched")))))))</x:f>
      </x:c>
      <x:c r="L253" t="str">
        <x:f>IF(COUNTA(A253:F253)=0,"",LEN(A253)&amp;":"&amp;A253&amp;LEN(B253)&amp;":"&amp;B253&amp;LEN(C253)&amp;":"&amp;C253&amp;LEN(D253)&amp;":"&amp;D253)</x:f>
      </x:c>
      <x:c r="M253" t="str">
        <x:f>IF(COUNTA(A253:F253)=0,"",IF(ISNUMBER(E253),1,0))</x:f>
      </x:c>
    </x:row>
    <x:row r="254">
      <x:c r="A254" s="11"/>
      <x:c r="B254" s="11"/>
      <x:c r="C254" s="11"/>
      <x:c r="D254" s="11"/>
      <x:c r="E254" s="12"/>
      <x:c r="F254" s="10"/>
      <x:c r="G254" s="2" t="str">
        <x:f>IF(COUNTA(A254:F254)=0,"",COUNTIFS('External Data'!$L$2:$L$1001,SUBSTITUTE(SUBSTITUTE(SUBSTITUTE(L254,"~","~~"),"*","~*"),"?","~?")))</x:f>
      </x:c>
      <x:c r="H254" s="2" t="str">
        <x:f>IF(COUNTA(A254:F254)=0,"",COUNTIFS('App Data'!$L$2:$L$1001,SUBSTITUTE(SUBSTITUTE(SUBSTITUTE(L254,"~","~~"),"*","~*"),"?","~?")))</x:f>
      </x:c>
      <x:c r="I254" s="13" t="str">
        <x:f>IF(OR(H254&lt;&gt;1,G254&lt;&gt;1),"",SUMIFS('App Data'!$E$2:$E$1001,'App Data'!$L$2:$L$1001,SUBSTITUTE(SUBSTITUTE(SUBSTITUTE(L254,"~","~~"),"*","~*"),"?","~?")))</x:f>
      </x:c>
      <x:c r="J254" s="13" t="str">
        <x:f>IF(OR(NOT(ISNUMBER(E254)),NOT(ISNUMBER(I254))),"",ROUND(E254-I254,2))</x:f>
      </x:c>
      <x:c r="K254" s="2" t="str">
        <x:f>IF(COUNTA(A254:F254)=0,"",IF(OR(A254="",B254="",C254="",D254="",NOT(ISNUMBER(E254))),"Missing / invalid input",IF(G254&gt;1,"Duplicate key in this source",IF(H254=0,"Missing in other source",IF(H254&gt;1,"Duplicate in other source",IF(SUMIFS('App Data'!$M$2:$M$1001,'App Data'!$L$2:$L$1001,SUBSTITUTE(SUBSTITUTE(SUBSTITUTE(L254,"~","~~"),"*","~*"),"?","~?"))&lt;&gt;1,"Other amount is invalid",IF(J254&lt;&gt;0,"Amount differs","Matched")))))))</x:f>
      </x:c>
      <x:c r="L254" t="str">
        <x:f>IF(COUNTA(A254:F254)=0,"",LEN(A254)&amp;":"&amp;A254&amp;LEN(B254)&amp;":"&amp;B254&amp;LEN(C254)&amp;":"&amp;C254&amp;LEN(D254)&amp;":"&amp;D254)</x:f>
      </x:c>
      <x:c r="M254" t="str">
        <x:f>IF(COUNTA(A254:F254)=0,"",IF(ISNUMBER(E254),1,0))</x:f>
      </x:c>
    </x:row>
    <x:row r="255">
      <x:c r="A255" s="11"/>
      <x:c r="B255" s="11"/>
      <x:c r="C255" s="11"/>
      <x:c r="D255" s="11"/>
      <x:c r="E255" s="12"/>
      <x:c r="F255" s="10"/>
      <x:c r="G255" s="2" t="str">
        <x:f>IF(COUNTA(A255:F255)=0,"",COUNTIFS('External Data'!$L$2:$L$1001,SUBSTITUTE(SUBSTITUTE(SUBSTITUTE(L255,"~","~~"),"*","~*"),"?","~?")))</x:f>
      </x:c>
      <x:c r="H255" s="2" t="str">
        <x:f>IF(COUNTA(A255:F255)=0,"",COUNTIFS('App Data'!$L$2:$L$1001,SUBSTITUTE(SUBSTITUTE(SUBSTITUTE(L255,"~","~~"),"*","~*"),"?","~?")))</x:f>
      </x:c>
      <x:c r="I255" s="13" t="str">
        <x:f>IF(OR(H255&lt;&gt;1,G255&lt;&gt;1),"",SUMIFS('App Data'!$E$2:$E$1001,'App Data'!$L$2:$L$1001,SUBSTITUTE(SUBSTITUTE(SUBSTITUTE(L255,"~","~~"),"*","~*"),"?","~?")))</x:f>
      </x:c>
      <x:c r="J255" s="13" t="str">
        <x:f>IF(OR(NOT(ISNUMBER(E255)),NOT(ISNUMBER(I255))),"",ROUND(E255-I255,2))</x:f>
      </x:c>
      <x:c r="K255" s="2" t="str">
        <x:f>IF(COUNTA(A255:F255)=0,"",IF(OR(A255="",B255="",C255="",D255="",NOT(ISNUMBER(E255))),"Missing / invalid input",IF(G255&gt;1,"Duplicate key in this source",IF(H255=0,"Missing in other source",IF(H255&gt;1,"Duplicate in other source",IF(SUMIFS('App Data'!$M$2:$M$1001,'App Data'!$L$2:$L$1001,SUBSTITUTE(SUBSTITUTE(SUBSTITUTE(L255,"~","~~"),"*","~*"),"?","~?"))&lt;&gt;1,"Other amount is invalid",IF(J255&lt;&gt;0,"Amount differs","Matched")))))))</x:f>
      </x:c>
      <x:c r="L255" t="str">
        <x:f>IF(COUNTA(A255:F255)=0,"",LEN(A255)&amp;":"&amp;A255&amp;LEN(B255)&amp;":"&amp;B255&amp;LEN(C255)&amp;":"&amp;C255&amp;LEN(D255)&amp;":"&amp;D255)</x:f>
      </x:c>
      <x:c r="M255" t="str">
        <x:f>IF(COUNTA(A255:F255)=0,"",IF(ISNUMBER(E255),1,0))</x:f>
      </x:c>
    </x:row>
    <x:row r="256">
      <x:c r="A256" s="11"/>
      <x:c r="B256" s="11"/>
      <x:c r="C256" s="11"/>
      <x:c r="D256" s="11"/>
      <x:c r="E256" s="12"/>
      <x:c r="F256" s="10"/>
      <x:c r="G256" s="2" t="str">
        <x:f>IF(COUNTA(A256:F256)=0,"",COUNTIFS('External Data'!$L$2:$L$1001,SUBSTITUTE(SUBSTITUTE(SUBSTITUTE(L256,"~","~~"),"*","~*"),"?","~?")))</x:f>
      </x:c>
      <x:c r="H256" s="2" t="str">
        <x:f>IF(COUNTA(A256:F256)=0,"",COUNTIFS('App Data'!$L$2:$L$1001,SUBSTITUTE(SUBSTITUTE(SUBSTITUTE(L256,"~","~~"),"*","~*"),"?","~?")))</x:f>
      </x:c>
      <x:c r="I256" s="13" t="str">
        <x:f>IF(OR(H256&lt;&gt;1,G256&lt;&gt;1),"",SUMIFS('App Data'!$E$2:$E$1001,'App Data'!$L$2:$L$1001,SUBSTITUTE(SUBSTITUTE(SUBSTITUTE(L256,"~","~~"),"*","~*"),"?","~?")))</x:f>
      </x:c>
      <x:c r="J256" s="13" t="str">
        <x:f>IF(OR(NOT(ISNUMBER(E256)),NOT(ISNUMBER(I256))),"",ROUND(E256-I256,2))</x:f>
      </x:c>
      <x:c r="K256" s="2" t="str">
        <x:f>IF(COUNTA(A256:F256)=0,"",IF(OR(A256="",B256="",C256="",D256="",NOT(ISNUMBER(E256))),"Missing / invalid input",IF(G256&gt;1,"Duplicate key in this source",IF(H256=0,"Missing in other source",IF(H256&gt;1,"Duplicate in other source",IF(SUMIFS('App Data'!$M$2:$M$1001,'App Data'!$L$2:$L$1001,SUBSTITUTE(SUBSTITUTE(SUBSTITUTE(L256,"~","~~"),"*","~*"),"?","~?"))&lt;&gt;1,"Other amount is invalid",IF(J256&lt;&gt;0,"Amount differs","Matched")))))))</x:f>
      </x:c>
      <x:c r="L256" t="str">
        <x:f>IF(COUNTA(A256:F256)=0,"",LEN(A256)&amp;":"&amp;A256&amp;LEN(B256)&amp;":"&amp;B256&amp;LEN(C256)&amp;":"&amp;C256&amp;LEN(D256)&amp;":"&amp;D256)</x:f>
      </x:c>
      <x:c r="M256" t="str">
        <x:f>IF(COUNTA(A256:F256)=0,"",IF(ISNUMBER(E256),1,0))</x:f>
      </x:c>
    </x:row>
    <x:row r="257">
      <x:c r="A257" s="11"/>
      <x:c r="B257" s="11"/>
      <x:c r="C257" s="11"/>
      <x:c r="D257" s="11"/>
      <x:c r="E257" s="12"/>
      <x:c r="F257" s="10"/>
      <x:c r="G257" s="2" t="str">
        <x:f>IF(COUNTA(A257:F257)=0,"",COUNTIFS('External Data'!$L$2:$L$1001,SUBSTITUTE(SUBSTITUTE(SUBSTITUTE(L257,"~","~~"),"*","~*"),"?","~?")))</x:f>
      </x:c>
      <x:c r="H257" s="2" t="str">
        <x:f>IF(COUNTA(A257:F257)=0,"",COUNTIFS('App Data'!$L$2:$L$1001,SUBSTITUTE(SUBSTITUTE(SUBSTITUTE(L257,"~","~~"),"*","~*"),"?","~?")))</x:f>
      </x:c>
      <x:c r="I257" s="13" t="str">
        <x:f>IF(OR(H257&lt;&gt;1,G257&lt;&gt;1),"",SUMIFS('App Data'!$E$2:$E$1001,'App Data'!$L$2:$L$1001,SUBSTITUTE(SUBSTITUTE(SUBSTITUTE(L257,"~","~~"),"*","~*"),"?","~?")))</x:f>
      </x:c>
      <x:c r="J257" s="13" t="str">
        <x:f>IF(OR(NOT(ISNUMBER(E257)),NOT(ISNUMBER(I257))),"",ROUND(E257-I257,2))</x:f>
      </x:c>
      <x:c r="K257" s="2" t="str">
        <x:f>IF(COUNTA(A257:F257)=0,"",IF(OR(A257="",B257="",C257="",D257="",NOT(ISNUMBER(E257))),"Missing / invalid input",IF(G257&gt;1,"Duplicate key in this source",IF(H257=0,"Missing in other source",IF(H257&gt;1,"Duplicate in other source",IF(SUMIFS('App Data'!$M$2:$M$1001,'App Data'!$L$2:$L$1001,SUBSTITUTE(SUBSTITUTE(SUBSTITUTE(L257,"~","~~"),"*","~*"),"?","~?"))&lt;&gt;1,"Other amount is invalid",IF(J257&lt;&gt;0,"Amount differs","Matched")))))))</x:f>
      </x:c>
      <x:c r="L257" t="str">
        <x:f>IF(COUNTA(A257:F257)=0,"",LEN(A257)&amp;":"&amp;A257&amp;LEN(B257)&amp;":"&amp;B257&amp;LEN(C257)&amp;":"&amp;C257&amp;LEN(D257)&amp;":"&amp;D257)</x:f>
      </x:c>
      <x:c r="M257" t="str">
        <x:f>IF(COUNTA(A257:F257)=0,"",IF(ISNUMBER(E257),1,0))</x:f>
      </x:c>
    </x:row>
    <x:row r="258">
      <x:c r="A258" s="11"/>
      <x:c r="B258" s="11"/>
      <x:c r="C258" s="11"/>
      <x:c r="D258" s="11"/>
      <x:c r="E258" s="12"/>
      <x:c r="F258" s="10"/>
      <x:c r="G258" s="2" t="str">
        <x:f>IF(COUNTA(A258:F258)=0,"",COUNTIFS('External Data'!$L$2:$L$1001,SUBSTITUTE(SUBSTITUTE(SUBSTITUTE(L258,"~","~~"),"*","~*"),"?","~?")))</x:f>
      </x:c>
      <x:c r="H258" s="2" t="str">
        <x:f>IF(COUNTA(A258:F258)=0,"",COUNTIFS('App Data'!$L$2:$L$1001,SUBSTITUTE(SUBSTITUTE(SUBSTITUTE(L258,"~","~~"),"*","~*"),"?","~?")))</x:f>
      </x:c>
      <x:c r="I258" s="13" t="str">
        <x:f>IF(OR(H258&lt;&gt;1,G258&lt;&gt;1),"",SUMIFS('App Data'!$E$2:$E$1001,'App Data'!$L$2:$L$1001,SUBSTITUTE(SUBSTITUTE(SUBSTITUTE(L258,"~","~~"),"*","~*"),"?","~?")))</x:f>
      </x:c>
      <x:c r="J258" s="13" t="str">
        <x:f>IF(OR(NOT(ISNUMBER(E258)),NOT(ISNUMBER(I258))),"",ROUND(E258-I258,2))</x:f>
      </x:c>
      <x:c r="K258" s="2" t="str">
        <x:f>IF(COUNTA(A258:F258)=0,"",IF(OR(A258="",B258="",C258="",D258="",NOT(ISNUMBER(E258))),"Missing / invalid input",IF(G258&gt;1,"Duplicate key in this source",IF(H258=0,"Missing in other source",IF(H258&gt;1,"Duplicate in other source",IF(SUMIFS('App Data'!$M$2:$M$1001,'App Data'!$L$2:$L$1001,SUBSTITUTE(SUBSTITUTE(SUBSTITUTE(L258,"~","~~"),"*","~*"),"?","~?"))&lt;&gt;1,"Other amount is invalid",IF(J258&lt;&gt;0,"Amount differs","Matched")))))))</x:f>
      </x:c>
      <x:c r="L258" t="str">
        <x:f>IF(COUNTA(A258:F258)=0,"",LEN(A258)&amp;":"&amp;A258&amp;LEN(B258)&amp;":"&amp;B258&amp;LEN(C258)&amp;":"&amp;C258&amp;LEN(D258)&amp;":"&amp;D258)</x:f>
      </x:c>
      <x:c r="M258" t="str">
        <x:f>IF(COUNTA(A258:F258)=0,"",IF(ISNUMBER(E258),1,0))</x:f>
      </x:c>
    </x:row>
    <x:row r="259">
      <x:c r="A259" s="11"/>
      <x:c r="B259" s="11"/>
      <x:c r="C259" s="11"/>
      <x:c r="D259" s="11"/>
      <x:c r="E259" s="12"/>
      <x:c r="F259" s="10"/>
      <x:c r="G259" s="2" t="str">
        <x:f>IF(COUNTA(A259:F259)=0,"",COUNTIFS('External Data'!$L$2:$L$1001,SUBSTITUTE(SUBSTITUTE(SUBSTITUTE(L259,"~","~~"),"*","~*"),"?","~?")))</x:f>
      </x:c>
      <x:c r="H259" s="2" t="str">
        <x:f>IF(COUNTA(A259:F259)=0,"",COUNTIFS('App Data'!$L$2:$L$1001,SUBSTITUTE(SUBSTITUTE(SUBSTITUTE(L259,"~","~~"),"*","~*"),"?","~?")))</x:f>
      </x:c>
      <x:c r="I259" s="13" t="str">
        <x:f>IF(OR(H259&lt;&gt;1,G259&lt;&gt;1),"",SUMIFS('App Data'!$E$2:$E$1001,'App Data'!$L$2:$L$1001,SUBSTITUTE(SUBSTITUTE(SUBSTITUTE(L259,"~","~~"),"*","~*"),"?","~?")))</x:f>
      </x:c>
      <x:c r="J259" s="13" t="str">
        <x:f>IF(OR(NOT(ISNUMBER(E259)),NOT(ISNUMBER(I259))),"",ROUND(E259-I259,2))</x:f>
      </x:c>
      <x:c r="K259" s="2" t="str">
        <x:f>IF(COUNTA(A259:F259)=0,"",IF(OR(A259="",B259="",C259="",D259="",NOT(ISNUMBER(E259))),"Missing / invalid input",IF(G259&gt;1,"Duplicate key in this source",IF(H259=0,"Missing in other source",IF(H259&gt;1,"Duplicate in other source",IF(SUMIFS('App Data'!$M$2:$M$1001,'App Data'!$L$2:$L$1001,SUBSTITUTE(SUBSTITUTE(SUBSTITUTE(L259,"~","~~"),"*","~*"),"?","~?"))&lt;&gt;1,"Other amount is invalid",IF(J259&lt;&gt;0,"Amount differs","Matched")))))))</x:f>
      </x:c>
      <x:c r="L259" t="str">
        <x:f>IF(COUNTA(A259:F259)=0,"",LEN(A259)&amp;":"&amp;A259&amp;LEN(B259)&amp;":"&amp;B259&amp;LEN(C259)&amp;":"&amp;C259&amp;LEN(D259)&amp;":"&amp;D259)</x:f>
      </x:c>
      <x:c r="M259" t="str">
        <x:f>IF(COUNTA(A259:F259)=0,"",IF(ISNUMBER(E259),1,0))</x:f>
      </x:c>
    </x:row>
    <x:row r="260">
      <x:c r="A260" s="11"/>
      <x:c r="B260" s="11"/>
      <x:c r="C260" s="11"/>
      <x:c r="D260" s="11"/>
      <x:c r="E260" s="12"/>
      <x:c r="F260" s="10"/>
      <x:c r="G260" s="2" t="str">
        <x:f>IF(COUNTA(A260:F260)=0,"",COUNTIFS('External Data'!$L$2:$L$1001,SUBSTITUTE(SUBSTITUTE(SUBSTITUTE(L260,"~","~~"),"*","~*"),"?","~?")))</x:f>
      </x:c>
      <x:c r="H260" s="2" t="str">
        <x:f>IF(COUNTA(A260:F260)=0,"",COUNTIFS('App Data'!$L$2:$L$1001,SUBSTITUTE(SUBSTITUTE(SUBSTITUTE(L260,"~","~~"),"*","~*"),"?","~?")))</x:f>
      </x:c>
      <x:c r="I260" s="13" t="str">
        <x:f>IF(OR(H260&lt;&gt;1,G260&lt;&gt;1),"",SUMIFS('App Data'!$E$2:$E$1001,'App Data'!$L$2:$L$1001,SUBSTITUTE(SUBSTITUTE(SUBSTITUTE(L260,"~","~~"),"*","~*"),"?","~?")))</x:f>
      </x:c>
      <x:c r="J260" s="13" t="str">
        <x:f>IF(OR(NOT(ISNUMBER(E260)),NOT(ISNUMBER(I260))),"",ROUND(E260-I260,2))</x:f>
      </x:c>
      <x:c r="K260" s="2" t="str">
        <x:f>IF(COUNTA(A260:F260)=0,"",IF(OR(A260="",B260="",C260="",D260="",NOT(ISNUMBER(E260))),"Missing / invalid input",IF(G260&gt;1,"Duplicate key in this source",IF(H260=0,"Missing in other source",IF(H260&gt;1,"Duplicate in other source",IF(SUMIFS('App Data'!$M$2:$M$1001,'App Data'!$L$2:$L$1001,SUBSTITUTE(SUBSTITUTE(SUBSTITUTE(L260,"~","~~"),"*","~*"),"?","~?"))&lt;&gt;1,"Other amount is invalid",IF(J260&lt;&gt;0,"Amount differs","Matched")))))))</x:f>
      </x:c>
      <x:c r="L260" t="str">
        <x:f>IF(COUNTA(A260:F260)=0,"",LEN(A260)&amp;":"&amp;A260&amp;LEN(B260)&amp;":"&amp;B260&amp;LEN(C260)&amp;":"&amp;C260&amp;LEN(D260)&amp;":"&amp;D260)</x:f>
      </x:c>
      <x:c r="M260" t="str">
        <x:f>IF(COUNTA(A260:F260)=0,"",IF(ISNUMBER(E260),1,0))</x:f>
      </x:c>
    </x:row>
    <x:row r="261">
      <x:c r="A261" s="11"/>
      <x:c r="B261" s="11"/>
      <x:c r="C261" s="11"/>
      <x:c r="D261" s="11"/>
      <x:c r="E261" s="12"/>
      <x:c r="F261" s="10"/>
      <x:c r="G261" s="2" t="str">
        <x:f>IF(COUNTA(A261:F261)=0,"",COUNTIFS('External Data'!$L$2:$L$1001,SUBSTITUTE(SUBSTITUTE(SUBSTITUTE(L261,"~","~~"),"*","~*"),"?","~?")))</x:f>
      </x:c>
      <x:c r="H261" s="2" t="str">
        <x:f>IF(COUNTA(A261:F261)=0,"",COUNTIFS('App Data'!$L$2:$L$1001,SUBSTITUTE(SUBSTITUTE(SUBSTITUTE(L261,"~","~~"),"*","~*"),"?","~?")))</x:f>
      </x:c>
      <x:c r="I261" s="13" t="str">
        <x:f>IF(OR(H261&lt;&gt;1,G261&lt;&gt;1),"",SUMIFS('App Data'!$E$2:$E$1001,'App Data'!$L$2:$L$1001,SUBSTITUTE(SUBSTITUTE(SUBSTITUTE(L261,"~","~~"),"*","~*"),"?","~?")))</x:f>
      </x:c>
      <x:c r="J261" s="13" t="str">
        <x:f>IF(OR(NOT(ISNUMBER(E261)),NOT(ISNUMBER(I261))),"",ROUND(E261-I261,2))</x:f>
      </x:c>
      <x:c r="K261" s="2" t="str">
        <x:f>IF(COUNTA(A261:F261)=0,"",IF(OR(A261="",B261="",C261="",D261="",NOT(ISNUMBER(E261))),"Missing / invalid input",IF(G261&gt;1,"Duplicate key in this source",IF(H261=0,"Missing in other source",IF(H261&gt;1,"Duplicate in other source",IF(SUMIFS('App Data'!$M$2:$M$1001,'App Data'!$L$2:$L$1001,SUBSTITUTE(SUBSTITUTE(SUBSTITUTE(L261,"~","~~"),"*","~*"),"?","~?"))&lt;&gt;1,"Other amount is invalid",IF(J261&lt;&gt;0,"Amount differs","Matched")))))))</x:f>
      </x:c>
      <x:c r="L261" t="str">
        <x:f>IF(COUNTA(A261:F261)=0,"",LEN(A261)&amp;":"&amp;A261&amp;LEN(B261)&amp;":"&amp;B261&amp;LEN(C261)&amp;":"&amp;C261&amp;LEN(D261)&amp;":"&amp;D261)</x:f>
      </x:c>
      <x:c r="M261" t="str">
        <x:f>IF(COUNTA(A261:F261)=0,"",IF(ISNUMBER(E261),1,0))</x:f>
      </x:c>
    </x:row>
    <x:row r="262">
      <x:c r="A262" s="11"/>
      <x:c r="B262" s="11"/>
      <x:c r="C262" s="11"/>
      <x:c r="D262" s="11"/>
      <x:c r="E262" s="12"/>
      <x:c r="F262" s="10"/>
      <x:c r="G262" s="2" t="str">
        <x:f>IF(COUNTA(A262:F262)=0,"",COUNTIFS('External Data'!$L$2:$L$1001,SUBSTITUTE(SUBSTITUTE(SUBSTITUTE(L262,"~","~~"),"*","~*"),"?","~?")))</x:f>
      </x:c>
      <x:c r="H262" s="2" t="str">
        <x:f>IF(COUNTA(A262:F262)=0,"",COUNTIFS('App Data'!$L$2:$L$1001,SUBSTITUTE(SUBSTITUTE(SUBSTITUTE(L262,"~","~~"),"*","~*"),"?","~?")))</x:f>
      </x:c>
      <x:c r="I262" s="13" t="str">
        <x:f>IF(OR(H262&lt;&gt;1,G262&lt;&gt;1),"",SUMIFS('App Data'!$E$2:$E$1001,'App Data'!$L$2:$L$1001,SUBSTITUTE(SUBSTITUTE(SUBSTITUTE(L262,"~","~~"),"*","~*"),"?","~?")))</x:f>
      </x:c>
      <x:c r="J262" s="13" t="str">
        <x:f>IF(OR(NOT(ISNUMBER(E262)),NOT(ISNUMBER(I262))),"",ROUND(E262-I262,2))</x:f>
      </x:c>
      <x:c r="K262" s="2" t="str">
        <x:f>IF(COUNTA(A262:F262)=0,"",IF(OR(A262="",B262="",C262="",D262="",NOT(ISNUMBER(E262))),"Missing / invalid input",IF(G262&gt;1,"Duplicate key in this source",IF(H262=0,"Missing in other source",IF(H262&gt;1,"Duplicate in other source",IF(SUMIFS('App Data'!$M$2:$M$1001,'App Data'!$L$2:$L$1001,SUBSTITUTE(SUBSTITUTE(SUBSTITUTE(L262,"~","~~"),"*","~*"),"?","~?"))&lt;&gt;1,"Other amount is invalid",IF(J262&lt;&gt;0,"Amount differs","Matched")))))))</x:f>
      </x:c>
      <x:c r="L262" t="str">
        <x:f>IF(COUNTA(A262:F262)=0,"",LEN(A262)&amp;":"&amp;A262&amp;LEN(B262)&amp;":"&amp;B262&amp;LEN(C262)&amp;":"&amp;C262&amp;LEN(D262)&amp;":"&amp;D262)</x:f>
      </x:c>
      <x:c r="M262" t="str">
        <x:f>IF(COUNTA(A262:F262)=0,"",IF(ISNUMBER(E262),1,0))</x:f>
      </x:c>
    </x:row>
    <x:row r="263">
      <x:c r="A263" s="11"/>
      <x:c r="B263" s="11"/>
      <x:c r="C263" s="11"/>
      <x:c r="D263" s="11"/>
      <x:c r="E263" s="12"/>
      <x:c r="F263" s="10"/>
      <x:c r="G263" s="2" t="str">
        <x:f>IF(COUNTA(A263:F263)=0,"",COUNTIFS('External Data'!$L$2:$L$1001,SUBSTITUTE(SUBSTITUTE(SUBSTITUTE(L263,"~","~~"),"*","~*"),"?","~?")))</x:f>
      </x:c>
      <x:c r="H263" s="2" t="str">
        <x:f>IF(COUNTA(A263:F263)=0,"",COUNTIFS('App Data'!$L$2:$L$1001,SUBSTITUTE(SUBSTITUTE(SUBSTITUTE(L263,"~","~~"),"*","~*"),"?","~?")))</x:f>
      </x:c>
      <x:c r="I263" s="13" t="str">
        <x:f>IF(OR(H263&lt;&gt;1,G263&lt;&gt;1),"",SUMIFS('App Data'!$E$2:$E$1001,'App Data'!$L$2:$L$1001,SUBSTITUTE(SUBSTITUTE(SUBSTITUTE(L263,"~","~~"),"*","~*"),"?","~?")))</x:f>
      </x:c>
      <x:c r="J263" s="13" t="str">
        <x:f>IF(OR(NOT(ISNUMBER(E263)),NOT(ISNUMBER(I263))),"",ROUND(E263-I263,2))</x:f>
      </x:c>
      <x:c r="K263" s="2" t="str">
        <x:f>IF(COUNTA(A263:F263)=0,"",IF(OR(A263="",B263="",C263="",D263="",NOT(ISNUMBER(E263))),"Missing / invalid input",IF(G263&gt;1,"Duplicate key in this source",IF(H263=0,"Missing in other source",IF(H263&gt;1,"Duplicate in other source",IF(SUMIFS('App Data'!$M$2:$M$1001,'App Data'!$L$2:$L$1001,SUBSTITUTE(SUBSTITUTE(SUBSTITUTE(L263,"~","~~"),"*","~*"),"?","~?"))&lt;&gt;1,"Other amount is invalid",IF(J263&lt;&gt;0,"Amount differs","Matched")))))))</x:f>
      </x:c>
      <x:c r="L263" t="str">
        <x:f>IF(COUNTA(A263:F263)=0,"",LEN(A263)&amp;":"&amp;A263&amp;LEN(B263)&amp;":"&amp;B263&amp;LEN(C263)&amp;":"&amp;C263&amp;LEN(D263)&amp;":"&amp;D263)</x:f>
      </x:c>
      <x:c r="M263" t="str">
        <x:f>IF(COUNTA(A263:F263)=0,"",IF(ISNUMBER(E263),1,0))</x:f>
      </x:c>
    </x:row>
    <x:row r="264">
      <x:c r="A264" s="11"/>
      <x:c r="B264" s="11"/>
      <x:c r="C264" s="11"/>
      <x:c r="D264" s="11"/>
      <x:c r="E264" s="12"/>
      <x:c r="F264" s="10"/>
      <x:c r="G264" s="2" t="str">
        <x:f>IF(COUNTA(A264:F264)=0,"",COUNTIFS('External Data'!$L$2:$L$1001,SUBSTITUTE(SUBSTITUTE(SUBSTITUTE(L264,"~","~~"),"*","~*"),"?","~?")))</x:f>
      </x:c>
      <x:c r="H264" s="2" t="str">
        <x:f>IF(COUNTA(A264:F264)=0,"",COUNTIFS('App Data'!$L$2:$L$1001,SUBSTITUTE(SUBSTITUTE(SUBSTITUTE(L264,"~","~~"),"*","~*"),"?","~?")))</x:f>
      </x:c>
      <x:c r="I264" s="13" t="str">
        <x:f>IF(OR(H264&lt;&gt;1,G264&lt;&gt;1),"",SUMIFS('App Data'!$E$2:$E$1001,'App Data'!$L$2:$L$1001,SUBSTITUTE(SUBSTITUTE(SUBSTITUTE(L264,"~","~~"),"*","~*"),"?","~?")))</x:f>
      </x:c>
      <x:c r="J264" s="13" t="str">
        <x:f>IF(OR(NOT(ISNUMBER(E264)),NOT(ISNUMBER(I264))),"",ROUND(E264-I264,2))</x:f>
      </x:c>
      <x:c r="K264" s="2" t="str">
        <x:f>IF(COUNTA(A264:F264)=0,"",IF(OR(A264="",B264="",C264="",D264="",NOT(ISNUMBER(E264))),"Missing / invalid input",IF(G264&gt;1,"Duplicate key in this source",IF(H264=0,"Missing in other source",IF(H264&gt;1,"Duplicate in other source",IF(SUMIFS('App Data'!$M$2:$M$1001,'App Data'!$L$2:$L$1001,SUBSTITUTE(SUBSTITUTE(SUBSTITUTE(L264,"~","~~"),"*","~*"),"?","~?"))&lt;&gt;1,"Other amount is invalid",IF(J264&lt;&gt;0,"Amount differs","Matched")))))))</x:f>
      </x:c>
      <x:c r="L264" t="str">
        <x:f>IF(COUNTA(A264:F264)=0,"",LEN(A264)&amp;":"&amp;A264&amp;LEN(B264)&amp;":"&amp;B264&amp;LEN(C264)&amp;":"&amp;C264&amp;LEN(D264)&amp;":"&amp;D264)</x:f>
      </x:c>
      <x:c r="M264" t="str">
        <x:f>IF(COUNTA(A264:F264)=0,"",IF(ISNUMBER(E264),1,0))</x:f>
      </x:c>
    </x:row>
    <x:row r="265">
      <x:c r="A265" s="11"/>
      <x:c r="B265" s="11"/>
      <x:c r="C265" s="11"/>
      <x:c r="D265" s="11"/>
      <x:c r="E265" s="12"/>
      <x:c r="F265" s="10"/>
      <x:c r="G265" s="2" t="str">
        <x:f>IF(COUNTA(A265:F265)=0,"",COUNTIFS('External Data'!$L$2:$L$1001,SUBSTITUTE(SUBSTITUTE(SUBSTITUTE(L265,"~","~~"),"*","~*"),"?","~?")))</x:f>
      </x:c>
      <x:c r="H265" s="2" t="str">
        <x:f>IF(COUNTA(A265:F265)=0,"",COUNTIFS('App Data'!$L$2:$L$1001,SUBSTITUTE(SUBSTITUTE(SUBSTITUTE(L265,"~","~~"),"*","~*"),"?","~?")))</x:f>
      </x:c>
      <x:c r="I265" s="13" t="str">
        <x:f>IF(OR(H265&lt;&gt;1,G265&lt;&gt;1),"",SUMIFS('App Data'!$E$2:$E$1001,'App Data'!$L$2:$L$1001,SUBSTITUTE(SUBSTITUTE(SUBSTITUTE(L265,"~","~~"),"*","~*"),"?","~?")))</x:f>
      </x:c>
      <x:c r="J265" s="13" t="str">
        <x:f>IF(OR(NOT(ISNUMBER(E265)),NOT(ISNUMBER(I265))),"",ROUND(E265-I265,2))</x:f>
      </x:c>
      <x:c r="K265" s="2" t="str">
        <x:f>IF(COUNTA(A265:F265)=0,"",IF(OR(A265="",B265="",C265="",D265="",NOT(ISNUMBER(E265))),"Missing / invalid input",IF(G265&gt;1,"Duplicate key in this source",IF(H265=0,"Missing in other source",IF(H265&gt;1,"Duplicate in other source",IF(SUMIFS('App Data'!$M$2:$M$1001,'App Data'!$L$2:$L$1001,SUBSTITUTE(SUBSTITUTE(SUBSTITUTE(L265,"~","~~"),"*","~*"),"?","~?"))&lt;&gt;1,"Other amount is invalid",IF(J265&lt;&gt;0,"Amount differs","Matched")))))))</x:f>
      </x:c>
      <x:c r="L265" t="str">
        <x:f>IF(COUNTA(A265:F265)=0,"",LEN(A265)&amp;":"&amp;A265&amp;LEN(B265)&amp;":"&amp;B265&amp;LEN(C265)&amp;":"&amp;C265&amp;LEN(D265)&amp;":"&amp;D265)</x:f>
      </x:c>
      <x:c r="M265" t="str">
        <x:f>IF(COUNTA(A265:F265)=0,"",IF(ISNUMBER(E265),1,0))</x:f>
      </x:c>
    </x:row>
    <x:row r="266">
      <x:c r="A266" s="11"/>
      <x:c r="B266" s="11"/>
      <x:c r="C266" s="11"/>
      <x:c r="D266" s="11"/>
      <x:c r="E266" s="12"/>
      <x:c r="F266" s="10"/>
      <x:c r="G266" s="2" t="str">
        <x:f>IF(COUNTA(A266:F266)=0,"",COUNTIFS('External Data'!$L$2:$L$1001,SUBSTITUTE(SUBSTITUTE(SUBSTITUTE(L266,"~","~~"),"*","~*"),"?","~?")))</x:f>
      </x:c>
      <x:c r="H266" s="2" t="str">
        <x:f>IF(COUNTA(A266:F266)=0,"",COUNTIFS('App Data'!$L$2:$L$1001,SUBSTITUTE(SUBSTITUTE(SUBSTITUTE(L266,"~","~~"),"*","~*"),"?","~?")))</x:f>
      </x:c>
      <x:c r="I266" s="13" t="str">
        <x:f>IF(OR(H266&lt;&gt;1,G266&lt;&gt;1),"",SUMIFS('App Data'!$E$2:$E$1001,'App Data'!$L$2:$L$1001,SUBSTITUTE(SUBSTITUTE(SUBSTITUTE(L266,"~","~~"),"*","~*"),"?","~?")))</x:f>
      </x:c>
      <x:c r="J266" s="13" t="str">
        <x:f>IF(OR(NOT(ISNUMBER(E266)),NOT(ISNUMBER(I266))),"",ROUND(E266-I266,2))</x:f>
      </x:c>
      <x:c r="K266" s="2" t="str">
        <x:f>IF(COUNTA(A266:F266)=0,"",IF(OR(A266="",B266="",C266="",D266="",NOT(ISNUMBER(E266))),"Missing / invalid input",IF(G266&gt;1,"Duplicate key in this source",IF(H266=0,"Missing in other source",IF(H266&gt;1,"Duplicate in other source",IF(SUMIFS('App Data'!$M$2:$M$1001,'App Data'!$L$2:$L$1001,SUBSTITUTE(SUBSTITUTE(SUBSTITUTE(L266,"~","~~"),"*","~*"),"?","~?"))&lt;&gt;1,"Other amount is invalid",IF(J266&lt;&gt;0,"Amount differs","Matched")))))))</x:f>
      </x:c>
      <x:c r="L266" t="str">
        <x:f>IF(COUNTA(A266:F266)=0,"",LEN(A266)&amp;":"&amp;A266&amp;LEN(B266)&amp;":"&amp;B266&amp;LEN(C266)&amp;":"&amp;C266&amp;LEN(D266)&amp;":"&amp;D266)</x:f>
      </x:c>
      <x:c r="M266" t="str">
        <x:f>IF(COUNTA(A266:F266)=0,"",IF(ISNUMBER(E266),1,0))</x:f>
      </x:c>
    </x:row>
    <x:row r="267">
      <x:c r="A267" s="11"/>
      <x:c r="B267" s="11"/>
      <x:c r="C267" s="11"/>
      <x:c r="D267" s="11"/>
      <x:c r="E267" s="12"/>
      <x:c r="F267" s="10"/>
      <x:c r="G267" s="2" t="str">
        <x:f>IF(COUNTA(A267:F267)=0,"",COUNTIFS('External Data'!$L$2:$L$1001,SUBSTITUTE(SUBSTITUTE(SUBSTITUTE(L267,"~","~~"),"*","~*"),"?","~?")))</x:f>
      </x:c>
      <x:c r="H267" s="2" t="str">
        <x:f>IF(COUNTA(A267:F267)=0,"",COUNTIFS('App Data'!$L$2:$L$1001,SUBSTITUTE(SUBSTITUTE(SUBSTITUTE(L267,"~","~~"),"*","~*"),"?","~?")))</x:f>
      </x:c>
      <x:c r="I267" s="13" t="str">
        <x:f>IF(OR(H267&lt;&gt;1,G267&lt;&gt;1),"",SUMIFS('App Data'!$E$2:$E$1001,'App Data'!$L$2:$L$1001,SUBSTITUTE(SUBSTITUTE(SUBSTITUTE(L267,"~","~~"),"*","~*"),"?","~?")))</x:f>
      </x:c>
      <x:c r="J267" s="13" t="str">
        <x:f>IF(OR(NOT(ISNUMBER(E267)),NOT(ISNUMBER(I267))),"",ROUND(E267-I267,2))</x:f>
      </x:c>
      <x:c r="K267" s="2" t="str">
        <x:f>IF(COUNTA(A267:F267)=0,"",IF(OR(A267="",B267="",C267="",D267="",NOT(ISNUMBER(E267))),"Missing / invalid input",IF(G267&gt;1,"Duplicate key in this source",IF(H267=0,"Missing in other source",IF(H267&gt;1,"Duplicate in other source",IF(SUMIFS('App Data'!$M$2:$M$1001,'App Data'!$L$2:$L$1001,SUBSTITUTE(SUBSTITUTE(SUBSTITUTE(L267,"~","~~"),"*","~*"),"?","~?"))&lt;&gt;1,"Other amount is invalid",IF(J267&lt;&gt;0,"Amount differs","Matched")))))))</x:f>
      </x:c>
      <x:c r="L267" t="str">
        <x:f>IF(COUNTA(A267:F267)=0,"",LEN(A267)&amp;":"&amp;A267&amp;LEN(B267)&amp;":"&amp;B267&amp;LEN(C267)&amp;":"&amp;C267&amp;LEN(D267)&amp;":"&amp;D267)</x:f>
      </x:c>
      <x:c r="M267" t="str">
        <x:f>IF(COUNTA(A267:F267)=0,"",IF(ISNUMBER(E267),1,0))</x:f>
      </x:c>
    </x:row>
    <x:row r="268">
      <x:c r="A268" s="11"/>
      <x:c r="B268" s="11"/>
      <x:c r="C268" s="11"/>
      <x:c r="D268" s="11"/>
      <x:c r="E268" s="12"/>
      <x:c r="F268" s="10"/>
      <x:c r="G268" s="2" t="str">
        <x:f>IF(COUNTA(A268:F268)=0,"",COUNTIFS('External Data'!$L$2:$L$1001,SUBSTITUTE(SUBSTITUTE(SUBSTITUTE(L268,"~","~~"),"*","~*"),"?","~?")))</x:f>
      </x:c>
      <x:c r="H268" s="2" t="str">
        <x:f>IF(COUNTA(A268:F268)=0,"",COUNTIFS('App Data'!$L$2:$L$1001,SUBSTITUTE(SUBSTITUTE(SUBSTITUTE(L268,"~","~~"),"*","~*"),"?","~?")))</x:f>
      </x:c>
      <x:c r="I268" s="13" t="str">
        <x:f>IF(OR(H268&lt;&gt;1,G268&lt;&gt;1),"",SUMIFS('App Data'!$E$2:$E$1001,'App Data'!$L$2:$L$1001,SUBSTITUTE(SUBSTITUTE(SUBSTITUTE(L268,"~","~~"),"*","~*"),"?","~?")))</x:f>
      </x:c>
      <x:c r="J268" s="13" t="str">
        <x:f>IF(OR(NOT(ISNUMBER(E268)),NOT(ISNUMBER(I268))),"",ROUND(E268-I268,2))</x:f>
      </x:c>
      <x:c r="K268" s="2" t="str">
        <x:f>IF(COUNTA(A268:F268)=0,"",IF(OR(A268="",B268="",C268="",D268="",NOT(ISNUMBER(E268))),"Missing / invalid input",IF(G268&gt;1,"Duplicate key in this source",IF(H268=0,"Missing in other source",IF(H268&gt;1,"Duplicate in other source",IF(SUMIFS('App Data'!$M$2:$M$1001,'App Data'!$L$2:$L$1001,SUBSTITUTE(SUBSTITUTE(SUBSTITUTE(L268,"~","~~"),"*","~*"),"?","~?"))&lt;&gt;1,"Other amount is invalid",IF(J268&lt;&gt;0,"Amount differs","Matched")))))))</x:f>
      </x:c>
      <x:c r="L268" t="str">
        <x:f>IF(COUNTA(A268:F268)=0,"",LEN(A268)&amp;":"&amp;A268&amp;LEN(B268)&amp;":"&amp;B268&amp;LEN(C268)&amp;":"&amp;C268&amp;LEN(D268)&amp;":"&amp;D268)</x:f>
      </x:c>
      <x:c r="M268" t="str">
        <x:f>IF(COUNTA(A268:F268)=0,"",IF(ISNUMBER(E268),1,0))</x:f>
      </x:c>
    </x:row>
    <x:row r="269">
      <x:c r="A269" s="11"/>
      <x:c r="B269" s="11"/>
      <x:c r="C269" s="11"/>
      <x:c r="D269" s="11"/>
      <x:c r="E269" s="12"/>
      <x:c r="F269" s="10"/>
      <x:c r="G269" s="2" t="str">
        <x:f>IF(COUNTA(A269:F269)=0,"",COUNTIFS('External Data'!$L$2:$L$1001,SUBSTITUTE(SUBSTITUTE(SUBSTITUTE(L269,"~","~~"),"*","~*"),"?","~?")))</x:f>
      </x:c>
      <x:c r="H269" s="2" t="str">
        <x:f>IF(COUNTA(A269:F269)=0,"",COUNTIFS('App Data'!$L$2:$L$1001,SUBSTITUTE(SUBSTITUTE(SUBSTITUTE(L269,"~","~~"),"*","~*"),"?","~?")))</x:f>
      </x:c>
      <x:c r="I269" s="13" t="str">
        <x:f>IF(OR(H269&lt;&gt;1,G269&lt;&gt;1),"",SUMIFS('App Data'!$E$2:$E$1001,'App Data'!$L$2:$L$1001,SUBSTITUTE(SUBSTITUTE(SUBSTITUTE(L269,"~","~~"),"*","~*"),"?","~?")))</x:f>
      </x:c>
      <x:c r="J269" s="13" t="str">
        <x:f>IF(OR(NOT(ISNUMBER(E269)),NOT(ISNUMBER(I269))),"",ROUND(E269-I269,2))</x:f>
      </x:c>
      <x:c r="K269" s="2" t="str">
        <x:f>IF(COUNTA(A269:F269)=0,"",IF(OR(A269="",B269="",C269="",D269="",NOT(ISNUMBER(E269))),"Missing / invalid input",IF(G269&gt;1,"Duplicate key in this source",IF(H269=0,"Missing in other source",IF(H269&gt;1,"Duplicate in other source",IF(SUMIFS('App Data'!$M$2:$M$1001,'App Data'!$L$2:$L$1001,SUBSTITUTE(SUBSTITUTE(SUBSTITUTE(L269,"~","~~"),"*","~*"),"?","~?"))&lt;&gt;1,"Other amount is invalid",IF(J269&lt;&gt;0,"Amount differs","Matched")))))))</x:f>
      </x:c>
      <x:c r="L269" t="str">
        <x:f>IF(COUNTA(A269:F269)=0,"",LEN(A269)&amp;":"&amp;A269&amp;LEN(B269)&amp;":"&amp;B269&amp;LEN(C269)&amp;":"&amp;C269&amp;LEN(D269)&amp;":"&amp;D269)</x:f>
      </x:c>
      <x:c r="M269" t="str">
        <x:f>IF(COUNTA(A269:F269)=0,"",IF(ISNUMBER(E269),1,0))</x:f>
      </x:c>
    </x:row>
    <x:row r="270">
      <x:c r="A270" s="11"/>
      <x:c r="B270" s="11"/>
      <x:c r="C270" s="11"/>
      <x:c r="D270" s="11"/>
      <x:c r="E270" s="12"/>
      <x:c r="F270" s="10"/>
      <x:c r="G270" s="2" t="str">
        <x:f>IF(COUNTA(A270:F270)=0,"",COUNTIFS('External Data'!$L$2:$L$1001,SUBSTITUTE(SUBSTITUTE(SUBSTITUTE(L270,"~","~~"),"*","~*"),"?","~?")))</x:f>
      </x:c>
      <x:c r="H270" s="2" t="str">
        <x:f>IF(COUNTA(A270:F270)=0,"",COUNTIFS('App Data'!$L$2:$L$1001,SUBSTITUTE(SUBSTITUTE(SUBSTITUTE(L270,"~","~~"),"*","~*"),"?","~?")))</x:f>
      </x:c>
      <x:c r="I270" s="13" t="str">
        <x:f>IF(OR(H270&lt;&gt;1,G270&lt;&gt;1),"",SUMIFS('App Data'!$E$2:$E$1001,'App Data'!$L$2:$L$1001,SUBSTITUTE(SUBSTITUTE(SUBSTITUTE(L270,"~","~~"),"*","~*"),"?","~?")))</x:f>
      </x:c>
      <x:c r="J270" s="13" t="str">
        <x:f>IF(OR(NOT(ISNUMBER(E270)),NOT(ISNUMBER(I270))),"",ROUND(E270-I270,2))</x:f>
      </x:c>
      <x:c r="K270" s="2" t="str">
        <x:f>IF(COUNTA(A270:F270)=0,"",IF(OR(A270="",B270="",C270="",D270="",NOT(ISNUMBER(E270))),"Missing / invalid input",IF(G270&gt;1,"Duplicate key in this source",IF(H270=0,"Missing in other source",IF(H270&gt;1,"Duplicate in other source",IF(SUMIFS('App Data'!$M$2:$M$1001,'App Data'!$L$2:$L$1001,SUBSTITUTE(SUBSTITUTE(SUBSTITUTE(L270,"~","~~"),"*","~*"),"?","~?"))&lt;&gt;1,"Other amount is invalid",IF(J270&lt;&gt;0,"Amount differs","Matched")))))))</x:f>
      </x:c>
      <x:c r="L270" t="str">
        <x:f>IF(COUNTA(A270:F270)=0,"",LEN(A270)&amp;":"&amp;A270&amp;LEN(B270)&amp;":"&amp;B270&amp;LEN(C270)&amp;":"&amp;C270&amp;LEN(D270)&amp;":"&amp;D270)</x:f>
      </x:c>
      <x:c r="M270" t="str">
        <x:f>IF(COUNTA(A270:F270)=0,"",IF(ISNUMBER(E270),1,0))</x:f>
      </x:c>
    </x:row>
    <x:row r="271">
      <x:c r="A271" s="11"/>
      <x:c r="B271" s="11"/>
      <x:c r="C271" s="11"/>
      <x:c r="D271" s="11"/>
      <x:c r="E271" s="12"/>
      <x:c r="F271" s="10"/>
      <x:c r="G271" s="2" t="str">
        <x:f>IF(COUNTA(A271:F271)=0,"",COUNTIFS('External Data'!$L$2:$L$1001,SUBSTITUTE(SUBSTITUTE(SUBSTITUTE(L271,"~","~~"),"*","~*"),"?","~?")))</x:f>
      </x:c>
      <x:c r="H271" s="2" t="str">
        <x:f>IF(COUNTA(A271:F271)=0,"",COUNTIFS('App Data'!$L$2:$L$1001,SUBSTITUTE(SUBSTITUTE(SUBSTITUTE(L271,"~","~~"),"*","~*"),"?","~?")))</x:f>
      </x:c>
      <x:c r="I271" s="13" t="str">
        <x:f>IF(OR(H271&lt;&gt;1,G271&lt;&gt;1),"",SUMIFS('App Data'!$E$2:$E$1001,'App Data'!$L$2:$L$1001,SUBSTITUTE(SUBSTITUTE(SUBSTITUTE(L271,"~","~~"),"*","~*"),"?","~?")))</x:f>
      </x:c>
      <x:c r="J271" s="13" t="str">
        <x:f>IF(OR(NOT(ISNUMBER(E271)),NOT(ISNUMBER(I271))),"",ROUND(E271-I271,2))</x:f>
      </x:c>
      <x:c r="K271" s="2" t="str">
        <x:f>IF(COUNTA(A271:F271)=0,"",IF(OR(A271="",B271="",C271="",D271="",NOT(ISNUMBER(E271))),"Missing / invalid input",IF(G271&gt;1,"Duplicate key in this source",IF(H271=0,"Missing in other source",IF(H271&gt;1,"Duplicate in other source",IF(SUMIFS('App Data'!$M$2:$M$1001,'App Data'!$L$2:$L$1001,SUBSTITUTE(SUBSTITUTE(SUBSTITUTE(L271,"~","~~"),"*","~*"),"?","~?"))&lt;&gt;1,"Other amount is invalid",IF(J271&lt;&gt;0,"Amount differs","Matched")))))))</x:f>
      </x:c>
      <x:c r="L271" t="str">
        <x:f>IF(COUNTA(A271:F271)=0,"",LEN(A271)&amp;":"&amp;A271&amp;LEN(B271)&amp;":"&amp;B271&amp;LEN(C271)&amp;":"&amp;C271&amp;LEN(D271)&amp;":"&amp;D271)</x:f>
      </x:c>
      <x:c r="M271" t="str">
        <x:f>IF(COUNTA(A271:F271)=0,"",IF(ISNUMBER(E271),1,0))</x:f>
      </x:c>
    </x:row>
    <x:row r="272">
      <x:c r="A272" s="11"/>
      <x:c r="B272" s="11"/>
      <x:c r="C272" s="11"/>
      <x:c r="D272" s="11"/>
      <x:c r="E272" s="12"/>
      <x:c r="F272" s="10"/>
      <x:c r="G272" s="2" t="str">
        <x:f>IF(COUNTA(A272:F272)=0,"",COUNTIFS('External Data'!$L$2:$L$1001,SUBSTITUTE(SUBSTITUTE(SUBSTITUTE(L272,"~","~~"),"*","~*"),"?","~?")))</x:f>
      </x:c>
      <x:c r="H272" s="2" t="str">
        <x:f>IF(COUNTA(A272:F272)=0,"",COUNTIFS('App Data'!$L$2:$L$1001,SUBSTITUTE(SUBSTITUTE(SUBSTITUTE(L272,"~","~~"),"*","~*"),"?","~?")))</x:f>
      </x:c>
      <x:c r="I272" s="13" t="str">
        <x:f>IF(OR(H272&lt;&gt;1,G272&lt;&gt;1),"",SUMIFS('App Data'!$E$2:$E$1001,'App Data'!$L$2:$L$1001,SUBSTITUTE(SUBSTITUTE(SUBSTITUTE(L272,"~","~~"),"*","~*"),"?","~?")))</x:f>
      </x:c>
      <x:c r="J272" s="13" t="str">
        <x:f>IF(OR(NOT(ISNUMBER(E272)),NOT(ISNUMBER(I272))),"",ROUND(E272-I272,2))</x:f>
      </x:c>
      <x:c r="K272" s="2" t="str">
        <x:f>IF(COUNTA(A272:F272)=0,"",IF(OR(A272="",B272="",C272="",D272="",NOT(ISNUMBER(E272))),"Missing / invalid input",IF(G272&gt;1,"Duplicate key in this source",IF(H272=0,"Missing in other source",IF(H272&gt;1,"Duplicate in other source",IF(SUMIFS('App Data'!$M$2:$M$1001,'App Data'!$L$2:$L$1001,SUBSTITUTE(SUBSTITUTE(SUBSTITUTE(L272,"~","~~"),"*","~*"),"?","~?"))&lt;&gt;1,"Other amount is invalid",IF(J272&lt;&gt;0,"Amount differs","Matched")))))))</x:f>
      </x:c>
      <x:c r="L272" t="str">
        <x:f>IF(COUNTA(A272:F272)=0,"",LEN(A272)&amp;":"&amp;A272&amp;LEN(B272)&amp;":"&amp;B272&amp;LEN(C272)&amp;":"&amp;C272&amp;LEN(D272)&amp;":"&amp;D272)</x:f>
      </x:c>
      <x:c r="M272" t="str">
        <x:f>IF(COUNTA(A272:F272)=0,"",IF(ISNUMBER(E272),1,0))</x:f>
      </x:c>
    </x:row>
    <x:row r="273">
      <x:c r="A273" s="11"/>
      <x:c r="B273" s="11"/>
      <x:c r="C273" s="11"/>
      <x:c r="D273" s="11"/>
      <x:c r="E273" s="12"/>
      <x:c r="F273" s="10"/>
      <x:c r="G273" s="2" t="str">
        <x:f>IF(COUNTA(A273:F273)=0,"",COUNTIFS('External Data'!$L$2:$L$1001,SUBSTITUTE(SUBSTITUTE(SUBSTITUTE(L273,"~","~~"),"*","~*"),"?","~?")))</x:f>
      </x:c>
      <x:c r="H273" s="2" t="str">
        <x:f>IF(COUNTA(A273:F273)=0,"",COUNTIFS('App Data'!$L$2:$L$1001,SUBSTITUTE(SUBSTITUTE(SUBSTITUTE(L273,"~","~~"),"*","~*"),"?","~?")))</x:f>
      </x:c>
      <x:c r="I273" s="13" t="str">
        <x:f>IF(OR(H273&lt;&gt;1,G273&lt;&gt;1),"",SUMIFS('App Data'!$E$2:$E$1001,'App Data'!$L$2:$L$1001,SUBSTITUTE(SUBSTITUTE(SUBSTITUTE(L273,"~","~~"),"*","~*"),"?","~?")))</x:f>
      </x:c>
      <x:c r="J273" s="13" t="str">
        <x:f>IF(OR(NOT(ISNUMBER(E273)),NOT(ISNUMBER(I273))),"",ROUND(E273-I273,2))</x:f>
      </x:c>
      <x:c r="K273" s="2" t="str">
        <x:f>IF(COUNTA(A273:F273)=0,"",IF(OR(A273="",B273="",C273="",D273="",NOT(ISNUMBER(E273))),"Missing / invalid input",IF(G273&gt;1,"Duplicate key in this source",IF(H273=0,"Missing in other source",IF(H273&gt;1,"Duplicate in other source",IF(SUMIFS('App Data'!$M$2:$M$1001,'App Data'!$L$2:$L$1001,SUBSTITUTE(SUBSTITUTE(SUBSTITUTE(L273,"~","~~"),"*","~*"),"?","~?"))&lt;&gt;1,"Other amount is invalid",IF(J273&lt;&gt;0,"Amount differs","Matched")))))))</x:f>
      </x:c>
      <x:c r="L273" t="str">
        <x:f>IF(COUNTA(A273:F273)=0,"",LEN(A273)&amp;":"&amp;A273&amp;LEN(B273)&amp;":"&amp;B273&amp;LEN(C273)&amp;":"&amp;C273&amp;LEN(D273)&amp;":"&amp;D273)</x:f>
      </x:c>
      <x:c r="M273" t="str">
        <x:f>IF(COUNTA(A273:F273)=0,"",IF(ISNUMBER(E273),1,0))</x:f>
      </x:c>
    </x:row>
    <x:row r="274">
      <x:c r="A274" s="11"/>
      <x:c r="B274" s="11"/>
      <x:c r="C274" s="11"/>
      <x:c r="D274" s="11"/>
      <x:c r="E274" s="12"/>
      <x:c r="F274" s="10"/>
      <x:c r="G274" s="2" t="str">
        <x:f>IF(COUNTA(A274:F274)=0,"",COUNTIFS('External Data'!$L$2:$L$1001,SUBSTITUTE(SUBSTITUTE(SUBSTITUTE(L274,"~","~~"),"*","~*"),"?","~?")))</x:f>
      </x:c>
      <x:c r="H274" s="2" t="str">
        <x:f>IF(COUNTA(A274:F274)=0,"",COUNTIFS('App Data'!$L$2:$L$1001,SUBSTITUTE(SUBSTITUTE(SUBSTITUTE(L274,"~","~~"),"*","~*"),"?","~?")))</x:f>
      </x:c>
      <x:c r="I274" s="13" t="str">
        <x:f>IF(OR(H274&lt;&gt;1,G274&lt;&gt;1),"",SUMIFS('App Data'!$E$2:$E$1001,'App Data'!$L$2:$L$1001,SUBSTITUTE(SUBSTITUTE(SUBSTITUTE(L274,"~","~~"),"*","~*"),"?","~?")))</x:f>
      </x:c>
      <x:c r="J274" s="13" t="str">
        <x:f>IF(OR(NOT(ISNUMBER(E274)),NOT(ISNUMBER(I274))),"",ROUND(E274-I274,2))</x:f>
      </x:c>
      <x:c r="K274" s="2" t="str">
        <x:f>IF(COUNTA(A274:F274)=0,"",IF(OR(A274="",B274="",C274="",D274="",NOT(ISNUMBER(E274))),"Missing / invalid input",IF(G274&gt;1,"Duplicate key in this source",IF(H274=0,"Missing in other source",IF(H274&gt;1,"Duplicate in other source",IF(SUMIFS('App Data'!$M$2:$M$1001,'App Data'!$L$2:$L$1001,SUBSTITUTE(SUBSTITUTE(SUBSTITUTE(L274,"~","~~"),"*","~*"),"?","~?"))&lt;&gt;1,"Other amount is invalid",IF(J274&lt;&gt;0,"Amount differs","Matched")))))))</x:f>
      </x:c>
      <x:c r="L274" t="str">
        <x:f>IF(COUNTA(A274:F274)=0,"",LEN(A274)&amp;":"&amp;A274&amp;LEN(B274)&amp;":"&amp;B274&amp;LEN(C274)&amp;":"&amp;C274&amp;LEN(D274)&amp;":"&amp;D274)</x:f>
      </x:c>
      <x:c r="M274" t="str">
        <x:f>IF(COUNTA(A274:F274)=0,"",IF(ISNUMBER(E274),1,0))</x:f>
      </x:c>
    </x:row>
    <x:row r="275">
      <x:c r="A275" s="11"/>
      <x:c r="B275" s="11"/>
      <x:c r="C275" s="11"/>
      <x:c r="D275" s="11"/>
      <x:c r="E275" s="12"/>
      <x:c r="F275" s="10"/>
      <x:c r="G275" s="2" t="str">
        <x:f>IF(COUNTA(A275:F275)=0,"",COUNTIFS('External Data'!$L$2:$L$1001,SUBSTITUTE(SUBSTITUTE(SUBSTITUTE(L275,"~","~~"),"*","~*"),"?","~?")))</x:f>
      </x:c>
      <x:c r="H275" s="2" t="str">
        <x:f>IF(COUNTA(A275:F275)=0,"",COUNTIFS('App Data'!$L$2:$L$1001,SUBSTITUTE(SUBSTITUTE(SUBSTITUTE(L275,"~","~~"),"*","~*"),"?","~?")))</x:f>
      </x:c>
      <x:c r="I275" s="13" t="str">
        <x:f>IF(OR(H275&lt;&gt;1,G275&lt;&gt;1),"",SUMIFS('App Data'!$E$2:$E$1001,'App Data'!$L$2:$L$1001,SUBSTITUTE(SUBSTITUTE(SUBSTITUTE(L275,"~","~~"),"*","~*"),"?","~?")))</x:f>
      </x:c>
      <x:c r="J275" s="13" t="str">
        <x:f>IF(OR(NOT(ISNUMBER(E275)),NOT(ISNUMBER(I275))),"",ROUND(E275-I275,2))</x:f>
      </x:c>
      <x:c r="K275" s="2" t="str">
        <x:f>IF(COUNTA(A275:F275)=0,"",IF(OR(A275="",B275="",C275="",D275="",NOT(ISNUMBER(E275))),"Missing / invalid input",IF(G275&gt;1,"Duplicate key in this source",IF(H275=0,"Missing in other source",IF(H275&gt;1,"Duplicate in other source",IF(SUMIFS('App Data'!$M$2:$M$1001,'App Data'!$L$2:$L$1001,SUBSTITUTE(SUBSTITUTE(SUBSTITUTE(L275,"~","~~"),"*","~*"),"?","~?"))&lt;&gt;1,"Other amount is invalid",IF(J275&lt;&gt;0,"Amount differs","Matched")))))))</x:f>
      </x:c>
      <x:c r="L275" t="str">
        <x:f>IF(COUNTA(A275:F275)=0,"",LEN(A275)&amp;":"&amp;A275&amp;LEN(B275)&amp;":"&amp;B275&amp;LEN(C275)&amp;":"&amp;C275&amp;LEN(D275)&amp;":"&amp;D275)</x:f>
      </x:c>
      <x:c r="M275" t="str">
        <x:f>IF(COUNTA(A275:F275)=0,"",IF(ISNUMBER(E275),1,0))</x:f>
      </x:c>
    </x:row>
    <x:row r="276">
      <x:c r="A276" s="11"/>
      <x:c r="B276" s="11"/>
      <x:c r="C276" s="11"/>
      <x:c r="D276" s="11"/>
      <x:c r="E276" s="12"/>
      <x:c r="F276" s="10"/>
      <x:c r="G276" s="2" t="str">
        <x:f>IF(COUNTA(A276:F276)=0,"",COUNTIFS('External Data'!$L$2:$L$1001,SUBSTITUTE(SUBSTITUTE(SUBSTITUTE(L276,"~","~~"),"*","~*"),"?","~?")))</x:f>
      </x:c>
      <x:c r="H276" s="2" t="str">
        <x:f>IF(COUNTA(A276:F276)=0,"",COUNTIFS('App Data'!$L$2:$L$1001,SUBSTITUTE(SUBSTITUTE(SUBSTITUTE(L276,"~","~~"),"*","~*"),"?","~?")))</x:f>
      </x:c>
      <x:c r="I276" s="13" t="str">
        <x:f>IF(OR(H276&lt;&gt;1,G276&lt;&gt;1),"",SUMIFS('App Data'!$E$2:$E$1001,'App Data'!$L$2:$L$1001,SUBSTITUTE(SUBSTITUTE(SUBSTITUTE(L276,"~","~~"),"*","~*"),"?","~?")))</x:f>
      </x:c>
      <x:c r="J276" s="13" t="str">
        <x:f>IF(OR(NOT(ISNUMBER(E276)),NOT(ISNUMBER(I276))),"",ROUND(E276-I276,2))</x:f>
      </x:c>
      <x:c r="K276" s="2" t="str">
        <x:f>IF(COUNTA(A276:F276)=0,"",IF(OR(A276="",B276="",C276="",D276="",NOT(ISNUMBER(E276))),"Missing / invalid input",IF(G276&gt;1,"Duplicate key in this source",IF(H276=0,"Missing in other source",IF(H276&gt;1,"Duplicate in other source",IF(SUMIFS('App Data'!$M$2:$M$1001,'App Data'!$L$2:$L$1001,SUBSTITUTE(SUBSTITUTE(SUBSTITUTE(L276,"~","~~"),"*","~*"),"?","~?"))&lt;&gt;1,"Other amount is invalid",IF(J276&lt;&gt;0,"Amount differs","Matched")))))))</x:f>
      </x:c>
      <x:c r="L276" t="str">
        <x:f>IF(COUNTA(A276:F276)=0,"",LEN(A276)&amp;":"&amp;A276&amp;LEN(B276)&amp;":"&amp;B276&amp;LEN(C276)&amp;":"&amp;C276&amp;LEN(D276)&amp;":"&amp;D276)</x:f>
      </x:c>
      <x:c r="M276" t="str">
        <x:f>IF(COUNTA(A276:F276)=0,"",IF(ISNUMBER(E276),1,0))</x:f>
      </x:c>
    </x:row>
    <x:row r="277">
      <x:c r="A277" s="11"/>
      <x:c r="B277" s="11"/>
      <x:c r="C277" s="11"/>
      <x:c r="D277" s="11"/>
      <x:c r="E277" s="12"/>
      <x:c r="F277" s="10"/>
      <x:c r="G277" s="2" t="str">
        <x:f>IF(COUNTA(A277:F277)=0,"",COUNTIFS('External Data'!$L$2:$L$1001,SUBSTITUTE(SUBSTITUTE(SUBSTITUTE(L277,"~","~~"),"*","~*"),"?","~?")))</x:f>
      </x:c>
      <x:c r="H277" s="2" t="str">
        <x:f>IF(COUNTA(A277:F277)=0,"",COUNTIFS('App Data'!$L$2:$L$1001,SUBSTITUTE(SUBSTITUTE(SUBSTITUTE(L277,"~","~~"),"*","~*"),"?","~?")))</x:f>
      </x:c>
      <x:c r="I277" s="13" t="str">
        <x:f>IF(OR(H277&lt;&gt;1,G277&lt;&gt;1),"",SUMIFS('App Data'!$E$2:$E$1001,'App Data'!$L$2:$L$1001,SUBSTITUTE(SUBSTITUTE(SUBSTITUTE(L277,"~","~~"),"*","~*"),"?","~?")))</x:f>
      </x:c>
      <x:c r="J277" s="13" t="str">
        <x:f>IF(OR(NOT(ISNUMBER(E277)),NOT(ISNUMBER(I277))),"",ROUND(E277-I277,2))</x:f>
      </x:c>
      <x:c r="K277" s="2" t="str">
        <x:f>IF(COUNTA(A277:F277)=0,"",IF(OR(A277="",B277="",C277="",D277="",NOT(ISNUMBER(E277))),"Missing / invalid input",IF(G277&gt;1,"Duplicate key in this source",IF(H277=0,"Missing in other source",IF(H277&gt;1,"Duplicate in other source",IF(SUMIFS('App Data'!$M$2:$M$1001,'App Data'!$L$2:$L$1001,SUBSTITUTE(SUBSTITUTE(SUBSTITUTE(L277,"~","~~"),"*","~*"),"?","~?"))&lt;&gt;1,"Other amount is invalid",IF(J277&lt;&gt;0,"Amount differs","Matched")))))))</x:f>
      </x:c>
      <x:c r="L277" t="str">
        <x:f>IF(COUNTA(A277:F277)=0,"",LEN(A277)&amp;":"&amp;A277&amp;LEN(B277)&amp;":"&amp;B277&amp;LEN(C277)&amp;":"&amp;C277&amp;LEN(D277)&amp;":"&amp;D277)</x:f>
      </x:c>
      <x:c r="M277" t="str">
        <x:f>IF(COUNTA(A277:F277)=0,"",IF(ISNUMBER(E277),1,0))</x:f>
      </x:c>
    </x:row>
    <x:row r="278">
      <x:c r="A278" s="11"/>
      <x:c r="B278" s="11"/>
      <x:c r="C278" s="11"/>
      <x:c r="D278" s="11"/>
      <x:c r="E278" s="12"/>
      <x:c r="F278" s="10"/>
      <x:c r="G278" s="2" t="str">
        <x:f>IF(COUNTA(A278:F278)=0,"",COUNTIFS('External Data'!$L$2:$L$1001,SUBSTITUTE(SUBSTITUTE(SUBSTITUTE(L278,"~","~~"),"*","~*"),"?","~?")))</x:f>
      </x:c>
      <x:c r="H278" s="2" t="str">
        <x:f>IF(COUNTA(A278:F278)=0,"",COUNTIFS('App Data'!$L$2:$L$1001,SUBSTITUTE(SUBSTITUTE(SUBSTITUTE(L278,"~","~~"),"*","~*"),"?","~?")))</x:f>
      </x:c>
      <x:c r="I278" s="13" t="str">
        <x:f>IF(OR(H278&lt;&gt;1,G278&lt;&gt;1),"",SUMIFS('App Data'!$E$2:$E$1001,'App Data'!$L$2:$L$1001,SUBSTITUTE(SUBSTITUTE(SUBSTITUTE(L278,"~","~~"),"*","~*"),"?","~?")))</x:f>
      </x:c>
      <x:c r="J278" s="13" t="str">
        <x:f>IF(OR(NOT(ISNUMBER(E278)),NOT(ISNUMBER(I278))),"",ROUND(E278-I278,2))</x:f>
      </x:c>
      <x:c r="K278" s="2" t="str">
        <x:f>IF(COUNTA(A278:F278)=0,"",IF(OR(A278="",B278="",C278="",D278="",NOT(ISNUMBER(E278))),"Missing / invalid input",IF(G278&gt;1,"Duplicate key in this source",IF(H278=0,"Missing in other source",IF(H278&gt;1,"Duplicate in other source",IF(SUMIFS('App Data'!$M$2:$M$1001,'App Data'!$L$2:$L$1001,SUBSTITUTE(SUBSTITUTE(SUBSTITUTE(L278,"~","~~"),"*","~*"),"?","~?"))&lt;&gt;1,"Other amount is invalid",IF(J278&lt;&gt;0,"Amount differs","Matched")))))))</x:f>
      </x:c>
      <x:c r="L278" t="str">
        <x:f>IF(COUNTA(A278:F278)=0,"",LEN(A278)&amp;":"&amp;A278&amp;LEN(B278)&amp;":"&amp;B278&amp;LEN(C278)&amp;":"&amp;C278&amp;LEN(D278)&amp;":"&amp;D278)</x:f>
      </x:c>
      <x:c r="M278" t="str">
        <x:f>IF(COUNTA(A278:F278)=0,"",IF(ISNUMBER(E278),1,0))</x:f>
      </x:c>
    </x:row>
    <x:row r="279">
      <x:c r="A279" s="11"/>
      <x:c r="B279" s="11"/>
      <x:c r="C279" s="11"/>
      <x:c r="D279" s="11"/>
      <x:c r="E279" s="12"/>
      <x:c r="F279" s="10"/>
      <x:c r="G279" s="2" t="str">
        <x:f>IF(COUNTA(A279:F279)=0,"",COUNTIFS('External Data'!$L$2:$L$1001,SUBSTITUTE(SUBSTITUTE(SUBSTITUTE(L279,"~","~~"),"*","~*"),"?","~?")))</x:f>
      </x:c>
      <x:c r="H279" s="2" t="str">
        <x:f>IF(COUNTA(A279:F279)=0,"",COUNTIFS('App Data'!$L$2:$L$1001,SUBSTITUTE(SUBSTITUTE(SUBSTITUTE(L279,"~","~~"),"*","~*"),"?","~?")))</x:f>
      </x:c>
      <x:c r="I279" s="13" t="str">
        <x:f>IF(OR(H279&lt;&gt;1,G279&lt;&gt;1),"",SUMIFS('App Data'!$E$2:$E$1001,'App Data'!$L$2:$L$1001,SUBSTITUTE(SUBSTITUTE(SUBSTITUTE(L279,"~","~~"),"*","~*"),"?","~?")))</x:f>
      </x:c>
      <x:c r="J279" s="13" t="str">
        <x:f>IF(OR(NOT(ISNUMBER(E279)),NOT(ISNUMBER(I279))),"",ROUND(E279-I279,2))</x:f>
      </x:c>
      <x:c r="K279" s="2" t="str">
        <x:f>IF(COUNTA(A279:F279)=0,"",IF(OR(A279="",B279="",C279="",D279="",NOT(ISNUMBER(E279))),"Missing / invalid input",IF(G279&gt;1,"Duplicate key in this source",IF(H279=0,"Missing in other source",IF(H279&gt;1,"Duplicate in other source",IF(SUMIFS('App Data'!$M$2:$M$1001,'App Data'!$L$2:$L$1001,SUBSTITUTE(SUBSTITUTE(SUBSTITUTE(L279,"~","~~"),"*","~*"),"?","~?"))&lt;&gt;1,"Other amount is invalid",IF(J279&lt;&gt;0,"Amount differs","Matched")))))))</x:f>
      </x:c>
      <x:c r="L279" t="str">
        <x:f>IF(COUNTA(A279:F279)=0,"",LEN(A279)&amp;":"&amp;A279&amp;LEN(B279)&amp;":"&amp;B279&amp;LEN(C279)&amp;":"&amp;C279&amp;LEN(D279)&amp;":"&amp;D279)</x:f>
      </x:c>
      <x:c r="M279" t="str">
        <x:f>IF(COUNTA(A279:F279)=0,"",IF(ISNUMBER(E279),1,0))</x:f>
      </x:c>
    </x:row>
    <x:row r="280">
      <x:c r="A280" s="11"/>
      <x:c r="B280" s="11"/>
      <x:c r="C280" s="11"/>
      <x:c r="D280" s="11"/>
      <x:c r="E280" s="12"/>
      <x:c r="F280" s="10"/>
      <x:c r="G280" s="2" t="str">
        <x:f>IF(COUNTA(A280:F280)=0,"",COUNTIFS('External Data'!$L$2:$L$1001,SUBSTITUTE(SUBSTITUTE(SUBSTITUTE(L280,"~","~~"),"*","~*"),"?","~?")))</x:f>
      </x:c>
      <x:c r="H280" s="2" t="str">
        <x:f>IF(COUNTA(A280:F280)=0,"",COUNTIFS('App Data'!$L$2:$L$1001,SUBSTITUTE(SUBSTITUTE(SUBSTITUTE(L280,"~","~~"),"*","~*"),"?","~?")))</x:f>
      </x:c>
      <x:c r="I280" s="13" t="str">
        <x:f>IF(OR(H280&lt;&gt;1,G280&lt;&gt;1),"",SUMIFS('App Data'!$E$2:$E$1001,'App Data'!$L$2:$L$1001,SUBSTITUTE(SUBSTITUTE(SUBSTITUTE(L280,"~","~~"),"*","~*"),"?","~?")))</x:f>
      </x:c>
      <x:c r="J280" s="13" t="str">
        <x:f>IF(OR(NOT(ISNUMBER(E280)),NOT(ISNUMBER(I280))),"",ROUND(E280-I280,2))</x:f>
      </x:c>
      <x:c r="K280" s="2" t="str">
        <x:f>IF(COUNTA(A280:F280)=0,"",IF(OR(A280="",B280="",C280="",D280="",NOT(ISNUMBER(E280))),"Missing / invalid input",IF(G280&gt;1,"Duplicate key in this source",IF(H280=0,"Missing in other source",IF(H280&gt;1,"Duplicate in other source",IF(SUMIFS('App Data'!$M$2:$M$1001,'App Data'!$L$2:$L$1001,SUBSTITUTE(SUBSTITUTE(SUBSTITUTE(L280,"~","~~"),"*","~*"),"?","~?"))&lt;&gt;1,"Other amount is invalid",IF(J280&lt;&gt;0,"Amount differs","Matched")))))))</x:f>
      </x:c>
      <x:c r="L280" t="str">
        <x:f>IF(COUNTA(A280:F280)=0,"",LEN(A280)&amp;":"&amp;A280&amp;LEN(B280)&amp;":"&amp;B280&amp;LEN(C280)&amp;":"&amp;C280&amp;LEN(D280)&amp;":"&amp;D280)</x:f>
      </x:c>
      <x:c r="M280" t="str">
        <x:f>IF(COUNTA(A280:F280)=0,"",IF(ISNUMBER(E280),1,0))</x:f>
      </x:c>
    </x:row>
    <x:row r="281">
      <x:c r="A281" s="11"/>
      <x:c r="B281" s="11"/>
      <x:c r="C281" s="11"/>
      <x:c r="D281" s="11"/>
      <x:c r="E281" s="12"/>
      <x:c r="F281" s="10"/>
      <x:c r="G281" s="2" t="str">
        <x:f>IF(COUNTA(A281:F281)=0,"",COUNTIFS('External Data'!$L$2:$L$1001,SUBSTITUTE(SUBSTITUTE(SUBSTITUTE(L281,"~","~~"),"*","~*"),"?","~?")))</x:f>
      </x:c>
      <x:c r="H281" s="2" t="str">
        <x:f>IF(COUNTA(A281:F281)=0,"",COUNTIFS('App Data'!$L$2:$L$1001,SUBSTITUTE(SUBSTITUTE(SUBSTITUTE(L281,"~","~~"),"*","~*"),"?","~?")))</x:f>
      </x:c>
      <x:c r="I281" s="13" t="str">
        <x:f>IF(OR(H281&lt;&gt;1,G281&lt;&gt;1),"",SUMIFS('App Data'!$E$2:$E$1001,'App Data'!$L$2:$L$1001,SUBSTITUTE(SUBSTITUTE(SUBSTITUTE(L281,"~","~~"),"*","~*"),"?","~?")))</x:f>
      </x:c>
      <x:c r="J281" s="13" t="str">
        <x:f>IF(OR(NOT(ISNUMBER(E281)),NOT(ISNUMBER(I281))),"",ROUND(E281-I281,2))</x:f>
      </x:c>
      <x:c r="K281" s="2" t="str">
        <x:f>IF(COUNTA(A281:F281)=0,"",IF(OR(A281="",B281="",C281="",D281="",NOT(ISNUMBER(E281))),"Missing / invalid input",IF(G281&gt;1,"Duplicate key in this source",IF(H281=0,"Missing in other source",IF(H281&gt;1,"Duplicate in other source",IF(SUMIFS('App Data'!$M$2:$M$1001,'App Data'!$L$2:$L$1001,SUBSTITUTE(SUBSTITUTE(SUBSTITUTE(L281,"~","~~"),"*","~*"),"?","~?"))&lt;&gt;1,"Other amount is invalid",IF(J281&lt;&gt;0,"Amount differs","Matched")))))))</x:f>
      </x:c>
      <x:c r="L281" t="str">
        <x:f>IF(COUNTA(A281:F281)=0,"",LEN(A281)&amp;":"&amp;A281&amp;LEN(B281)&amp;":"&amp;B281&amp;LEN(C281)&amp;":"&amp;C281&amp;LEN(D281)&amp;":"&amp;D281)</x:f>
      </x:c>
      <x:c r="M281" t="str">
        <x:f>IF(COUNTA(A281:F281)=0,"",IF(ISNUMBER(E281),1,0))</x:f>
      </x:c>
    </x:row>
    <x:row r="282">
      <x:c r="A282" s="11"/>
      <x:c r="B282" s="11"/>
      <x:c r="C282" s="11"/>
      <x:c r="D282" s="11"/>
      <x:c r="E282" s="12"/>
      <x:c r="F282" s="10"/>
      <x:c r="G282" s="2" t="str">
        <x:f>IF(COUNTA(A282:F282)=0,"",COUNTIFS('External Data'!$L$2:$L$1001,SUBSTITUTE(SUBSTITUTE(SUBSTITUTE(L282,"~","~~"),"*","~*"),"?","~?")))</x:f>
      </x:c>
      <x:c r="H282" s="2" t="str">
        <x:f>IF(COUNTA(A282:F282)=0,"",COUNTIFS('App Data'!$L$2:$L$1001,SUBSTITUTE(SUBSTITUTE(SUBSTITUTE(L282,"~","~~"),"*","~*"),"?","~?")))</x:f>
      </x:c>
      <x:c r="I282" s="13" t="str">
        <x:f>IF(OR(H282&lt;&gt;1,G282&lt;&gt;1),"",SUMIFS('App Data'!$E$2:$E$1001,'App Data'!$L$2:$L$1001,SUBSTITUTE(SUBSTITUTE(SUBSTITUTE(L282,"~","~~"),"*","~*"),"?","~?")))</x:f>
      </x:c>
      <x:c r="J282" s="13" t="str">
        <x:f>IF(OR(NOT(ISNUMBER(E282)),NOT(ISNUMBER(I282))),"",ROUND(E282-I282,2))</x:f>
      </x:c>
      <x:c r="K282" s="2" t="str">
        <x:f>IF(COUNTA(A282:F282)=0,"",IF(OR(A282="",B282="",C282="",D282="",NOT(ISNUMBER(E282))),"Missing / invalid input",IF(G282&gt;1,"Duplicate key in this source",IF(H282=0,"Missing in other source",IF(H282&gt;1,"Duplicate in other source",IF(SUMIFS('App Data'!$M$2:$M$1001,'App Data'!$L$2:$L$1001,SUBSTITUTE(SUBSTITUTE(SUBSTITUTE(L282,"~","~~"),"*","~*"),"?","~?"))&lt;&gt;1,"Other amount is invalid",IF(J282&lt;&gt;0,"Amount differs","Matched")))))))</x:f>
      </x:c>
      <x:c r="L282" t="str">
        <x:f>IF(COUNTA(A282:F282)=0,"",LEN(A282)&amp;":"&amp;A282&amp;LEN(B282)&amp;":"&amp;B282&amp;LEN(C282)&amp;":"&amp;C282&amp;LEN(D282)&amp;":"&amp;D282)</x:f>
      </x:c>
      <x:c r="M282" t="str">
        <x:f>IF(COUNTA(A282:F282)=0,"",IF(ISNUMBER(E282),1,0))</x:f>
      </x:c>
    </x:row>
    <x:row r="283">
      <x:c r="A283" s="11"/>
      <x:c r="B283" s="11"/>
      <x:c r="C283" s="11"/>
      <x:c r="D283" s="11"/>
      <x:c r="E283" s="12"/>
      <x:c r="F283" s="10"/>
      <x:c r="G283" s="2" t="str">
        <x:f>IF(COUNTA(A283:F283)=0,"",COUNTIFS('External Data'!$L$2:$L$1001,SUBSTITUTE(SUBSTITUTE(SUBSTITUTE(L283,"~","~~"),"*","~*"),"?","~?")))</x:f>
      </x:c>
      <x:c r="H283" s="2" t="str">
        <x:f>IF(COUNTA(A283:F283)=0,"",COUNTIFS('App Data'!$L$2:$L$1001,SUBSTITUTE(SUBSTITUTE(SUBSTITUTE(L283,"~","~~"),"*","~*"),"?","~?")))</x:f>
      </x:c>
      <x:c r="I283" s="13" t="str">
        <x:f>IF(OR(H283&lt;&gt;1,G283&lt;&gt;1),"",SUMIFS('App Data'!$E$2:$E$1001,'App Data'!$L$2:$L$1001,SUBSTITUTE(SUBSTITUTE(SUBSTITUTE(L283,"~","~~"),"*","~*"),"?","~?")))</x:f>
      </x:c>
      <x:c r="J283" s="13" t="str">
        <x:f>IF(OR(NOT(ISNUMBER(E283)),NOT(ISNUMBER(I283))),"",ROUND(E283-I283,2))</x:f>
      </x:c>
      <x:c r="K283" s="2" t="str">
        <x:f>IF(COUNTA(A283:F283)=0,"",IF(OR(A283="",B283="",C283="",D283="",NOT(ISNUMBER(E283))),"Missing / invalid input",IF(G283&gt;1,"Duplicate key in this source",IF(H283=0,"Missing in other source",IF(H283&gt;1,"Duplicate in other source",IF(SUMIFS('App Data'!$M$2:$M$1001,'App Data'!$L$2:$L$1001,SUBSTITUTE(SUBSTITUTE(SUBSTITUTE(L283,"~","~~"),"*","~*"),"?","~?"))&lt;&gt;1,"Other amount is invalid",IF(J283&lt;&gt;0,"Amount differs","Matched")))))))</x:f>
      </x:c>
      <x:c r="L283" t="str">
        <x:f>IF(COUNTA(A283:F283)=0,"",LEN(A283)&amp;":"&amp;A283&amp;LEN(B283)&amp;":"&amp;B283&amp;LEN(C283)&amp;":"&amp;C283&amp;LEN(D283)&amp;":"&amp;D283)</x:f>
      </x:c>
      <x:c r="M283" t="str">
        <x:f>IF(COUNTA(A283:F283)=0,"",IF(ISNUMBER(E283),1,0))</x:f>
      </x:c>
    </x:row>
    <x:row r="284">
      <x:c r="A284" s="11"/>
      <x:c r="B284" s="11"/>
      <x:c r="C284" s="11"/>
      <x:c r="D284" s="11"/>
      <x:c r="E284" s="12"/>
      <x:c r="F284" s="10"/>
      <x:c r="G284" s="2" t="str">
        <x:f>IF(COUNTA(A284:F284)=0,"",COUNTIFS('External Data'!$L$2:$L$1001,SUBSTITUTE(SUBSTITUTE(SUBSTITUTE(L284,"~","~~"),"*","~*"),"?","~?")))</x:f>
      </x:c>
      <x:c r="H284" s="2" t="str">
        <x:f>IF(COUNTA(A284:F284)=0,"",COUNTIFS('App Data'!$L$2:$L$1001,SUBSTITUTE(SUBSTITUTE(SUBSTITUTE(L284,"~","~~"),"*","~*"),"?","~?")))</x:f>
      </x:c>
      <x:c r="I284" s="13" t="str">
        <x:f>IF(OR(H284&lt;&gt;1,G284&lt;&gt;1),"",SUMIFS('App Data'!$E$2:$E$1001,'App Data'!$L$2:$L$1001,SUBSTITUTE(SUBSTITUTE(SUBSTITUTE(L284,"~","~~"),"*","~*"),"?","~?")))</x:f>
      </x:c>
      <x:c r="J284" s="13" t="str">
        <x:f>IF(OR(NOT(ISNUMBER(E284)),NOT(ISNUMBER(I284))),"",ROUND(E284-I284,2))</x:f>
      </x:c>
      <x:c r="K284" s="2" t="str">
        <x:f>IF(COUNTA(A284:F284)=0,"",IF(OR(A284="",B284="",C284="",D284="",NOT(ISNUMBER(E284))),"Missing / invalid input",IF(G284&gt;1,"Duplicate key in this source",IF(H284=0,"Missing in other source",IF(H284&gt;1,"Duplicate in other source",IF(SUMIFS('App Data'!$M$2:$M$1001,'App Data'!$L$2:$L$1001,SUBSTITUTE(SUBSTITUTE(SUBSTITUTE(L284,"~","~~"),"*","~*"),"?","~?"))&lt;&gt;1,"Other amount is invalid",IF(J284&lt;&gt;0,"Amount differs","Matched")))))))</x:f>
      </x:c>
      <x:c r="L284" t="str">
        <x:f>IF(COUNTA(A284:F284)=0,"",LEN(A284)&amp;":"&amp;A284&amp;LEN(B284)&amp;":"&amp;B284&amp;LEN(C284)&amp;":"&amp;C284&amp;LEN(D284)&amp;":"&amp;D284)</x:f>
      </x:c>
      <x:c r="M284" t="str">
        <x:f>IF(COUNTA(A284:F284)=0,"",IF(ISNUMBER(E284),1,0))</x:f>
      </x:c>
    </x:row>
    <x:row r="285">
      <x:c r="A285" s="11"/>
      <x:c r="B285" s="11"/>
      <x:c r="C285" s="11"/>
      <x:c r="D285" s="11"/>
      <x:c r="E285" s="12"/>
      <x:c r="F285" s="10"/>
      <x:c r="G285" s="2" t="str">
        <x:f>IF(COUNTA(A285:F285)=0,"",COUNTIFS('External Data'!$L$2:$L$1001,SUBSTITUTE(SUBSTITUTE(SUBSTITUTE(L285,"~","~~"),"*","~*"),"?","~?")))</x:f>
      </x:c>
      <x:c r="H285" s="2" t="str">
        <x:f>IF(COUNTA(A285:F285)=0,"",COUNTIFS('App Data'!$L$2:$L$1001,SUBSTITUTE(SUBSTITUTE(SUBSTITUTE(L285,"~","~~"),"*","~*"),"?","~?")))</x:f>
      </x:c>
      <x:c r="I285" s="13" t="str">
        <x:f>IF(OR(H285&lt;&gt;1,G285&lt;&gt;1),"",SUMIFS('App Data'!$E$2:$E$1001,'App Data'!$L$2:$L$1001,SUBSTITUTE(SUBSTITUTE(SUBSTITUTE(L285,"~","~~"),"*","~*"),"?","~?")))</x:f>
      </x:c>
      <x:c r="J285" s="13" t="str">
        <x:f>IF(OR(NOT(ISNUMBER(E285)),NOT(ISNUMBER(I285))),"",ROUND(E285-I285,2))</x:f>
      </x:c>
      <x:c r="K285" s="2" t="str">
        <x:f>IF(COUNTA(A285:F285)=0,"",IF(OR(A285="",B285="",C285="",D285="",NOT(ISNUMBER(E285))),"Missing / invalid input",IF(G285&gt;1,"Duplicate key in this source",IF(H285=0,"Missing in other source",IF(H285&gt;1,"Duplicate in other source",IF(SUMIFS('App Data'!$M$2:$M$1001,'App Data'!$L$2:$L$1001,SUBSTITUTE(SUBSTITUTE(SUBSTITUTE(L285,"~","~~"),"*","~*"),"?","~?"))&lt;&gt;1,"Other amount is invalid",IF(J285&lt;&gt;0,"Amount differs","Matched")))))))</x:f>
      </x:c>
      <x:c r="L285" t="str">
        <x:f>IF(COUNTA(A285:F285)=0,"",LEN(A285)&amp;":"&amp;A285&amp;LEN(B285)&amp;":"&amp;B285&amp;LEN(C285)&amp;":"&amp;C285&amp;LEN(D285)&amp;":"&amp;D285)</x:f>
      </x:c>
      <x:c r="M285" t="str">
        <x:f>IF(COUNTA(A285:F285)=0,"",IF(ISNUMBER(E285),1,0))</x:f>
      </x:c>
    </x:row>
    <x:row r="286">
      <x:c r="A286" s="11"/>
      <x:c r="B286" s="11"/>
      <x:c r="C286" s="11"/>
      <x:c r="D286" s="11"/>
      <x:c r="E286" s="12"/>
      <x:c r="F286" s="10"/>
      <x:c r="G286" s="2" t="str">
        <x:f>IF(COUNTA(A286:F286)=0,"",COUNTIFS('External Data'!$L$2:$L$1001,SUBSTITUTE(SUBSTITUTE(SUBSTITUTE(L286,"~","~~"),"*","~*"),"?","~?")))</x:f>
      </x:c>
      <x:c r="H286" s="2" t="str">
        <x:f>IF(COUNTA(A286:F286)=0,"",COUNTIFS('App Data'!$L$2:$L$1001,SUBSTITUTE(SUBSTITUTE(SUBSTITUTE(L286,"~","~~"),"*","~*"),"?","~?")))</x:f>
      </x:c>
      <x:c r="I286" s="13" t="str">
        <x:f>IF(OR(H286&lt;&gt;1,G286&lt;&gt;1),"",SUMIFS('App Data'!$E$2:$E$1001,'App Data'!$L$2:$L$1001,SUBSTITUTE(SUBSTITUTE(SUBSTITUTE(L286,"~","~~"),"*","~*"),"?","~?")))</x:f>
      </x:c>
      <x:c r="J286" s="13" t="str">
        <x:f>IF(OR(NOT(ISNUMBER(E286)),NOT(ISNUMBER(I286))),"",ROUND(E286-I286,2))</x:f>
      </x:c>
      <x:c r="K286" s="2" t="str">
        <x:f>IF(COUNTA(A286:F286)=0,"",IF(OR(A286="",B286="",C286="",D286="",NOT(ISNUMBER(E286))),"Missing / invalid input",IF(G286&gt;1,"Duplicate key in this source",IF(H286=0,"Missing in other source",IF(H286&gt;1,"Duplicate in other source",IF(SUMIFS('App Data'!$M$2:$M$1001,'App Data'!$L$2:$L$1001,SUBSTITUTE(SUBSTITUTE(SUBSTITUTE(L286,"~","~~"),"*","~*"),"?","~?"))&lt;&gt;1,"Other amount is invalid",IF(J286&lt;&gt;0,"Amount differs","Matched")))))))</x:f>
      </x:c>
      <x:c r="L286" t="str">
        <x:f>IF(COUNTA(A286:F286)=0,"",LEN(A286)&amp;":"&amp;A286&amp;LEN(B286)&amp;":"&amp;B286&amp;LEN(C286)&amp;":"&amp;C286&amp;LEN(D286)&amp;":"&amp;D286)</x:f>
      </x:c>
      <x:c r="M286" t="str">
        <x:f>IF(COUNTA(A286:F286)=0,"",IF(ISNUMBER(E286),1,0))</x:f>
      </x:c>
    </x:row>
    <x:row r="287">
      <x:c r="A287" s="11"/>
      <x:c r="B287" s="11"/>
      <x:c r="C287" s="11"/>
      <x:c r="D287" s="11"/>
      <x:c r="E287" s="12"/>
      <x:c r="F287" s="10"/>
      <x:c r="G287" s="2" t="str">
        <x:f>IF(COUNTA(A287:F287)=0,"",COUNTIFS('External Data'!$L$2:$L$1001,SUBSTITUTE(SUBSTITUTE(SUBSTITUTE(L287,"~","~~"),"*","~*"),"?","~?")))</x:f>
      </x:c>
      <x:c r="H287" s="2" t="str">
        <x:f>IF(COUNTA(A287:F287)=0,"",COUNTIFS('App Data'!$L$2:$L$1001,SUBSTITUTE(SUBSTITUTE(SUBSTITUTE(L287,"~","~~"),"*","~*"),"?","~?")))</x:f>
      </x:c>
      <x:c r="I287" s="13" t="str">
        <x:f>IF(OR(H287&lt;&gt;1,G287&lt;&gt;1),"",SUMIFS('App Data'!$E$2:$E$1001,'App Data'!$L$2:$L$1001,SUBSTITUTE(SUBSTITUTE(SUBSTITUTE(L287,"~","~~"),"*","~*"),"?","~?")))</x:f>
      </x:c>
      <x:c r="J287" s="13" t="str">
        <x:f>IF(OR(NOT(ISNUMBER(E287)),NOT(ISNUMBER(I287))),"",ROUND(E287-I287,2))</x:f>
      </x:c>
      <x:c r="K287" s="2" t="str">
        <x:f>IF(COUNTA(A287:F287)=0,"",IF(OR(A287="",B287="",C287="",D287="",NOT(ISNUMBER(E287))),"Missing / invalid input",IF(G287&gt;1,"Duplicate key in this source",IF(H287=0,"Missing in other source",IF(H287&gt;1,"Duplicate in other source",IF(SUMIFS('App Data'!$M$2:$M$1001,'App Data'!$L$2:$L$1001,SUBSTITUTE(SUBSTITUTE(SUBSTITUTE(L287,"~","~~"),"*","~*"),"?","~?"))&lt;&gt;1,"Other amount is invalid",IF(J287&lt;&gt;0,"Amount differs","Matched")))))))</x:f>
      </x:c>
      <x:c r="L287" t="str">
        <x:f>IF(COUNTA(A287:F287)=0,"",LEN(A287)&amp;":"&amp;A287&amp;LEN(B287)&amp;":"&amp;B287&amp;LEN(C287)&amp;":"&amp;C287&amp;LEN(D287)&amp;":"&amp;D287)</x:f>
      </x:c>
      <x:c r="M287" t="str">
        <x:f>IF(COUNTA(A287:F287)=0,"",IF(ISNUMBER(E287),1,0))</x:f>
      </x:c>
    </x:row>
    <x:row r="288">
      <x:c r="A288" s="11"/>
      <x:c r="B288" s="11"/>
      <x:c r="C288" s="11"/>
      <x:c r="D288" s="11"/>
      <x:c r="E288" s="12"/>
      <x:c r="F288" s="10"/>
      <x:c r="G288" s="2" t="str">
        <x:f>IF(COUNTA(A288:F288)=0,"",COUNTIFS('External Data'!$L$2:$L$1001,SUBSTITUTE(SUBSTITUTE(SUBSTITUTE(L288,"~","~~"),"*","~*"),"?","~?")))</x:f>
      </x:c>
      <x:c r="H288" s="2" t="str">
        <x:f>IF(COUNTA(A288:F288)=0,"",COUNTIFS('App Data'!$L$2:$L$1001,SUBSTITUTE(SUBSTITUTE(SUBSTITUTE(L288,"~","~~"),"*","~*"),"?","~?")))</x:f>
      </x:c>
      <x:c r="I288" s="13" t="str">
        <x:f>IF(OR(H288&lt;&gt;1,G288&lt;&gt;1),"",SUMIFS('App Data'!$E$2:$E$1001,'App Data'!$L$2:$L$1001,SUBSTITUTE(SUBSTITUTE(SUBSTITUTE(L288,"~","~~"),"*","~*"),"?","~?")))</x:f>
      </x:c>
      <x:c r="J288" s="13" t="str">
        <x:f>IF(OR(NOT(ISNUMBER(E288)),NOT(ISNUMBER(I288))),"",ROUND(E288-I288,2))</x:f>
      </x:c>
      <x:c r="K288" s="2" t="str">
        <x:f>IF(COUNTA(A288:F288)=0,"",IF(OR(A288="",B288="",C288="",D288="",NOT(ISNUMBER(E288))),"Missing / invalid input",IF(G288&gt;1,"Duplicate key in this source",IF(H288=0,"Missing in other source",IF(H288&gt;1,"Duplicate in other source",IF(SUMIFS('App Data'!$M$2:$M$1001,'App Data'!$L$2:$L$1001,SUBSTITUTE(SUBSTITUTE(SUBSTITUTE(L288,"~","~~"),"*","~*"),"?","~?"))&lt;&gt;1,"Other amount is invalid",IF(J288&lt;&gt;0,"Amount differs","Matched")))))))</x:f>
      </x:c>
      <x:c r="L288" t="str">
        <x:f>IF(COUNTA(A288:F288)=0,"",LEN(A288)&amp;":"&amp;A288&amp;LEN(B288)&amp;":"&amp;B288&amp;LEN(C288)&amp;":"&amp;C288&amp;LEN(D288)&amp;":"&amp;D288)</x:f>
      </x:c>
      <x:c r="M288" t="str">
        <x:f>IF(COUNTA(A288:F288)=0,"",IF(ISNUMBER(E288),1,0))</x:f>
      </x:c>
    </x:row>
    <x:row r="289">
      <x:c r="A289" s="11"/>
      <x:c r="B289" s="11"/>
      <x:c r="C289" s="11"/>
      <x:c r="D289" s="11"/>
      <x:c r="E289" s="12"/>
      <x:c r="F289" s="10"/>
      <x:c r="G289" s="2" t="str">
        <x:f>IF(COUNTA(A289:F289)=0,"",COUNTIFS('External Data'!$L$2:$L$1001,SUBSTITUTE(SUBSTITUTE(SUBSTITUTE(L289,"~","~~"),"*","~*"),"?","~?")))</x:f>
      </x:c>
      <x:c r="H289" s="2" t="str">
        <x:f>IF(COUNTA(A289:F289)=0,"",COUNTIFS('App Data'!$L$2:$L$1001,SUBSTITUTE(SUBSTITUTE(SUBSTITUTE(L289,"~","~~"),"*","~*"),"?","~?")))</x:f>
      </x:c>
      <x:c r="I289" s="13" t="str">
        <x:f>IF(OR(H289&lt;&gt;1,G289&lt;&gt;1),"",SUMIFS('App Data'!$E$2:$E$1001,'App Data'!$L$2:$L$1001,SUBSTITUTE(SUBSTITUTE(SUBSTITUTE(L289,"~","~~"),"*","~*"),"?","~?")))</x:f>
      </x:c>
      <x:c r="J289" s="13" t="str">
        <x:f>IF(OR(NOT(ISNUMBER(E289)),NOT(ISNUMBER(I289))),"",ROUND(E289-I289,2))</x:f>
      </x:c>
      <x:c r="K289" s="2" t="str">
        <x:f>IF(COUNTA(A289:F289)=0,"",IF(OR(A289="",B289="",C289="",D289="",NOT(ISNUMBER(E289))),"Missing / invalid input",IF(G289&gt;1,"Duplicate key in this source",IF(H289=0,"Missing in other source",IF(H289&gt;1,"Duplicate in other source",IF(SUMIFS('App Data'!$M$2:$M$1001,'App Data'!$L$2:$L$1001,SUBSTITUTE(SUBSTITUTE(SUBSTITUTE(L289,"~","~~"),"*","~*"),"?","~?"))&lt;&gt;1,"Other amount is invalid",IF(J289&lt;&gt;0,"Amount differs","Matched")))))))</x:f>
      </x:c>
      <x:c r="L289" t="str">
        <x:f>IF(COUNTA(A289:F289)=0,"",LEN(A289)&amp;":"&amp;A289&amp;LEN(B289)&amp;":"&amp;B289&amp;LEN(C289)&amp;":"&amp;C289&amp;LEN(D289)&amp;":"&amp;D289)</x:f>
      </x:c>
      <x:c r="M289" t="str">
        <x:f>IF(COUNTA(A289:F289)=0,"",IF(ISNUMBER(E289),1,0))</x:f>
      </x:c>
    </x:row>
    <x:row r="290">
      <x:c r="A290" s="11"/>
      <x:c r="B290" s="11"/>
      <x:c r="C290" s="11"/>
      <x:c r="D290" s="11"/>
      <x:c r="E290" s="12"/>
      <x:c r="F290" s="10"/>
      <x:c r="G290" s="2" t="str">
        <x:f>IF(COUNTA(A290:F290)=0,"",COUNTIFS('External Data'!$L$2:$L$1001,SUBSTITUTE(SUBSTITUTE(SUBSTITUTE(L290,"~","~~"),"*","~*"),"?","~?")))</x:f>
      </x:c>
      <x:c r="H290" s="2" t="str">
        <x:f>IF(COUNTA(A290:F290)=0,"",COUNTIFS('App Data'!$L$2:$L$1001,SUBSTITUTE(SUBSTITUTE(SUBSTITUTE(L290,"~","~~"),"*","~*"),"?","~?")))</x:f>
      </x:c>
      <x:c r="I290" s="13" t="str">
        <x:f>IF(OR(H290&lt;&gt;1,G290&lt;&gt;1),"",SUMIFS('App Data'!$E$2:$E$1001,'App Data'!$L$2:$L$1001,SUBSTITUTE(SUBSTITUTE(SUBSTITUTE(L290,"~","~~"),"*","~*"),"?","~?")))</x:f>
      </x:c>
      <x:c r="J290" s="13" t="str">
        <x:f>IF(OR(NOT(ISNUMBER(E290)),NOT(ISNUMBER(I290))),"",ROUND(E290-I290,2))</x:f>
      </x:c>
      <x:c r="K290" s="2" t="str">
        <x:f>IF(COUNTA(A290:F290)=0,"",IF(OR(A290="",B290="",C290="",D290="",NOT(ISNUMBER(E290))),"Missing / invalid input",IF(G290&gt;1,"Duplicate key in this source",IF(H290=0,"Missing in other source",IF(H290&gt;1,"Duplicate in other source",IF(SUMIFS('App Data'!$M$2:$M$1001,'App Data'!$L$2:$L$1001,SUBSTITUTE(SUBSTITUTE(SUBSTITUTE(L290,"~","~~"),"*","~*"),"?","~?"))&lt;&gt;1,"Other amount is invalid",IF(J290&lt;&gt;0,"Amount differs","Matched")))))))</x:f>
      </x:c>
      <x:c r="L290" t="str">
        <x:f>IF(COUNTA(A290:F290)=0,"",LEN(A290)&amp;":"&amp;A290&amp;LEN(B290)&amp;":"&amp;B290&amp;LEN(C290)&amp;":"&amp;C290&amp;LEN(D290)&amp;":"&amp;D290)</x:f>
      </x:c>
      <x:c r="M290" t="str">
        <x:f>IF(COUNTA(A290:F290)=0,"",IF(ISNUMBER(E290),1,0))</x:f>
      </x:c>
    </x:row>
    <x:row r="291">
      <x:c r="A291" s="11"/>
      <x:c r="B291" s="11"/>
      <x:c r="C291" s="11"/>
      <x:c r="D291" s="11"/>
      <x:c r="E291" s="12"/>
      <x:c r="F291" s="10"/>
      <x:c r="G291" s="2" t="str">
        <x:f>IF(COUNTA(A291:F291)=0,"",COUNTIFS('External Data'!$L$2:$L$1001,SUBSTITUTE(SUBSTITUTE(SUBSTITUTE(L291,"~","~~"),"*","~*"),"?","~?")))</x:f>
      </x:c>
      <x:c r="H291" s="2" t="str">
        <x:f>IF(COUNTA(A291:F291)=0,"",COUNTIFS('App Data'!$L$2:$L$1001,SUBSTITUTE(SUBSTITUTE(SUBSTITUTE(L291,"~","~~"),"*","~*"),"?","~?")))</x:f>
      </x:c>
      <x:c r="I291" s="13" t="str">
        <x:f>IF(OR(H291&lt;&gt;1,G291&lt;&gt;1),"",SUMIFS('App Data'!$E$2:$E$1001,'App Data'!$L$2:$L$1001,SUBSTITUTE(SUBSTITUTE(SUBSTITUTE(L291,"~","~~"),"*","~*"),"?","~?")))</x:f>
      </x:c>
      <x:c r="J291" s="13" t="str">
        <x:f>IF(OR(NOT(ISNUMBER(E291)),NOT(ISNUMBER(I291))),"",ROUND(E291-I291,2))</x:f>
      </x:c>
      <x:c r="K291" s="2" t="str">
        <x:f>IF(COUNTA(A291:F291)=0,"",IF(OR(A291="",B291="",C291="",D291="",NOT(ISNUMBER(E291))),"Missing / invalid input",IF(G291&gt;1,"Duplicate key in this source",IF(H291=0,"Missing in other source",IF(H291&gt;1,"Duplicate in other source",IF(SUMIFS('App Data'!$M$2:$M$1001,'App Data'!$L$2:$L$1001,SUBSTITUTE(SUBSTITUTE(SUBSTITUTE(L291,"~","~~"),"*","~*"),"?","~?"))&lt;&gt;1,"Other amount is invalid",IF(J291&lt;&gt;0,"Amount differs","Matched")))))))</x:f>
      </x:c>
      <x:c r="L291" t="str">
        <x:f>IF(COUNTA(A291:F291)=0,"",LEN(A291)&amp;":"&amp;A291&amp;LEN(B291)&amp;":"&amp;B291&amp;LEN(C291)&amp;":"&amp;C291&amp;LEN(D291)&amp;":"&amp;D291)</x:f>
      </x:c>
      <x:c r="M291" t="str">
        <x:f>IF(COUNTA(A291:F291)=0,"",IF(ISNUMBER(E291),1,0))</x:f>
      </x:c>
    </x:row>
    <x:row r="292">
      <x:c r="A292" s="11"/>
      <x:c r="B292" s="11"/>
      <x:c r="C292" s="11"/>
      <x:c r="D292" s="11"/>
      <x:c r="E292" s="12"/>
      <x:c r="F292" s="10"/>
      <x:c r="G292" s="2" t="str">
        <x:f>IF(COUNTA(A292:F292)=0,"",COUNTIFS('External Data'!$L$2:$L$1001,SUBSTITUTE(SUBSTITUTE(SUBSTITUTE(L292,"~","~~"),"*","~*"),"?","~?")))</x:f>
      </x:c>
      <x:c r="H292" s="2" t="str">
        <x:f>IF(COUNTA(A292:F292)=0,"",COUNTIFS('App Data'!$L$2:$L$1001,SUBSTITUTE(SUBSTITUTE(SUBSTITUTE(L292,"~","~~"),"*","~*"),"?","~?")))</x:f>
      </x:c>
      <x:c r="I292" s="13" t="str">
        <x:f>IF(OR(H292&lt;&gt;1,G292&lt;&gt;1),"",SUMIFS('App Data'!$E$2:$E$1001,'App Data'!$L$2:$L$1001,SUBSTITUTE(SUBSTITUTE(SUBSTITUTE(L292,"~","~~"),"*","~*"),"?","~?")))</x:f>
      </x:c>
      <x:c r="J292" s="13" t="str">
        <x:f>IF(OR(NOT(ISNUMBER(E292)),NOT(ISNUMBER(I292))),"",ROUND(E292-I292,2))</x:f>
      </x:c>
      <x:c r="K292" s="2" t="str">
        <x:f>IF(COUNTA(A292:F292)=0,"",IF(OR(A292="",B292="",C292="",D292="",NOT(ISNUMBER(E292))),"Missing / invalid input",IF(G292&gt;1,"Duplicate key in this source",IF(H292=0,"Missing in other source",IF(H292&gt;1,"Duplicate in other source",IF(SUMIFS('App Data'!$M$2:$M$1001,'App Data'!$L$2:$L$1001,SUBSTITUTE(SUBSTITUTE(SUBSTITUTE(L292,"~","~~"),"*","~*"),"?","~?"))&lt;&gt;1,"Other amount is invalid",IF(J292&lt;&gt;0,"Amount differs","Matched")))))))</x:f>
      </x:c>
      <x:c r="L292" t="str">
        <x:f>IF(COUNTA(A292:F292)=0,"",LEN(A292)&amp;":"&amp;A292&amp;LEN(B292)&amp;":"&amp;B292&amp;LEN(C292)&amp;":"&amp;C292&amp;LEN(D292)&amp;":"&amp;D292)</x:f>
      </x:c>
      <x:c r="M292" t="str">
        <x:f>IF(COUNTA(A292:F292)=0,"",IF(ISNUMBER(E292),1,0))</x:f>
      </x:c>
    </x:row>
    <x:row r="293">
      <x:c r="A293" s="11"/>
      <x:c r="B293" s="11"/>
      <x:c r="C293" s="11"/>
      <x:c r="D293" s="11"/>
      <x:c r="E293" s="12"/>
      <x:c r="F293" s="10"/>
      <x:c r="G293" s="2" t="str">
        <x:f>IF(COUNTA(A293:F293)=0,"",COUNTIFS('External Data'!$L$2:$L$1001,SUBSTITUTE(SUBSTITUTE(SUBSTITUTE(L293,"~","~~"),"*","~*"),"?","~?")))</x:f>
      </x:c>
      <x:c r="H293" s="2" t="str">
        <x:f>IF(COUNTA(A293:F293)=0,"",COUNTIFS('App Data'!$L$2:$L$1001,SUBSTITUTE(SUBSTITUTE(SUBSTITUTE(L293,"~","~~"),"*","~*"),"?","~?")))</x:f>
      </x:c>
      <x:c r="I293" s="13" t="str">
        <x:f>IF(OR(H293&lt;&gt;1,G293&lt;&gt;1),"",SUMIFS('App Data'!$E$2:$E$1001,'App Data'!$L$2:$L$1001,SUBSTITUTE(SUBSTITUTE(SUBSTITUTE(L293,"~","~~"),"*","~*"),"?","~?")))</x:f>
      </x:c>
      <x:c r="J293" s="13" t="str">
        <x:f>IF(OR(NOT(ISNUMBER(E293)),NOT(ISNUMBER(I293))),"",ROUND(E293-I293,2))</x:f>
      </x:c>
      <x:c r="K293" s="2" t="str">
        <x:f>IF(COUNTA(A293:F293)=0,"",IF(OR(A293="",B293="",C293="",D293="",NOT(ISNUMBER(E293))),"Missing / invalid input",IF(G293&gt;1,"Duplicate key in this source",IF(H293=0,"Missing in other source",IF(H293&gt;1,"Duplicate in other source",IF(SUMIFS('App Data'!$M$2:$M$1001,'App Data'!$L$2:$L$1001,SUBSTITUTE(SUBSTITUTE(SUBSTITUTE(L293,"~","~~"),"*","~*"),"?","~?"))&lt;&gt;1,"Other amount is invalid",IF(J293&lt;&gt;0,"Amount differs","Matched")))))))</x:f>
      </x:c>
      <x:c r="L293" t="str">
        <x:f>IF(COUNTA(A293:F293)=0,"",LEN(A293)&amp;":"&amp;A293&amp;LEN(B293)&amp;":"&amp;B293&amp;LEN(C293)&amp;":"&amp;C293&amp;LEN(D293)&amp;":"&amp;D293)</x:f>
      </x:c>
      <x:c r="M293" t="str">
        <x:f>IF(COUNTA(A293:F293)=0,"",IF(ISNUMBER(E293),1,0))</x:f>
      </x:c>
    </x:row>
    <x:row r="294">
      <x:c r="A294" s="11"/>
      <x:c r="B294" s="11"/>
      <x:c r="C294" s="11"/>
      <x:c r="D294" s="11"/>
      <x:c r="E294" s="12"/>
      <x:c r="F294" s="10"/>
      <x:c r="G294" s="2" t="str">
        <x:f>IF(COUNTA(A294:F294)=0,"",COUNTIFS('External Data'!$L$2:$L$1001,SUBSTITUTE(SUBSTITUTE(SUBSTITUTE(L294,"~","~~"),"*","~*"),"?","~?")))</x:f>
      </x:c>
      <x:c r="H294" s="2" t="str">
        <x:f>IF(COUNTA(A294:F294)=0,"",COUNTIFS('App Data'!$L$2:$L$1001,SUBSTITUTE(SUBSTITUTE(SUBSTITUTE(L294,"~","~~"),"*","~*"),"?","~?")))</x:f>
      </x:c>
      <x:c r="I294" s="13" t="str">
        <x:f>IF(OR(H294&lt;&gt;1,G294&lt;&gt;1),"",SUMIFS('App Data'!$E$2:$E$1001,'App Data'!$L$2:$L$1001,SUBSTITUTE(SUBSTITUTE(SUBSTITUTE(L294,"~","~~"),"*","~*"),"?","~?")))</x:f>
      </x:c>
      <x:c r="J294" s="13" t="str">
        <x:f>IF(OR(NOT(ISNUMBER(E294)),NOT(ISNUMBER(I294))),"",ROUND(E294-I294,2))</x:f>
      </x:c>
      <x:c r="K294" s="2" t="str">
        <x:f>IF(COUNTA(A294:F294)=0,"",IF(OR(A294="",B294="",C294="",D294="",NOT(ISNUMBER(E294))),"Missing / invalid input",IF(G294&gt;1,"Duplicate key in this source",IF(H294=0,"Missing in other source",IF(H294&gt;1,"Duplicate in other source",IF(SUMIFS('App Data'!$M$2:$M$1001,'App Data'!$L$2:$L$1001,SUBSTITUTE(SUBSTITUTE(SUBSTITUTE(L294,"~","~~"),"*","~*"),"?","~?"))&lt;&gt;1,"Other amount is invalid",IF(J294&lt;&gt;0,"Amount differs","Matched")))))))</x:f>
      </x:c>
      <x:c r="L294" t="str">
        <x:f>IF(COUNTA(A294:F294)=0,"",LEN(A294)&amp;":"&amp;A294&amp;LEN(B294)&amp;":"&amp;B294&amp;LEN(C294)&amp;":"&amp;C294&amp;LEN(D294)&amp;":"&amp;D294)</x:f>
      </x:c>
      <x:c r="M294" t="str">
        <x:f>IF(COUNTA(A294:F294)=0,"",IF(ISNUMBER(E294),1,0))</x:f>
      </x:c>
    </x:row>
    <x:row r="295">
      <x:c r="A295" s="11"/>
      <x:c r="B295" s="11"/>
      <x:c r="C295" s="11"/>
      <x:c r="D295" s="11"/>
      <x:c r="E295" s="12"/>
      <x:c r="F295" s="10"/>
      <x:c r="G295" s="2" t="str">
        <x:f>IF(COUNTA(A295:F295)=0,"",COUNTIFS('External Data'!$L$2:$L$1001,SUBSTITUTE(SUBSTITUTE(SUBSTITUTE(L295,"~","~~"),"*","~*"),"?","~?")))</x:f>
      </x:c>
      <x:c r="H295" s="2" t="str">
        <x:f>IF(COUNTA(A295:F295)=0,"",COUNTIFS('App Data'!$L$2:$L$1001,SUBSTITUTE(SUBSTITUTE(SUBSTITUTE(L295,"~","~~"),"*","~*"),"?","~?")))</x:f>
      </x:c>
      <x:c r="I295" s="13" t="str">
        <x:f>IF(OR(H295&lt;&gt;1,G295&lt;&gt;1),"",SUMIFS('App Data'!$E$2:$E$1001,'App Data'!$L$2:$L$1001,SUBSTITUTE(SUBSTITUTE(SUBSTITUTE(L295,"~","~~"),"*","~*"),"?","~?")))</x:f>
      </x:c>
      <x:c r="J295" s="13" t="str">
        <x:f>IF(OR(NOT(ISNUMBER(E295)),NOT(ISNUMBER(I295))),"",ROUND(E295-I295,2))</x:f>
      </x:c>
      <x:c r="K295" s="2" t="str">
        <x:f>IF(COUNTA(A295:F295)=0,"",IF(OR(A295="",B295="",C295="",D295="",NOT(ISNUMBER(E295))),"Missing / invalid input",IF(G295&gt;1,"Duplicate key in this source",IF(H295=0,"Missing in other source",IF(H295&gt;1,"Duplicate in other source",IF(SUMIFS('App Data'!$M$2:$M$1001,'App Data'!$L$2:$L$1001,SUBSTITUTE(SUBSTITUTE(SUBSTITUTE(L295,"~","~~"),"*","~*"),"?","~?"))&lt;&gt;1,"Other amount is invalid",IF(J295&lt;&gt;0,"Amount differs","Matched")))))))</x:f>
      </x:c>
      <x:c r="L295" t="str">
        <x:f>IF(COUNTA(A295:F295)=0,"",LEN(A295)&amp;":"&amp;A295&amp;LEN(B295)&amp;":"&amp;B295&amp;LEN(C295)&amp;":"&amp;C295&amp;LEN(D295)&amp;":"&amp;D295)</x:f>
      </x:c>
      <x:c r="M295" t="str">
        <x:f>IF(COUNTA(A295:F295)=0,"",IF(ISNUMBER(E295),1,0))</x:f>
      </x:c>
    </x:row>
    <x:row r="296">
      <x:c r="A296" s="11"/>
      <x:c r="B296" s="11"/>
      <x:c r="C296" s="11"/>
      <x:c r="D296" s="11"/>
      <x:c r="E296" s="12"/>
      <x:c r="F296" s="10"/>
      <x:c r="G296" s="2" t="str">
        <x:f>IF(COUNTA(A296:F296)=0,"",COUNTIFS('External Data'!$L$2:$L$1001,SUBSTITUTE(SUBSTITUTE(SUBSTITUTE(L296,"~","~~"),"*","~*"),"?","~?")))</x:f>
      </x:c>
      <x:c r="H296" s="2" t="str">
        <x:f>IF(COUNTA(A296:F296)=0,"",COUNTIFS('App Data'!$L$2:$L$1001,SUBSTITUTE(SUBSTITUTE(SUBSTITUTE(L296,"~","~~"),"*","~*"),"?","~?")))</x:f>
      </x:c>
      <x:c r="I296" s="13" t="str">
        <x:f>IF(OR(H296&lt;&gt;1,G296&lt;&gt;1),"",SUMIFS('App Data'!$E$2:$E$1001,'App Data'!$L$2:$L$1001,SUBSTITUTE(SUBSTITUTE(SUBSTITUTE(L296,"~","~~"),"*","~*"),"?","~?")))</x:f>
      </x:c>
      <x:c r="J296" s="13" t="str">
        <x:f>IF(OR(NOT(ISNUMBER(E296)),NOT(ISNUMBER(I296))),"",ROUND(E296-I296,2))</x:f>
      </x:c>
      <x:c r="K296" s="2" t="str">
        <x:f>IF(COUNTA(A296:F296)=0,"",IF(OR(A296="",B296="",C296="",D296="",NOT(ISNUMBER(E296))),"Missing / invalid input",IF(G296&gt;1,"Duplicate key in this source",IF(H296=0,"Missing in other source",IF(H296&gt;1,"Duplicate in other source",IF(SUMIFS('App Data'!$M$2:$M$1001,'App Data'!$L$2:$L$1001,SUBSTITUTE(SUBSTITUTE(SUBSTITUTE(L296,"~","~~"),"*","~*"),"?","~?"))&lt;&gt;1,"Other amount is invalid",IF(J296&lt;&gt;0,"Amount differs","Matched")))))))</x:f>
      </x:c>
      <x:c r="L296" t="str">
        <x:f>IF(COUNTA(A296:F296)=0,"",LEN(A296)&amp;":"&amp;A296&amp;LEN(B296)&amp;":"&amp;B296&amp;LEN(C296)&amp;":"&amp;C296&amp;LEN(D296)&amp;":"&amp;D296)</x:f>
      </x:c>
      <x:c r="M296" t="str">
        <x:f>IF(COUNTA(A296:F296)=0,"",IF(ISNUMBER(E296),1,0))</x:f>
      </x:c>
    </x:row>
    <x:row r="297">
      <x:c r="A297" s="11"/>
      <x:c r="B297" s="11"/>
      <x:c r="C297" s="11"/>
      <x:c r="D297" s="11"/>
      <x:c r="E297" s="12"/>
      <x:c r="F297" s="10"/>
      <x:c r="G297" s="2" t="str">
        <x:f>IF(COUNTA(A297:F297)=0,"",COUNTIFS('External Data'!$L$2:$L$1001,SUBSTITUTE(SUBSTITUTE(SUBSTITUTE(L297,"~","~~"),"*","~*"),"?","~?")))</x:f>
      </x:c>
      <x:c r="H297" s="2" t="str">
        <x:f>IF(COUNTA(A297:F297)=0,"",COUNTIFS('App Data'!$L$2:$L$1001,SUBSTITUTE(SUBSTITUTE(SUBSTITUTE(L297,"~","~~"),"*","~*"),"?","~?")))</x:f>
      </x:c>
      <x:c r="I297" s="13" t="str">
        <x:f>IF(OR(H297&lt;&gt;1,G297&lt;&gt;1),"",SUMIFS('App Data'!$E$2:$E$1001,'App Data'!$L$2:$L$1001,SUBSTITUTE(SUBSTITUTE(SUBSTITUTE(L297,"~","~~"),"*","~*"),"?","~?")))</x:f>
      </x:c>
      <x:c r="J297" s="13" t="str">
        <x:f>IF(OR(NOT(ISNUMBER(E297)),NOT(ISNUMBER(I297))),"",ROUND(E297-I297,2))</x:f>
      </x:c>
      <x:c r="K297" s="2" t="str">
        <x:f>IF(COUNTA(A297:F297)=0,"",IF(OR(A297="",B297="",C297="",D297="",NOT(ISNUMBER(E297))),"Missing / invalid input",IF(G297&gt;1,"Duplicate key in this source",IF(H297=0,"Missing in other source",IF(H297&gt;1,"Duplicate in other source",IF(SUMIFS('App Data'!$M$2:$M$1001,'App Data'!$L$2:$L$1001,SUBSTITUTE(SUBSTITUTE(SUBSTITUTE(L297,"~","~~"),"*","~*"),"?","~?"))&lt;&gt;1,"Other amount is invalid",IF(J297&lt;&gt;0,"Amount differs","Matched")))))))</x:f>
      </x:c>
      <x:c r="L297" t="str">
        <x:f>IF(COUNTA(A297:F297)=0,"",LEN(A297)&amp;":"&amp;A297&amp;LEN(B297)&amp;":"&amp;B297&amp;LEN(C297)&amp;":"&amp;C297&amp;LEN(D297)&amp;":"&amp;D297)</x:f>
      </x:c>
      <x:c r="M297" t="str">
        <x:f>IF(COUNTA(A297:F297)=0,"",IF(ISNUMBER(E297),1,0))</x:f>
      </x:c>
    </x:row>
    <x:row r="298">
      <x:c r="A298" s="11"/>
      <x:c r="B298" s="11"/>
      <x:c r="C298" s="11"/>
      <x:c r="D298" s="11"/>
      <x:c r="E298" s="12"/>
      <x:c r="F298" s="10"/>
      <x:c r="G298" s="2" t="str">
        <x:f>IF(COUNTA(A298:F298)=0,"",COUNTIFS('External Data'!$L$2:$L$1001,SUBSTITUTE(SUBSTITUTE(SUBSTITUTE(L298,"~","~~"),"*","~*"),"?","~?")))</x:f>
      </x:c>
      <x:c r="H298" s="2" t="str">
        <x:f>IF(COUNTA(A298:F298)=0,"",COUNTIFS('App Data'!$L$2:$L$1001,SUBSTITUTE(SUBSTITUTE(SUBSTITUTE(L298,"~","~~"),"*","~*"),"?","~?")))</x:f>
      </x:c>
      <x:c r="I298" s="13" t="str">
        <x:f>IF(OR(H298&lt;&gt;1,G298&lt;&gt;1),"",SUMIFS('App Data'!$E$2:$E$1001,'App Data'!$L$2:$L$1001,SUBSTITUTE(SUBSTITUTE(SUBSTITUTE(L298,"~","~~"),"*","~*"),"?","~?")))</x:f>
      </x:c>
      <x:c r="J298" s="13" t="str">
        <x:f>IF(OR(NOT(ISNUMBER(E298)),NOT(ISNUMBER(I298))),"",ROUND(E298-I298,2))</x:f>
      </x:c>
      <x:c r="K298" s="2" t="str">
        <x:f>IF(COUNTA(A298:F298)=0,"",IF(OR(A298="",B298="",C298="",D298="",NOT(ISNUMBER(E298))),"Missing / invalid input",IF(G298&gt;1,"Duplicate key in this source",IF(H298=0,"Missing in other source",IF(H298&gt;1,"Duplicate in other source",IF(SUMIFS('App Data'!$M$2:$M$1001,'App Data'!$L$2:$L$1001,SUBSTITUTE(SUBSTITUTE(SUBSTITUTE(L298,"~","~~"),"*","~*"),"?","~?"))&lt;&gt;1,"Other amount is invalid",IF(J298&lt;&gt;0,"Amount differs","Matched")))))))</x:f>
      </x:c>
      <x:c r="L298" t="str">
        <x:f>IF(COUNTA(A298:F298)=0,"",LEN(A298)&amp;":"&amp;A298&amp;LEN(B298)&amp;":"&amp;B298&amp;LEN(C298)&amp;":"&amp;C298&amp;LEN(D298)&amp;":"&amp;D298)</x:f>
      </x:c>
      <x:c r="M298" t="str">
        <x:f>IF(COUNTA(A298:F298)=0,"",IF(ISNUMBER(E298),1,0))</x:f>
      </x:c>
    </x:row>
    <x:row r="299">
      <x:c r="A299" s="11"/>
      <x:c r="B299" s="11"/>
      <x:c r="C299" s="11"/>
      <x:c r="D299" s="11"/>
      <x:c r="E299" s="12"/>
      <x:c r="F299" s="10"/>
      <x:c r="G299" s="2" t="str">
        <x:f>IF(COUNTA(A299:F299)=0,"",COUNTIFS('External Data'!$L$2:$L$1001,SUBSTITUTE(SUBSTITUTE(SUBSTITUTE(L299,"~","~~"),"*","~*"),"?","~?")))</x:f>
      </x:c>
      <x:c r="H299" s="2" t="str">
        <x:f>IF(COUNTA(A299:F299)=0,"",COUNTIFS('App Data'!$L$2:$L$1001,SUBSTITUTE(SUBSTITUTE(SUBSTITUTE(L299,"~","~~"),"*","~*"),"?","~?")))</x:f>
      </x:c>
      <x:c r="I299" s="13" t="str">
        <x:f>IF(OR(H299&lt;&gt;1,G299&lt;&gt;1),"",SUMIFS('App Data'!$E$2:$E$1001,'App Data'!$L$2:$L$1001,SUBSTITUTE(SUBSTITUTE(SUBSTITUTE(L299,"~","~~"),"*","~*"),"?","~?")))</x:f>
      </x:c>
      <x:c r="J299" s="13" t="str">
        <x:f>IF(OR(NOT(ISNUMBER(E299)),NOT(ISNUMBER(I299))),"",ROUND(E299-I299,2))</x:f>
      </x:c>
      <x:c r="K299" s="2" t="str">
        <x:f>IF(COUNTA(A299:F299)=0,"",IF(OR(A299="",B299="",C299="",D299="",NOT(ISNUMBER(E299))),"Missing / invalid input",IF(G299&gt;1,"Duplicate key in this source",IF(H299=0,"Missing in other source",IF(H299&gt;1,"Duplicate in other source",IF(SUMIFS('App Data'!$M$2:$M$1001,'App Data'!$L$2:$L$1001,SUBSTITUTE(SUBSTITUTE(SUBSTITUTE(L299,"~","~~"),"*","~*"),"?","~?"))&lt;&gt;1,"Other amount is invalid",IF(J299&lt;&gt;0,"Amount differs","Matched")))))))</x:f>
      </x:c>
      <x:c r="L299" t="str">
        <x:f>IF(COUNTA(A299:F299)=0,"",LEN(A299)&amp;":"&amp;A299&amp;LEN(B299)&amp;":"&amp;B299&amp;LEN(C299)&amp;":"&amp;C299&amp;LEN(D299)&amp;":"&amp;D299)</x:f>
      </x:c>
      <x:c r="M299" t="str">
        <x:f>IF(COUNTA(A299:F299)=0,"",IF(ISNUMBER(E299),1,0))</x:f>
      </x:c>
    </x:row>
    <x:row r="300">
      <x:c r="A300" s="11"/>
      <x:c r="B300" s="11"/>
      <x:c r="C300" s="11"/>
      <x:c r="D300" s="11"/>
      <x:c r="E300" s="12"/>
      <x:c r="F300" s="10"/>
      <x:c r="G300" s="2" t="str">
        <x:f>IF(COUNTA(A300:F300)=0,"",COUNTIFS('External Data'!$L$2:$L$1001,SUBSTITUTE(SUBSTITUTE(SUBSTITUTE(L300,"~","~~"),"*","~*"),"?","~?")))</x:f>
      </x:c>
      <x:c r="H300" s="2" t="str">
        <x:f>IF(COUNTA(A300:F300)=0,"",COUNTIFS('App Data'!$L$2:$L$1001,SUBSTITUTE(SUBSTITUTE(SUBSTITUTE(L300,"~","~~"),"*","~*"),"?","~?")))</x:f>
      </x:c>
      <x:c r="I300" s="13" t="str">
        <x:f>IF(OR(H300&lt;&gt;1,G300&lt;&gt;1),"",SUMIFS('App Data'!$E$2:$E$1001,'App Data'!$L$2:$L$1001,SUBSTITUTE(SUBSTITUTE(SUBSTITUTE(L300,"~","~~"),"*","~*"),"?","~?")))</x:f>
      </x:c>
      <x:c r="J300" s="13" t="str">
        <x:f>IF(OR(NOT(ISNUMBER(E300)),NOT(ISNUMBER(I300))),"",ROUND(E300-I300,2))</x:f>
      </x:c>
      <x:c r="K300" s="2" t="str">
        <x:f>IF(COUNTA(A300:F300)=0,"",IF(OR(A300="",B300="",C300="",D300="",NOT(ISNUMBER(E300))),"Missing / invalid input",IF(G300&gt;1,"Duplicate key in this source",IF(H300=0,"Missing in other source",IF(H300&gt;1,"Duplicate in other source",IF(SUMIFS('App Data'!$M$2:$M$1001,'App Data'!$L$2:$L$1001,SUBSTITUTE(SUBSTITUTE(SUBSTITUTE(L300,"~","~~"),"*","~*"),"?","~?"))&lt;&gt;1,"Other amount is invalid",IF(J300&lt;&gt;0,"Amount differs","Matched")))))))</x:f>
      </x:c>
      <x:c r="L300" t="str">
        <x:f>IF(COUNTA(A300:F300)=0,"",LEN(A300)&amp;":"&amp;A300&amp;LEN(B300)&amp;":"&amp;B300&amp;LEN(C300)&amp;":"&amp;C300&amp;LEN(D300)&amp;":"&amp;D300)</x:f>
      </x:c>
      <x:c r="M300" t="str">
        <x:f>IF(COUNTA(A300:F300)=0,"",IF(ISNUMBER(E300),1,0))</x:f>
      </x:c>
    </x:row>
    <x:row r="301">
      <x:c r="A301" s="11"/>
      <x:c r="B301" s="11"/>
      <x:c r="C301" s="11"/>
      <x:c r="D301" s="11"/>
      <x:c r="E301" s="12"/>
      <x:c r="F301" s="10"/>
      <x:c r="G301" s="2" t="str">
        <x:f>IF(COUNTA(A301:F301)=0,"",COUNTIFS('External Data'!$L$2:$L$1001,SUBSTITUTE(SUBSTITUTE(SUBSTITUTE(L301,"~","~~"),"*","~*"),"?","~?")))</x:f>
      </x:c>
      <x:c r="H301" s="2" t="str">
        <x:f>IF(COUNTA(A301:F301)=0,"",COUNTIFS('App Data'!$L$2:$L$1001,SUBSTITUTE(SUBSTITUTE(SUBSTITUTE(L301,"~","~~"),"*","~*"),"?","~?")))</x:f>
      </x:c>
      <x:c r="I301" s="13" t="str">
        <x:f>IF(OR(H301&lt;&gt;1,G301&lt;&gt;1),"",SUMIFS('App Data'!$E$2:$E$1001,'App Data'!$L$2:$L$1001,SUBSTITUTE(SUBSTITUTE(SUBSTITUTE(L301,"~","~~"),"*","~*"),"?","~?")))</x:f>
      </x:c>
      <x:c r="J301" s="13" t="str">
        <x:f>IF(OR(NOT(ISNUMBER(E301)),NOT(ISNUMBER(I301))),"",ROUND(E301-I301,2))</x:f>
      </x:c>
      <x:c r="K301" s="2" t="str">
        <x:f>IF(COUNTA(A301:F301)=0,"",IF(OR(A301="",B301="",C301="",D301="",NOT(ISNUMBER(E301))),"Missing / invalid input",IF(G301&gt;1,"Duplicate key in this source",IF(H301=0,"Missing in other source",IF(H301&gt;1,"Duplicate in other source",IF(SUMIFS('App Data'!$M$2:$M$1001,'App Data'!$L$2:$L$1001,SUBSTITUTE(SUBSTITUTE(SUBSTITUTE(L301,"~","~~"),"*","~*"),"?","~?"))&lt;&gt;1,"Other amount is invalid",IF(J301&lt;&gt;0,"Amount differs","Matched")))))))</x:f>
      </x:c>
      <x:c r="L301" t="str">
        <x:f>IF(COUNTA(A301:F301)=0,"",LEN(A301)&amp;":"&amp;A301&amp;LEN(B301)&amp;":"&amp;B301&amp;LEN(C301)&amp;":"&amp;C301&amp;LEN(D301)&amp;":"&amp;D301)</x:f>
      </x:c>
      <x:c r="M301" t="str">
        <x:f>IF(COUNTA(A301:F301)=0,"",IF(ISNUMBER(E301),1,0))</x:f>
      </x:c>
    </x:row>
    <x:row r="302">
      <x:c r="A302" s="11"/>
      <x:c r="B302" s="11"/>
      <x:c r="C302" s="11"/>
      <x:c r="D302" s="11"/>
      <x:c r="E302" s="12"/>
      <x:c r="F302" s="10"/>
      <x:c r="G302" s="2" t="str">
        <x:f>IF(COUNTA(A302:F302)=0,"",COUNTIFS('External Data'!$L$2:$L$1001,SUBSTITUTE(SUBSTITUTE(SUBSTITUTE(L302,"~","~~"),"*","~*"),"?","~?")))</x:f>
      </x:c>
      <x:c r="H302" s="2" t="str">
        <x:f>IF(COUNTA(A302:F302)=0,"",COUNTIFS('App Data'!$L$2:$L$1001,SUBSTITUTE(SUBSTITUTE(SUBSTITUTE(L302,"~","~~"),"*","~*"),"?","~?")))</x:f>
      </x:c>
      <x:c r="I302" s="13" t="str">
        <x:f>IF(OR(H302&lt;&gt;1,G302&lt;&gt;1),"",SUMIFS('App Data'!$E$2:$E$1001,'App Data'!$L$2:$L$1001,SUBSTITUTE(SUBSTITUTE(SUBSTITUTE(L302,"~","~~"),"*","~*"),"?","~?")))</x:f>
      </x:c>
      <x:c r="J302" s="13" t="str">
        <x:f>IF(OR(NOT(ISNUMBER(E302)),NOT(ISNUMBER(I302))),"",ROUND(E302-I302,2))</x:f>
      </x:c>
      <x:c r="K302" s="2" t="str">
        <x:f>IF(COUNTA(A302:F302)=0,"",IF(OR(A302="",B302="",C302="",D302="",NOT(ISNUMBER(E302))),"Missing / invalid input",IF(G302&gt;1,"Duplicate key in this source",IF(H302=0,"Missing in other source",IF(H302&gt;1,"Duplicate in other source",IF(SUMIFS('App Data'!$M$2:$M$1001,'App Data'!$L$2:$L$1001,SUBSTITUTE(SUBSTITUTE(SUBSTITUTE(L302,"~","~~"),"*","~*"),"?","~?"))&lt;&gt;1,"Other amount is invalid",IF(J302&lt;&gt;0,"Amount differs","Matched")))))))</x:f>
      </x:c>
      <x:c r="L302" t="str">
        <x:f>IF(COUNTA(A302:F302)=0,"",LEN(A302)&amp;":"&amp;A302&amp;LEN(B302)&amp;":"&amp;B302&amp;LEN(C302)&amp;":"&amp;C302&amp;LEN(D302)&amp;":"&amp;D302)</x:f>
      </x:c>
      <x:c r="M302" t="str">
        <x:f>IF(COUNTA(A302:F302)=0,"",IF(ISNUMBER(E302),1,0))</x:f>
      </x:c>
    </x:row>
    <x:row r="303">
      <x:c r="A303" s="11"/>
      <x:c r="B303" s="11"/>
      <x:c r="C303" s="11"/>
      <x:c r="D303" s="11"/>
      <x:c r="E303" s="12"/>
      <x:c r="F303" s="10"/>
      <x:c r="G303" s="2" t="str">
        <x:f>IF(COUNTA(A303:F303)=0,"",COUNTIFS('External Data'!$L$2:$L$1001,SUBSTITUTE(SUBSTITUTE(SUBSTITUTE(L303,"~","~~"),"*","~*"),"?","~?")))</x:f>
      </x:c>
      <x:c r="H303" s="2" t="str">
        <x:f>IF(COUNTA(A303:F303)=0,"",COUNTIFS('App Data'!$L$2:$L$1001,SUBSTITUTE(SUBSTITUTE(SUBSTITUTE(L303,"~","~~"),"*","~*"),"?","~?")))</x:f>
      </x:c>
      <x:c r="I303" s="13" t="str">
        <x:f>IF(OR(H303&lt;&gt;1,G303&lt;&gt;1),"",SUMIFS('App Data'!$E$2:$E$1001,'App Data'!$L$2:$L$1001,SUBSTITUTE(SUBSTITUTE(SUBSTITUTE(L303,"~","~~"),"*","~*"),"?","~?")))</x:f>
      </x:c>
      <x:c r="J303" s="13" t="str">
        <x:f>IF(OR(NOT(ISNUMBER(E303)),NOT(ISNUMBER(I303))),"",ROUND(E303-I303,2))</x:f>
      </x:c>
      <x:c r="K303" s="2" t="str">
        <x:f>IF(COUNTA(A303:F303)=0,"",IF(OR(A303="",B303="",C303="",D303="",NOT(ISNUMBER(E303))),"Missing / invalid input",IF(G303&gt;1,"Duplicate key in this source",IF(H303=0,"Missing in other source",IF(H303&gt;1,"Duplicate in other source",IF(SUMIFS('App Data'!$M$2:$M$1001,'App Data'!$L$2:$L$1001,SUBSTITUTE(SUBSTITUTE(SUBSTITUTE(L303,"~","~~"),"*","~*"),"?","~?"))&lt;&gt;1,"Other amount is invalid",IF(J303&lt;&gt;0,"Amount differs","Matched")))))))</x:f>
      </x:c>
      <x:c r="L303" t="str">
        <x:f>IF(COUNTA(A303:F303)=0,"",LEN(A303)&amp;":"&amp;A303&amp;LEN(B303)&amp;":"&amp;B303&amp;LEN(C303)&amp;":"&amp;C303&amp;LEN(D303)&amp;":"&amp;D303)</x:f>
      </x:c>
      <x:c r="M303" t="str">
        <x:f>IF(COUNTA(A303:F303)=0,"",IF(ISNUMBER(E303),1,0))</x:f>
      </x:c>
    </x:row>
    <x:row r="304">
      <x:c r="A304" s="11"/>
      <x:c r="B304" s="11"/>
      <x:c r="C304" s="11"/>
      <x:c r="D304" s="11"/>
      <x:c r="E304" s="12"/>
      <x:c r="F304" s="10"/>
      <x:c r="G304" s="2" t="str">
        <x:f>IF(COUNTA(A304:F304)=0,"",COUNTIFS('External Data'!$L$2:$L$1001,SUBSTITUTE(SUBSTITUTE(SUBSTITUTE(L304,"~","~~"),"*","~*"),"?","~?")))</x:f>
      </x:c>
      <x:c r="H304" s="2" t="str">
        <x:f>IF(COUNTA(A304:F304)=0,"",COUNTIFS('App Data'!$L$2:$L$1001,SUBSTITUTE(SUBSTITUTE(SUBSTITUTE(L304,"~","~~"),"*","~*"),"?","~?")))</x:f>
      </x:c>
      <x:c r="I304" s="13" t="str">
        <x:f>IF(OR(H304&lt;&gt;1,G304&lt;&gt;1),"",SUMIFS('App Data'!$E$2:$E$1001,'App Data'!$L$2:$L$1001,SUBSTITUTE(SUBSTITUTE(SUBSTITUTE(L304,"~","~~"),"*","~*"),"?","~?")))</x:f>
      </x:c>
      <x:c r="J304" s="13" t="str">
        <x:f>IF(OR(NOT(ISNUMBER(E304)),NOT(ISNUMBER(I304))),"",ROUND(E304-I304,2))</x:f>
      </x:c>
      <x:c r="K304" s="2" t="str">
        <x:f>IF(COUNTA(A304:F304)=0,"",IF(OR(A304="",B304="",C304="",D304="",NOT(ISNUMBER(E304))),"Missing / invalid input",IF(G304&gt;1,"Duplicate key in this source",IF(H304=0,"Missing in other source",IF(H304&gt;1,"Duplicate in other source",IF(SUMIFS('App Data'!$M$2:$M$1001,'App Data'!$L$2:$L$1001,SUBSTITUTE(SUBSTITUTE(SUBSTITUTE(L304,"~","~~"),"*","~*"),"?","~?"))&lt;&gt;1,"Other amount is invalid",IF(J304&lt;&gt;0,"Amount differs","Matched")))))))</x:f>
      </x:c>
      <x:c r="L304" t="str">
        <x:f>IF(COUNTA(A304:F304)=0,"",LEN(A304)&amp;":"&amp;A304&amp;LEN(B304)&amp;":"&amp;B304&amp;LEN(C304)&amp;":"&amp;C304&amp;LEN(D304)&amp;":"&amp;D304)</x:f>
      </x:c>
      <x:c r="M304" t="str">
        <x:f>IF(COUNTA(A304:F304)=0,"",IF(ISNUMBER(E304),1,0))</x:f>
      </x:c>
    </x:row>
    <x:row r="305">
      <x:c r="A305" s="11"/>
      <x:c r="B305" s="11"/>
      <x:c r="C305" s="11"/>
      <x:c r="D305" s="11"/>
      <x:c r="E305" s="12"/>
      <x:c r="F305" s="10"/>
      <x:c r="G305" s="2" t="str">
        <x:f>IF(COUNTA(A305:F305)=0,"",COUNTIFS('External Data'!$L$2:$L$1001,SUBSTITUTE(SUBSTITUTE(SUBSTITUTE(L305,"~","~~"),"*","~*"),"?","~?")))</x:f>
      </x:c>
      <x:c r="H305" s="2" t="str">
        <x:f>IF(COUNTA(A305:F305)=0,"",COUNTIFS('App Data'!$L$2:$L$1001,SUBSTITUTE(SUBSTITUTE(SUBSTITUTE(L305,"~","~~"),"*","~*"),"?","~?")))</x:f>
      </x:c>
      <x:c r="I305" s="13" t="str">
        <x:f>IF(OR(H305&lt;&gt;1,G305&lt;&gt;1),"",SUMIFS('App Data'!$E$2:$E$1001,'App Data'!$L$2:$L$1001,SUBSTITUTE(SUBSTITUTE(SUBSTITUTE(L305,"~","~~"),"*","~*"),"?","~?")))</x:f>
      </x:c>
      <x:c r="J305" s="13" t="str">
        <x:f>IF(OR(NOT(ISNUMBER(E305)),NOT(ISNUMBER(I305))),"",ROUND(E305-I305,2))</x:f>
      </x:c>
      <x:c r="K305" s="2" t="str">
        <x:f>IF(COUNTA(A305:F305)=0,"",IF(OR(A305="",B305="",C305="",D305="",NOT(ISNUMBER(E305))),"Missing / invalid input",IF(G305&gt;1,"Duplicate key in this source",IF(H305=0,"Missing in other source",IF(H305&gt;1,"Duplicate in other source",IF(SUMIFS('App Data'!$M$2:$M$1001,'App Data'!$L$2:$L$1001,SUBSTITUTE(SUBSTITUTE(SUBSTITUTE(L305,"~","~~"),"*","~*"),"?","~?"))&lt;&gt;1,"Other amount is invalid",IF(J305&lt;&gt;0,"Amount differs","Matched")))))))</x:f>
      </x:c>
      <x:c r="L305" t="str">
        <x:f>IF(COUNTA(A305:F305)=0,"",LEN(A305)&amp;":"&amp;A305&amp;LEN(B305)&amp;":"&amp;B305&amp;LEN(C305)&amp;":"&amp;C305&amp;LEN(D305)&amp;":"&amp;D305)</x:f>
      </x:c>
      <x:c r="M305" t="str">
        <x:f>IF(COUNTA(A305:F305)=0,"",IF(ISNUMBER(E305),1,0))</x:f>
      </x:c>
    </x:row>
    <x:row r="306">
      <x:c r="A306" s="11"/>
      <x:c r="B306" s="11"/>
      <x:c r="C306" s="11"/>
      <x:c r="D306" s="11"/>
      <x:c r="E306" s="12"/>
      <x:c r="F306" s="10"/>
      <x:c r="G306" s="2" t="str">
        <x:f>IF(COUNTA(A306:F306)=0,"",COUNTIFS('External Data'!$L$2:$L$1001,SUBSTITUTE(SUBSTITUTE(SUBSTITUTE(L306,"~","~~"),"*","~*"),"?","~?")))</x:f>
      </x:c>
      <x:c r="H306" s="2" t="str">
        <x:f>IF(COUNTA(A306:F306)=0,"",COUNTIFS('App Data'!$L$2:$L$1001,SUBSTITUTE(SUBSTITUTE(SUBSTITUTE(L306,"~","~~"),"*","~*"),"?","~?")))</x:f>
      </x:c>
      <x:c r="I306" s="13" t="str">
        <x:f>IF(OR(H306&lt;&gt;1,G306&lt;&gt;1),"",SUMIFS('App Data'!$E$2:$E$1001,'App Data'!$L$2:$L$1001,SUBSTITUTE(SUBSTITUTE(SUBSTITUTE(L306,"~","~~"),"*","~*"),"?","~?")))</x:f>
      </x:c>
      <x:c r="J306" s="13" t="str">
        <x:f>IF(OR(NOT(ISNUMBER(E306)),NOT(ISNUMBER(I306))),"",ROUND(E306-I306,2))</x:f>
      </x:c>
      <x:c r="K306" s="2" t="str">
        <x:f>IF(COUNTA(A306:F306)=0,"",IF(OR(A306="",B306="",C306="",D306="",NOT(ISNUMBER(E306))),"Missing / invalid input",IF(G306&gt;1,"Duplicate key in this source",IF(H306=0,"Missing in other source",IF(H306&gt;1,"Duplicate in other source",IF(SUMIFS('App Data'!$M$2:$M$1001,'App Data'!$L$2:$L$1001,SUBSTITUTE(SUBSTITUTE(SUBSTITUTE(L306,"~","~~"),"*","~*"),"?","~?"))&lt;&gt;1,"Other amount is invalid",IF(J306&lt;&gt;0,"Amount differs","Matched")))))))</x:f>
      </x:c>
      <x:c r="L306" t="str">
        <x:f>IF(COUNTA(A306:F306)=0,"",LEN(A306)&amp;":"&amp;A306&amp;LEN(B306)&amp;":"&amp;B306&amp;LEN(C306)&amp;":"&amp;C306&amp;LEN(D306)&amp;":"&amp;D306)</x:f>
      </x:c>
      <x:c r="M306" t="str">
        <x:f>IF(COUNTA(A306:F306)=0,"",IF(ISNUMBER(E306),1,0))</x:f>
      </x:c>
    </x:row>
    <x:row r="307">
      <x:c r="A307" s="11"/>
      <x:c r="B307" s="11"/>
      <x:c r="C307" s="11"/>
      <x:c r="D307" s="11"/>
      <x:c r="E307" s="12"/>
      <x:c r="F307" s="10"/>
      <x:c r="G307" s="2" t="str">
        <x:f>IF(COUNTA(A307:F307)=0,"",COUNTIFS('External Data'!$L$2:$L$1001,SUBSTITUTE(SUBSTITUTE(SUBSTITUTE(L307,"~","~~"),"*","~*"),"?","~?")))</x:f>
      </x:c>
      <x:c r="H307" s="2" t="str">
        <x:f>IF(COUNTA(A307:F307)=0,"",COUNTIFS('App Data'!$L$2:$L$1001,SUBSTITUTE(SUBSTITUTE(SUBSTITUTE(L307,"~","~~"),"*","~*"),"?","~?")))</x:f>
      </x:c>
      <x:c r="I307" s="13" t="str">
        <x:f>IF(OR(H307&lt;&gt;1,G307&lt;&gt;1),"",SUMIFS('App Data'!$E$2:$E$1001,'App Data'!$L$2:$L$1001,SUBSTITUTE(SUBSTITUTE(SUBSTITUTE(L307,"~","~~"),"*","~*"),"?","~?")))</x:f>
      </x:c>
      <x:c r="J307" s="13" t="str">
        <x:f>IF(OR(NOT(ISNUMBER(E307)),NOT(ISNUMBER(I307))),"",ROUND(E307-I307,2))</x:f>
      </x:c>
      <x:c r="K307" s="2" t="str">
        <x:f>IF(COUNTA(A307:F307)=0,"",IF(OR(A307="",B307="",C307="",D307="",NOT(ISNUMBER(E307))),"Missing / invalid input",IF(G307&gt;1,"Duplicate key in this source",IF(H307=0,"Missing in other source",IF(H307&gt;1,"Duplicate in other source",IF(SUMIFS('App Data'!$M$2:$M$1001,'App Data'!$L$2:$L$1001,SUBSTITUTE(SUBSTITUTE(SUBSTITUTE(L307,"~","~~"),"*","~*"),"?","~?"))&lt;&gt;1,"Other amount is invalid",IF(J307&lt;&gt;0,"Amount differs","Matched")))))))</x:f>
      </x:c>
      <x:c r="L307" t="str">
        <x:f>IF(COUNTA(A307:F307)=0,"",LEN(A307)&amp;":"&amp;A307&amp;LEN(B307)&amp;":"&amp;B307&amp;LEN(C307)&amp;":"&amp;C307&amp;LEN(D307)&amp;":"&amp;D307)</x:f>
      </x:c>
      <x:c r="M307" t="str">
        <x:f>IF(COUNTA(A307:F307)=0,"",IF(ISNUMBER(E307),1,0))</x:f>
      </x:c>
    </x:row>
    <x:row r="308">
      <x:c r="A308" s="11"/>
      <x:c r="B308" s="11"/>
      <x:c r="C308" s="11"/>
      <x:c r="D308" s="11"/>
      <x:c r="E308" s="12"/>
      <x:c r="F308" s="10"/>
      <x:c r="G308" s="2" t="str">
        <x:f>IF(COUNTA(A308:F308)=0,"",COUNTIFS('External Data'!$L$2:$L$1001,SUBSTITUTE(SUBSTITUTE(SUBSTITUTE(L308,"~","~~"),"*","~*"),"?","~?")))</x:f>
      </x:c>
      <x:c r="H308" s="2" t="str">
        <x:f>IF(COUNTA(A308:F308)=0,"",COUNTIFS('App Data'!$L$2:$L$1001,SUBSTITUTE(SUBSTITUTE(SUBSTITUTE(L308,"~","~~"),"*","~*"),"?","~?")))</x:f>
      </x:c>
      <x:c r="I308" s="13" t="str">
        <x:f>IF(OR(H308&lt;&gt;1,G308&lt;&gt;1),"",SUMIFS('App Data'!$E$2:$E$1001,'App Data'!$L$2:$L$1001,SUBSTITUTE(SUBSTITUTE(SUBSTITUTE(L308,"~","~~"),"*","~*"),"?","~?")))</x:f>
      </x:c>
      <x:c r="J308" s="13" t="str">
        <x:f>IF(OR(NOT(ISNUMBER(E308)),NOT(ISNUMBER(I308))),"",ROUND(E308-I308,2))</x:f>
      </x:c>
      <x:c r="K308" s="2" t="str">
        <x:f>IF(COUNTA(A308:F308)=0,"",IF(OR(A308="",B308="",C308="",D308="",NOT(ISNUMBER(E308))),"Missing / invalid input",IF(G308&gt;1,"Duplicate key in this source",IF(H308=0,"Missing in other source",IF(H308&gt;1,"Duplicate in other source",IF(SUMIFS('App Data'!$M$2:$M$1001,'App Data'!$L$2:$L$1001,SUBSTITUTE(SUBSTITUTE(SUBSTITUTE(L308,"~","~~"),"*","~*"),"?","~?"))&lt;&gt;1,"Other amount is invalid",IF(J308&lt;&gt;0,"Amount differs","Matched")))))))</x:f>
      </x:c>
      <x:c r="L308" t="str">
        <x:f>IF(COUNTA(A308:F308)=0,"",LEN(A308)&amp;":"&amp;A308&amp;LEN(B308)&amp;":"&amp;B308&amp;LEN(C308)&amp;":"&amp;C308&amp;LEN(D308)&amp;":"&amp;D308)</x:f>
      </x:c>
      <x:c r="M308" t="str">
        <x:f>IF(COUNTA(A308:F308)=0,"",IF(ISNUMBER(E308),1,0))</x:f>
      </x:c>
    </x:row>
    <x:row r="309">
      <x:c r="A309" s="11"/>
      <x:c r="B309" s="11"/>
      <x:c r="C309" s="11"/>
      <x:c r="D309" s="11"/>
      <x:c r="E309" s="12"/>
      <x:c r="F309" s="10"/>
      <x:c r="G309" s="2" t="str">
        <x:f>IF(COUNTA(A309:F309)=0,"",COUNTIFS('External Data'!$L$2:$L$1001,SUBSTITUTE(SUBSTITUTE(SUBSTITUTE(L309,"~","~~"),"*","~*"),"?","~?")))</x:f>
      </x:c>
      <x:c r="H309" s="2" t="str">
        <x:f>IF(COUNTA(A309:F309)=0,"",COUNTIFS('App Data'!$L$2:$L$1001,SUBSTITUTE(SUBSTITUTE(SUBSTITUTE(L309,"~","~~"),"*","~*"),"?","~?")))</x:f>
      </x:c>
      <x:c r="I309" s="13" t="str">
        <x:f>IF(OR(H309&lt;&gt;1,G309&lt;&gt;1),"",SUMIFS('App Data'!$E$2:$E$1001,'App Data'!$L$2:$L$1001,SUBSTITUTE(SUBSTITUTE(SUBSTITUTE(L309,"~","~~"),"*","~*"),"?","~?")))</x:f>
      </x:c>
      <x:c r="J309" s="13" t="str">
        <x:f>IF(OR(NOT(ISNUMBER(E309)),NOT(ISNUMBER(I309))),"",ROUND(E309-I309,2))</x:f>
      </x:c>
      <x:c r="K309" s="2" t="str">
        <x:f>IF(COUNTA(A309:F309)=0,"",IF(OR(A309="",B309="",C309="",D309="",NOT(ISNUMBER(E309))),"Missing / invalid input",IF(G309&gt;1,"Duplicate key in this source",IF(H309=0,"Missing in other source",IF(H309&gt;1,"Duplicate in other source",IF(SUMIFS('App Data'!$M$2:$M$1001,'App Data'!$L$2:$L$1001,SUBSTITUTE(SUBSTITUTE(SUBSTITUTE(L309,"~","~~"),"*","~*"),"?","~?"))&lt;&gt;1,"Other amount is invalid",IF(J309&lt;&gt;0,"Amount differs","Matched")))))))</x:f>
      </x:c>
      <x:c r="L309" t="str">
        <x:f>IF(COUNTA(A309:F309)=0,"",LEN(A309)&amp;":"&amp;A309&amp;LEN(B309)&amp;":"&amp;B309&amp;LEN(C309)&amp;":"&amp;C309&amp;LEN(D309)&amp;":"&amp;D309)</x:f>
      </x:c>
      <x:c r="M309" t="str">
        <x:f>IF(COUNTA(A309:F309)=0,"",IF(ISNUMBER(E309),1,0))</x:f>
      </x:c>
    </x:row>
    <x:row r="310">
      <x:c r="A310" s="11"/>
      <x:c r="B310" s="11"/>
      <x:c r="C310" s="11"/>
      <x:c r="D310" s="11"/>
      <x:c r="E310" s="12"/>
      <x:c r="F310" s="10"/>
      <x:c r="G310" s="2" t="str">
        <x:f>IF(COUNTA(A310:F310)=0,"",COUNTIFS('External Data'!$L$2:$L$1001,SUBSTITUTE(SUBSTITUTE(SUBSTITUTE(L310,"~","~~"),"*","~*"),"?","~?")))</x:f>
      </x:c>
      <x:c r="H310" s="2" t="str">
        <x:f>IF(COUNTA(A310:F310)=0,"",COUNTIFS('App Data'!$L$2:$L$1001,SUBSTITUTE(SUBSTITUTE(SUBSTITUTE(L310,"~","~~"),"*","~*"),"?","~?")))</x:f>
      </x:c>
      <x:c r="I310" s="13" t="str">
        <x:f>IF(OR(H310&lt;&gt;1,G310&lt;&gt;1),"",SUMIFS('App Data'!$E$2:$E$1001,'App Data'!$L$2:$L$1001,SUBSTITUTE(SUBSTITUTE(SUBSTITUTE(L310,"~","~~"),"*","~*"),"?","~?")))</x:f>
      </x:c>
      <x:c r="J310" s="13" t="str">
        <x:f>IF(OR(NOT(ISNUMBER(E310)),NOT(ISNUMBER(I310))),"",ROUND(E310-I310,2))</x:f>
      </x:c>
      <x:c r="K310" s="2" t="str">
        <x:f>IF(COUNTA(A310:F310)=0,"",IF(OR(A310="",B310="",C310="",D310="",NOT(ISNUMBER(E310))),"Missing / invalid input",IF(G310&gt;1,"Duplicate key in this source",IF(H310=0,"Missing in other source",IF(H310&gt;1,"Duplicate in other source",IF(SUMIFS('App Data'!$M$2:$M$1001,'App Data'!$L$2:$L$1001,SUBSTITUTE(SUBSTITUTE(SUBSTITUTE(L310,"~","~~"),"*","~*"),"?","~?"))&lt;&gt;1,"Other amount is invalid",IF(J310&lt;&gt;0,"Amount differs","Matched")))))))</x:f>
      </x:c>
      <x:c r="L310" t="str">
        <x:f>IF(COUNTA(A310:F310)=0,"",LEN(A310)&amp;":"&amp;A310&amp;LEN(B310)&amp;":"&amp;B310&amp;LEN(C310)&amp;":"&amp;C310&amp;LEN(D310)&amp;":"&amp;D310)</x:f>
      </x:c>
      <x:c r="M310" t="str">
        <x:f>IF(COUNTA(A310:F310)=0,"",IF(ISNUMBER(E310),1,0))</x:f>
      </x:c>
    </x:row>
    <x:row r="311">
      <x:c r="A311" s="11"/>
      <x:c r="B311" s="11"/>
      <x:c r="C311" s="11"/>
      <x:c r="D311" s="11"/>
      <x:c r="E311" s="12"/>
      <x:c r="F311" s="10"/>
      <x:c r="G311" s="2" t="str">
        <x:f>IF(COUNTA(A311:F311)=0,"",COUNTIFS('External Data'!$L$2:$L$1001,SUBSTITUTE(SUBSTITUTE(SUBSTITUTE(L311,"~","~~"),"*","~*"),"?","~?")))</x:f>
      </x:c>
      <x:c r="H311" s="2" t="str">
        <x:f>IF(COUNTA(A311:F311)=0,"",COUNTIFS('App Data'!$L$2:$L$1001,SUBSTITUTE(SUBSTITUTE(SUBSTITUTE(L311,"~","~~"),"*","~*"),"?","~?")))</x:f>
      </x:c>
      <x:c r="I311" s="13" t="str">
        <x:f>IF(OR(H311&lt;&gt;1,G311&lt;&gt;1),"",SUMIFS('App Data'!$E$2:$E$1001,'App Data'!$L$2:$L$1001,SUBSTITUTE(SUBSTITUTE(SUBSTITUTE(L311,"~","~~"),"*","~*"),"?","~?")))</x:f>
      </x:c>
      <x:c r="J311" s="13" t="str">
        <x:f>IF(OR(NOT(ISNUMBER(E311)),NOT(ISNUMBER(I311))),"",ROUND(E311-I311,2))</x:f>
      </x:c>
      <x:c r="K311" s="2" t="str">
        <x:f>IF(COUNTA(A311:F311)=0,"",IF(OR(A311="",B311="",C311="",D311="",NOT(ISNUMBER(E311))),"Missing / invalid input",IF(G311&gt;1,"Duplicate key in this source",IF(H311=0,"Missing in other source",IF(H311&gt;1,"Duplicate in other source",IF(SUMIFS('App Data'!$M$2:$M$1001,'App Data'!$L$2:$L$1001,SUBSTITUTE(SUBSTITUTE(SUBSTITUTE(L311,"~","~~"),"*","~*"),"?","~?"))&lt;&gt;1,"Other amount is invalid",IF(J311&lt;&gt;0,"Amount differs","Matched")))))))</x:f>
      </x:c>
      <x:c r="L311" t="str">
        <x:f>IF(COUNTA(A311:F311)=0,"",LEN(A311)&amp;":"&amp;A311&amp;LEN(B311)&amp;":"&amp;B311&amp;LEN(C311)&amp;":"&amp;C311&amp;LEN(D311)&amp;":"&amp;D311)</x:f>
      </x:c>
      <x:c r="M311" t="str">
        <x:f>IF(COUNTA(A311:F311)=0,"",IF(ISNUMBER(E311),1,0))</x:f>
      </x:c>
    </x:row>
    <x:row r="312">
      <x:c r="A312" s="11"/>
      <x:c r="B312" s="11"/>
      <x:c r="C312" s="11"/>
      <x:c r="D312" s="11"/>
      <x:c r="E312" s="12"/>
      <x:c r="F312" s="10"/>
      <x:c r="G312" s="2" t="str">
        <x:f>IF(COUNTA(A312:F312)=0,"",COUNTIFS('External Data'!$L$2:$L$1001,SUBSTITUTE(SUBSTITUTE(SUBSTITUTE(L312,"~","~~"),"*","~*"),"?","~?")))</x:f>
      </x:c>
      <x:c r="H312" s="2" t="str">
        <x:f>IF(COUNTA(A312:F312)=0,"",COUNTIFS('App Data'!$L$2:$L$1001,SUBSTITUTE(SUBSTITUTE(SUBSTITUTE(L312,"~","~~"),"*","~*"),"?","~?")))</x:f>
      </x:c>
      <x:c r="I312" s="13" t="str">
        <x:f>IF(OR(H312&lt;&gt;1,G312&lt;&gt;1),"",SUMIFS('App Data'!$E$2:$E$1001,'App Data'!$L$2:$L$1001,SUBSTITUTE(SUBSTITUTE(SUBSTITUTE(L312,"~","~~"),"*","~*"),"?","~?")))</x:f>
      </x:c>
      <x:c r="J312" s="13" t="str">
        <x:f>IF(OR(NOT(ISNUMBER(E312)),NOT(ISNUMBER(I312))),"",ROUND(E312-I312,2))</x:f>
      </x:c>
      <x:c r="K312" s="2" t="str">
        <x:f>IF(COUNTA(A312:F312)=0,"",IF(OR(A312="",B312="",C312="",D312="",NOT(ISNUMBER(E312))),"Missing / invalid input",IF(G312&gt;1,"Duplicate key in this source",IF(H312=0,"Missing in other source",IF(H312&gt;1,"Duplicate in other source",IF(SUMIFS('App Data'!$M$2:$M$1001,'App Data'!$L$2:$L$1001,SUBSTITUTE(SUBSTITUTE(SUBSTITUTE(L312,"~","~~"),"*","~*"),"?","~?"))&lt;&gt;1,"Other amount is invalid",IF(J312&lt;&gt;0,"Amount differs","Matched")))))))</x:f>
      </x:c>
      <x:c r="L312" t="str">
        <x:f>IF(COUNTA(A312:F312)=0,"",LEN(A312)&amp;":"&amp;A312&amp;LEN(B312)&amp;":"&amp;B312&amp;LEN(C312)&amp;":"&amp;C312&amp;LEN(D312)&amp;":"&amp;D312)</x:f>
      </x:c>
      <x:c r="M312" t="str">
        <x:f>IF(COUNTA(A312:F312)=0,"",IF(ISNUMBER(E312),1,0))</x:f>
      </x:c>
    </x:row>
    <x:row r="313">
      <x:c r="A313" s="11"/>
      <x:c r="B313" s="11"/>
      <x:c r="C313" s="11"/>
      <x:c r="D313" s="11"/>
      <x:c r="E313" s="12"/>
      <x:c r="F313" s="10"/>
      <x:c r="G313" s="2" t="str">
        <x:f>IF(COUNTA(A313:F313)=0,"",COUNTIFS('External Data'!$L$2:$L$1001,SUBSTITUTE(SUBSTITUTE(SUBSTITUTE(L313,"~","~~"),"*","~*"),"?","~?")))</x:f>
      </x:c>
      <x:c r="H313" s="2" t="str">
        <x:f>IF(COUNTA(A313:F313)=0,"",COUNTIFS('App Data'!$L$2:$L$1001,SUBSTITUTE(SUBSTITUTE(SUBSTITUTE(L313,"~","~~"),"*","~*"),"?","~?")))</x:f>
      </x:c>
      <x:c r="I313" s="13" t="str">
        <x:f>IF(OR(H313&lt;&gt;1,G313&lt;&gt;1),"",SUMIFS('App Data'!$E$2:$E$1001,'App Data'!$L$2:$L$1001,SUBSTITUTE(SUBSTITUTE(SUBSTITUTE(L313,"~","~~"),"*","~*"),"?","~?")))</x:f>
      </x:c>
      <x:c r="J313" s="13" t="str">
        <x:f>IF(OR(NOT(ISNUMBER(E313)),NOT(ISNUMBER(I313))),"",ROUND(E313-I313,2))</x:f>
      </x:c>
      <x:c r="K313" s="2" t="str">
        <x:f>IF(COUNTA(A313:F313)=0,"",IF(OR(A313="",B313="",C313="",D313="",NOT(ISNUMBER(E313))),"Missing / invalid input",IF(G313&gt;1,"Duplicate key in this source",IF(H313=0,"Missing in other source",IF(H313&gt;1,"Duplicate in other source",IF(SUMIFS('App Data'!$M$2:$M$1001,'App Data'!$L$2:$L$1001,SUBSTITUTE(SUBSTITUTE(SUBSTITUTE(L313,"~","~~"),"*","~*"),"?","~?"))&lt;&gt;1,"Other amount is invalid",IF(J313&lt;&gt;0,"Amount differs","Matched")))))))</x:f>
      </x:c>
      <x:c r="L313" t="str">
        <x:f>IF(COUNTA(A313:F313)=0,"",LEN(A313)&amp;":"&amp;A313&amp;LEN(B313)&amp;":"&amp;B313&amp;LEN(C313)&amp;":"&amp;C313&amp;LEN(D313)&amp;":"&amp;D313)</x:f>
      </x:c>
      <x:c r="M313" t="str">
        <x:f>IF(COUNTA(A313:F313)=0,"",IF(ISNUMBER(E313),1,0))</x:f>
      </x:c>
    </x:row>
    <x:row r="314">
      <x:c r="A314" s="11"/>
      <x:c r="B314" s="11"/>
      <x:c r="C314" s="11"/>
      <x:c r="D314" s="11"/>
      <x:c r="E314" s="12"/>
      <x:c r="F314" s="10"/>
      <x:c r="G314" s="2" t="str">
        <x:f>IF(COUNTA(A314:F314)=0,"",COUNTIFS('External Data'!$L$2:$L$1001,SUBSTITUTE(SUBSTITUTE(SUBSTITUTE(L314,"~","~~"),"*","~*"),"?","~?")))</x:f>
      </x:c>
      <x:c r="H314" s="2" t="str">
        <x:f>IF(COUNTA(A314:F314)=0,"",COUNTIFS('App Data'!$L$2:$L$1001,SUBSTITUTE(SUBSTITUTE(SUBSTITUTE(L314,"~","~~"),"*","~*"),"?","~?")))</x:f>
      </x:c>
      <x:c r="I314" s="13" t="str">
        <x:f>IF(OR(H314&lt;&gt;1,G314&lt;&gt;1),"",SUMIFS('App Data'!$E$2:$E$1001,'App Data'!$L$2:$L$1001,SUBSTITUTE(SUBSTITUTE(SUBSTITUTE(L314,"~","~~"),"*","~*"),"?","~?")))</x:f>
      </x:c>
      <x:c r="J314" s="13" t="str">
        <x:f>IF(OR(NOT(ISNUMBER(E314)),NOT(ISNUMBER(I314))),"",ROUND(E314-I314,2))</x:f>
      </x:c>
      <x:c r="K314" s="2" t="str">
        <x:f>IF(COUNTA(A314:F314)=0,"",IF(OR(A314="",B314="",C314="",D314="",NOT(ISNUMBER(E314))),"Missing / invalid input",IF(G314&gt;1,"Duplicate key in this source",IF(H314=0,"Missing in other source",IF(H314&gt;1,"Duplicate in other source",IF(SUMIFS('App Data'!$M$2:$M$1001,'App Data'!$L$2:$L$1001,SUBSTITUTE(SUBSTITUTE(SUBSTITUTE(L314,"~","~~"),"*","~*"),"?","~?"))&lt;&gt;1,"Other amount is invalid",IF(J314&lt;&gt;0,"Amount differs","Matched")))))))</x:f>
      </x:c>
      <x:c r="L314" t="str">
        <x:f>IF(COUNTA(A314:F314)=0,"",LEN(A314)&amp;":"&amp;A314&amp;LEN(B314)&amp;":"&amp;B314&amp;LEN(C314)&amp;":"&amp;C314&amp;LEN(D314)&amp;":"&amp;D314)</x:f>
      </x:c>
      <x:c r="M314" t="str">
        <x:f>IF(COUNTA(A314:F314)=0,"",IF(ISNUMBER(E314),1,0))</x:f>
      </x:c>
    </x:row>
    <x:row r="315">
      <x:c r="A315" s="11"/>
      <x:c r="B315" s="11"/>
      <x:c r="C315" s="11"/>
      <x:c r="D315" s="11"/>
      <x:c r="E315" s="12"/>
      <x:c r="F315" s="10"/>
      <x:c r="G315" s="2" t="str">
        <x:f>IF(COUNTA(A315:F315)=0,"",COUNTIFS('External Data'!$L$2:$L$1001,SUBSTITUTE(SUBSTITUTE(SUBSTITUTE(L315,"~","~~"),"*","~*"),"?","~?")))</x:f>
      </x:c>
      <x:c r="H315" s="2" t="str">
        <x:f>IF(COUNTA(A315:F315)=0,"",COUNTIFS('App Data'!$L$2:$L$1001,SUBSTITUTE(SUBSTITUTE(SUBSTITUTE(L315,"~","~~"),"*","~*"),"?","~?")))</x:f>
      </x:c>
      <x:c r="I315" s="13" t="str">
        <x:f>IF(OR(H315&lt;&gt;1,G315&lt;&gt;1),"",SUMIFS('App Data'!$E$2:$E$1001,'App Data'!$L$2:$L$1001,SUBSTITUTE(SUBSTITUTE(SUBSTITUTE(L315,"~","~~"),"*","~*"),"?","~?")))</x:f>
      </x:c>
      <x:c r="J315" s="13" t="str">
        <x:f>IF(OR(NOT(ISNUMBER(E315)),NOT(ISNUMBER(I315))),"",ROUND(E315-I315,2))</x:f>
      </x:c>
      <x:c r="K315" s="2" t="str">
        <x:f>IF(COUNTA(A315:F315)=0,"",IF(OR(A315="",B315="",C315="",D315="",NOT(ISNUMBER(E315))),"Missing / invalid input",IF(G315&gt;1,"Duplicate key in this source",IF(H315=0,"Missing in other source",IF(H315&gt;1,"Duplicate in other source",IF(SUMIFS('App Data'!$M$2:$M$1001,'App Data'!$L$2:$L$1001,SUBSTITUTE(SUBSTITUTE(SUBSTITUTE(L315,"~","~~"),"*","~*"),"?","~?"))&lt;&gt;1,"Other amount is invalid",IF(J315&lt;&gt;0,"Amount differs","Matched")))))))</x:f>
      </x:c>
      <x:c r="L315" t="str">
        <x:f>IF(COUNTA(A315:F315)=0,"",LEN(A315)&amp;":"&amp;A315&amp;LEN(B315)&amp;":"&amp;B315&amp;LEN(C315)&amp;":"&amp;C315&amp;LEN(D315)&amp;":"&amp;D315)</x:f>
      </x:c>
      <x:c r="M315" t="str">
        <x:f>IF(COUNTA(A315:F315)=0,"",IF(ISNUMBER(E315),1,0))</x:f>
      </x:c>
    </x:row>
    <x:row r="316">
      <x:c r="A316" s="11"/>
      <x:c r="B316" s="11"/>
      <x:c r="C316" s="11"/>
      <x:c r="D316" s="11"/>
      <x:c r="E316" s="12"/>
      <x:c r="F316" s="10"/>
      <x:c r="G316" s="2" t="str">
        <x:f>IF(COUNTA(A316:F316)=0,"",COUNTIFS('External Data'!$L$2:$L$1001,SUBSTITUTE(SUBSTITUTE(SUBSTITUTE(L316,"~","~~"),"*","~*"),"?","~?")))</x:f>
      </x:c>
      <x:c r="H316" s="2" t="str">
        <x:f>IF(COUNTA(A316:F316)=0,"",COUNTIFS('App Data'!$L$2:$L$1001,SUBSTITUTE(SUBSTITUTE(SUBSTITUTE(L316,"~","~~"),"*","~*"),"?","~?")))</x:f>
      </x:c>
      <x:c r="I316" s="13" t="str">
        <x:f>IF(OR(H316&lt;&gt;1,G316&lt;&gt;1),"",SUMIFS('App Data'!$E$2:$E$1001,'App Data'!$L$2:$L$1001,SUBSTITUTE(SUBSTITUTE(SUBSTITUTE(L316,"~","~~"),"*","~*"),"?","~?")))</x:f>
      </x:c>
      <x:c r="J316" s="13" t="str">
        <x:f>IF(OR(NOT(ISNUMBER(E316)),NOT(ISNUMBER(I316))),"",ROUND(E316-I316,2))</x:f>
      </x:c>
      <x:c r="K316" s="2" t="str">
        <x:f>IF(COUNTA(A316:F316)=0,"",IF(OR(A316="",B316="",C316="",D316="",NOT(ISNUMBER(E316))),"Missing / invalid input",IF(G316&gt;1,"Duplicate key in this source",IF(H316=0,"Missing in other source",IF(H316&gt;1,"Duplicate in other source",IF(SUMIFS('App Data'!$M$2:$M$1001,'App Data'!$L$2:$L$1001,SUBSTITUTE(SUBSTITUTE(SUBSTITUTE(L316,"~","~~"),"*","~*"),"?","~?"))&lt;&gt;1,"Other amount is invalid",IF(J316&lt;&gt;0,"Amount differs","Matched")))))))</x:f>
      </x:c>
      <x:c r="L316" t="str">
        <x:f>IF(COUNTA(A316:F316)=0,"",LEN(A316)&amp;":"&amp;A316&amp;LEN(B316)&amp;":"&amp;B316&amp;LEN(C316)&amp;":"&amp;C316&amp;LEN(D316)&amp;":"&amp;D316)</x:f>
      </x:c>
      <x:c r="M316" t="str">
        <x:f>IF(COUNTA(A316:F316)=0,"",IF(ISNUMBER(E316),1,0))</x:f>
      </x:c>
    </x:row>
    <x:row r="317">
      <x:c r="A317" s="11"/>
      <x:c r="B317" s="11"/>
      <x:c r="C317" s="11"/>
      <x:c r="D317" s="11"/>
      <x:c r="E317" s="12"/>
      <x:c r="F317" s="10"/>
      <x:c r="G317" s="2" t="str">
        <x:f>IF(COUNTA(A317:F317)=0,"",COUNTIFS('External Data'!$L$2:$L$1001,SUBSTITUTE(SUBSTITUTE(SUBSTITUTE(L317,"~","~~"),"*","~*"),"?","~?")))</x:f>
      </x:c>
      <x:c r="H317" s="2" t="str">
        <x:f>IF(COUNTA(A317:F317)=0,"",COUNTIFS('App Data'!$L$2:$L$1001,SUBSTITUTE(SUBSTITUTE(SUBSTITUTE(L317,"~","~~"),"*","~*"),"?","~?")))</x:f>
      </x:c>
      <x:c r="I317" s="13" t="str">
        <x:f>IF(OR(H317&lt;&gt;1,G317&lt;&gt;1),"",SUMIFS('App Data'!$E$2:$E$1001,'App Data'!$L$2:$L$1001,SUBSTITUTE(SUBSTITUTE(SUBSTITUTE(L317,"~","~~"),"*","~*"),"?","~?")))</x:f>
      </x:c>
      <x:c r="J317" s="13" t="str">
        <x:f>IF(OR(NOT(ISNUMBER(E317)),NOT(ISNUMBER(I317))),"",ROUND(E317-I317,2))</x:f>
      </x:c>
      <x:c r="K317" s="2" t="str">
        <x:f>IF(COUNTA(A317:F317)=0,"",IF(OR(A317="",B317="",C317="",D317="",NOT(ISNUMBER(E317))),"Missing / invalid input",IF(G317&gt;1,"Duplicate key in this source",IF(H317=0,"Missing in other source",IF(H317&gt;1,"Duplicate in other source",IF(SUMIFS('App Data'!$M$2:$M$1001,'App Data'!$L$2:$L$1001,SUBSTITUTE(SUBSTITUTE(SUBSTITUTE(L317,"~","~~"),"*","~*"),"?","~?"))&lt;&gt;1,"Other amount is invalid",IF(J317&lt;&gt;0,"Amount differs","Matched")))))))</x:f>
      </x:c>
      <x:c r="L317" t="str">
        <x:f>IF(COUNTA(A317:F317)=0,"",LEN(A317)&amp;":"&amp;A317&amp;LEN(B317)&amp;":"&amp;B317&amp;LEN(C317)&amp;":"&amp;C317&amp;LEN(D317)&amp;":"&amp;D317)</x:f>
      </x:c>
      <x:c r="M317" t="str">
        <x:f>IF(COUNTA(A317:F317)=0,"",IF(ISNUMBER(E317),1,0))</x:f>
      </x:c>
    </x:row>
    <x:row r="318">
      <x:c r="A318" s="11"/>
      <x:c r="B318" s="11"/>
      <x:c r="C318" s="11"/>
      <x:c r="D318" s="11"/>
      <x:c r="E318" s="12"/>
      <x:c r="F318" s="10"/>
      <x:c r="G318" s="2" t="str">
        <x:f>IF(COUNTA(A318:F318)=0,"",COUNTIFS('External Data'!$L$2:$L$1001,SUBSTITUTE(SUBSTITUTE(SUBSTITUTE(L318,"~","~~"),"*","~*"),"?","~?")))</x:f>
      </x:c>
      <x:c r="H318" s="2" t="str">
        <x:f>IF(COUNTA(A318:F318)=0,"",COUNTIFS('App Data'!$L$2:$L$1001,SUBSTITUTE(SUBSTITUTE(SUBSTITUTE(L318,"~","~~"),"*","~*"),"?","~?")))</x:f>
      </x:c>
      <x:c r="I318" s="13" t="str">
        <x:f>IF(OR(H318&lt;&gt;1,G318&lt;&gt;1),"",SUMIFS('App Data'!$E$2:$E$1001,'App Data'!$L$2:$L$1001,SUBSTITUTE(SUBSTITUTE(SUBSTITUTE(L318,"~","~~"),"*","~*"),"?","~?")))</x:f>
      </x:c>
      <x:c r="J318" s="13" t="str">
        <x:f>IF(OR(NOT(ISNUMBER(E318)),NOT(ISNUMBER(I318))),"",ROUND(E318-I318,2))</x:f>
      </x:c>
      <x:c r="K318" s="2" t="str">
        <x:f>IF(COUNTA(A318:F318)=0,"",IF(OR(A318="",B318="",C318="",D318="",NOT(ISNUMBER(E318))),"Missing / invalid input",IF(G318&gt;1,"Duplicate key in this source",IF(H318=0,"Missing in other source",IF(H318&gt;1,"Duplicate in other source",IF(SUMIFS('App Data'!$M$2:$M$1001,'App Data'!$L$2:$L$1001,SUBSTITUTE(SUBSTITUTE(SUBSTITUTE(L318,"~","~~"),"*","~*"),"?","~?"))&lt;&gt;1,"Other amount is invalid",IF(J318&lt;&gt;0,"Amount differs","Matched")))))))</x:f>
      </x:c>
      <x:c r="L318" t="str">
        <x:f>IF(COUNTA(A318:F318)=0,"",LEN(A318)&amp;":"&amp;A318&amp;LEN(B318)&amp;":"&amp;B318&amp;LEN(C318)&amp;":"&amp;C318&amp;LEN(D318)&amp;":"&amp;D318)</x:f>
      </x:c>
      <x:c r="M318" t="str">
        <x:f>IF(COUNTA(A318:F318)=0,"",IF(ISNUMBER(E318),1,0))</x:f>
      </x:c>
    </x:row>
    <x:row r="319">
      <x:c r="A319" s="11"/>
      <x:c r="B319" s="11"/>
      <x:c r="C319" s="11"/>
      <x:c r="D319" s="11"/>
      <x:c r="E319" s="12"/>
      <x:c r="F319" s="10"/>
      <x:c r="G319" s="2" t="str">
        <x:f>IF(COUNTA(A319:F319)=0,"",COUNTIFS('External Data'!$L$2:$L$1001,SUBSTITUTE(SUBSTITUTE(SUBSTITUTE(L319,"~","~~"),"*","~*"),"?","~?")))</x:f>
      </x:c>
      <x:c r="H319" s="2" t="str">
        <x:f>IF(COUNTA(A319:F319)=0,"",COUNTIFS('App Data'!$L$2:$L$1001,SUBSTITUTE(SUBSTITUTE(SUBSTITUTE(L319,"~","~~"),"*","~*"),"?","~?")))</x:f>
      </x:c>
      <x:c r="I319" s="13" t="str">
        <x:f>IF(OR(H319&lt;&gt;1,G319&lt;&gt;1),"",SUMIFS('App Data'!$E$2:$E$1001,'App Data'!$L$2:$L$1001,SUBSTITUTE(SUBSTITUTE(SUBSTITUTE(L319,"~","~~"),"*","~*"),"?","~?")))</x:f>
      </x:c>
      <x:c r="J319" s="13" t="str">
        <x:f>IF(OR(NOT(ISNUMBER(E319)),NOT(ISNUMBER(I319))),"",ROUND(E319-I319,2))</x:f>
      </x:c>
      <x:c r="K319" s="2" t="str">
        <x:f>IF(COUNTA(A319:F319)=0,"",IF(OR(A319="",B319="",C319="",D319="",NOT(ISNUMBER(E319))),"Missing / invalid input",IF(G319&gt;1,"Duplicate key in this source",IF(H319=0,"Missing in other source",IF(H319&gt;1,"Duplicate in other source",IF(SUMIFS('App Data'!$M$2:$M$1001,'App Data'!$L$2:$L$1001,SUBSTITUTE(SUBSTITUTE(SUBSTITUTE(L319,"~","~~"),"*","~*"),"?","~?"))&lt;&gt;1,"Other amount is invalid",IF(J319&lt;&gt;0,"Amount differs","Matched")))))))</x:f>
      </x:c>
      <x:c r="L319" t="str">
        <x:f>IF(COUNTA(A319:F319)=0,"",LEN(A319)&amp;":"&amp;A319&amp;LEN(B319)&amp;":"&amp;B319&amp;LEN(C319)&amp;":"&amp;C319&amp;LEN(D319)&amp;":"&amp;D319)</x:f>
      </x:c>
      <x:c r="M319" t="str">
        <x:f>IF(COUNTA(A319:F319)=0,"",IF(ISNUMBER(E319),1,0))</x:f>
      </x:c>
    </x:row>
    <x:row r="320">
      <x:c r="A320" s="11"/>
      <x:c r="B320" s="11"/>
      <x:c r="C320" s="11"/>
      <x:c r="D320" s="11"/>
      <x:c r="E320" s="12"/>
      <x:c r="F320" s="10"/>
      <x:c r="G320" s="2" t="str">
        <x:f>IF(COUNTA(A320:F320)=0,"",COUNTIFS('External Data'!$L$2:$L$1001,SUBSTITUTE(SUBSTITUTE(SUBSTITUTE(L320,"~","~~"),"*","~*"),"?","~?")))</x:f>
      </x:c>
      <x:c r="H320" s="2" t="str">
        <x:f>IF(COUNTA(A320:F320)=0,"",COUNTIFS('App Data'!$L$2:$L$1001,SUBSTITUTE(SUBSTITUTE(SUBSTITUTE(L320,"~","~~"),"*","~*"),"?","~?")))</x:f>
      </x:c>
      <x:c r="I320" s="13" t="str">
        <x:f>IF(OR(H320&lt;&gt;1,G320&lt;&gt;1),"",SUMIFS('App Data'!$E$2:$E$1001,'App Data'!$L$2:$L$1001,SUBSTITUTE(SUBSTITUTE(SUBSTITUTE(L320,"~","~~"),"*","~*"),"?","~?")))</x:f>
      </x:c>
      <x:c r="J320" s="13" t="str">
        <x:f>IF(OR(NOT(ISNUMBER(E320)),NOT(ISNUMBER(I320))),"",ROUND(E320-I320,2))</x:f>
      </x:c>
      <x:c r="K320" s="2" t="str">
        <x:f>IF(COUNTA(A320:F320)=0,"",IF(OR(A320="",B320="",C320="",D320="",NOT(ISNUMBER(E320))),"Missing / invalid input",IF(G320&gt;1,"Duplicate key in this source",IF(H320=0,"Missing in other source",IF(H320&gt;1,"Duplicate in other source",IF(SUMIFS('App Data'!$M$2:$M$1001,'App Data'!$L$2:$L$1001,SUBSTITUTE(SUBSTITUTE(SUBSTITUTE(L320,"~","~~"),"*","~*"),"?","~?"))&lt;&gt;1,"Other amount is invalid",IF(J320&lt;&gt;0,"Amount differs","Matched")))))))</x:f>
      </x:c>
      <x:c r="L320" t="str">
        <x:f>IF(COUNTA(A320:F320)=0,"",LEN(A320)&amp;":"&amp;A320&amp;LEN(B320)&amp;":"&amp;B320&amp;LEN(C320)&amp;":"&amp;C320&amp;LEN(D320)&amp;":"&amp;D320)</x:f>
      </x:c>
      <x:c r="M320" t="str">
        <x:f>IF(COUNTA(A320:F320)=0,"",IF(ISNUMBER(E320),1,0))</x:f>
      </x:c>
    </x:row>
    <x:row r="321">
      <x:c r="A321" s="11"/>
      <x:c r="B321" s="11"/>
      <x:c r="C321" s="11"/>
      <x:c r="D321" s="11"/>
      <x:c r="E321" s="12"/>
      <x:c r="F321" s="10"/>
      <x:c r="G321" s="2" t="str">
        <x:f>IF(COUNTA(A321:F321)=0,"",COUNTIFS('External Data'!$L$2:$L$1001,SUBSTITUTE(SUBSTITUTE(SUBSTITUTE(L321,"~","~~"),"*","~*"),"?","~?")))</x:f>
      </x:c>
      <x:c r="H321" s="2" t="str">
        <x:f>IF(COUNTA(A321:F321)=0,"",COUNTIFS('App Data'!$L$2:$L$1001,SUBSTITUTE(SUBSTITUTE(SUBSTITUTE(L321,"~","~~"),"*","~*"),"?","~?")))</x:f>
      </x:c>
      <x:c r="I321" s="13" t="str">
        <x:f>IF(OR(H321&lt;&gt;1,G321&lt;&gt;1),"",SUMIFS('App Data'!$E$2:$E$1001,'App Data'!$L$2:$L$1001,SUBSTITUTE(SUBSTITUTE(SUBSTITUTE(L321,"~","~~"),"*","~*"),"?","~?")))</x:f>
      </x:c>
      <x:c r="J321" s="13" t="str">
        <x:f>IF(OR(NOT(ISNUMBER(E321)),NOT(ISNUMBER(I321))),"",ROUND(E321-I321,2))</x:f>
      </x:c>
      <x:c r="K321" s="2" t="str">
        <x:f>IF(COUNTA(A321:F321)=0,"",IF(OR(A321="",B321="",C321="",D321="",NOT(ISNUMBER(E321))),"Missing / invalid input",IF(G321&gt;1,"Duplicate key in this source",IF(H321=0,"Missing in other source",IF(H321&gt;1,"Duplicate in other source",IF(SUMIFS('App Data'!$M$2:$M$1001,'App Data'!$L$2:$L$1001,SUBSTITUTE(SUBSTITUTE(SUBSTITUTE(L321,"~","~~"),"*","~*"),"?","~?"))&lt;&gt;1,"Other amount is invalid",IF(J321&lt;&gt;0,"Amount differs","Matched")))))))</x:f>
      </x:c>
      <x:c r="L321" t="str">
        <x:f>IF(COUNTA(A321:F321)=0,"",LEN(A321)&amp;":"&amp;A321&amp;LEN(B321)&amp;":"&amp;B321&amp;LEN(C321)&amp;":"&amp;C321&amp;LEN(D321)&amp;":"&amp;D321)</x:f>
      </x:c>
      <x:c r="M321" t="str">
        <x:f>IF(COUNTA(A321:F321)=0,"",IF(ISNUMBER(E321),1,0))</x:f>
      </x:c>
    </x:row>
    <x:row r="322">
      <x:c r="A322" s="11"/>
      <x:c r="B322" s="11"/>
      <x:c r="C322" s="11"/>
      <x:c r="D322" s="11"/>
      <x:c r="E322" s="12"/>
      <x:c r="F322" s="10"/>
      <x:c r="G322" s="2" t="str">
        <x:f>IF(COUNTA(A322:F322)=0,"",COUNTIFS('External Data'!$L$2:$L$1001,SUBSTITUTE(SUBSTITUTE(SUBSTITUTE(L322,"~","~~"),"*","~*"),"?","~?")))</x:f>
      </x:c>
      <x:c r="H322" s="2" t="str">
        <x:f>IF(COUNTA(A322:F322)=0,"",COUNTIFS('App Data'!$L$2:$L$1001,SUBSTITUTE(SUBSTITUTE(SUBSTITUTE(L322,"~","~~"),"*","~*"),"?","~?")))</x:f>
      </x:c>
      <x:c r="I322" s="13" t="str">
        <x:f>IF(OR(H322&lt;&gt;1,G322&lt;&gt;1),"",SUMIFS('App Data'!$E$2:$E$1001,'App Data'!$L$2:$L$1001,SUBSTITUTE(SUBSTITUTE(SUBSTITUTE(L322,"~","~~"),"*","~*"),"?","~?")))</x:f>
      </x:c>
      <x:c r="J322" s="13" t="str">
        <x:f>IF(OR(NOT(ISNUMBER(E322)),NOT(ISNUMBER(I322))),"",ROUND(E322-I322,2))</x:f>
      </x:c>
      <x:c r="K322" s="2" t="str">
        <x:f>IF(COUNTA(A322:F322)=0,"",IF(OR(A322="",B322="",C322="",D322="",NOT(ISNUMBER(E322))),"Missing / invalid input",IF(G322&gt;1,"Duplicate key in this source",IF(H322=0,"Missing in other source",IF(H322&gt;1,"Duplicate in other source",IF(SUMIFS('App Data'!$M$2:$M$1001,'App Data'!$L$2:$L$1001,SUBSTITUTE(SUBSTITUTE(SUBSTITUTE(L322,"~","~~"),"*","~*"),"?","~?"))&lt;&gt;1,"Other amount is invalid",IF(J322&lt;&gt;0,"Amount differs","Matched")))))))</x:f>
      </x:c>
      <x:c r="L322" t="str">
        <x:f>IF(COUNTA(A322:F322)=0,"",LEN(A322)&amp;":"&amp;A322&amp;LEN(B322)&amp;":"&amp;B322&amp;LEN(C322)&amp;":"&amp;C322&amp;LEN(D322)&amp;":"&amp;D322)</x:f>
      </x:c>
      <x:c r="M322" t="str">
        <x:f>IF(COUNTA(A322:F322)=0,"",IF(ISNUMBER(E322),1,0))</x:f>
      </x:c>
    </x:row>
    <x:row r="323">
      <x:c r="A323" s="11"/>
      <x:c r="B323" s="11"/>
      <x:c r="C323" s="11"/>
      <x:c r="D323" s="11"/>
      <x:c r="E323" s="12"/>
      <x:c r="F323" s="10"/>
      <x:c r="G323" s="2" t="str">
        <x:f>IF(COUNTA(A323:F323)=0,"",COUNTIFS('External Data'!$L$2:$L$1001,SUBSTITUTE(SUBSTITUTE(SUBSTITUTE(L323,"~","~~"),"*","~*"),"?","~?")))</x:f>
      </x:c>
      <x:c r="H323" s="2" t="str">
        <x:f>IF(COUNTA(A323:F323)=0,"",COUNTIFS('App Data'!$L$2:$L$1001,SUBSTITUTE(SUBSTITUTE(SUBSTITUTE(L323,"~","~~"),"*","~*"),"?","~?")))</x:f>
      </x:c>
      <x:c r="I323" s="13" t="str">
        <x:f>IF(OR(H323&lt;&gt;1,G323&lt;&gt;1),"",SUMIFS('App Data'!$E$2:$E$1001,'App Data'!$L$2:$L$1001,SUBSTITUTE(SUBSTITUTE(SUBSTITUTE(L323,"~","~~"),"*","~*"),"?","~?")))</x:f>
      </x:c>
      <x:c r="J323" s="13" t="str">
        <x:f>IF(OR(NOT(ISNUMBER(E323)),NOT(ISNUMBER(I323))),"",ROUND(E323-I323,2))</x:f>
      </x:c>
      <x:c r="K323" s="2" t="str">
        <x:f>IF(COUNTA(A323:F323)=0,"",IF(OR(A323="",B323="",C323="",D323="",NOT(ISNUMBER(E323))),"Missing / invalid input",IF(G323&gt;1,"Duplicate key in this source",IF(H323=0,"Missing in other source",IF(H323&gt;1,"Duplicate in other source",IF(SUMIFS('App Data'!$M$2:$M$1001,'App Data'!$L$2:$L$1001,SUBSTITUTE(SUBSTITUTE(SUBSTITUTE(L323,"~","~~"),"*","~*"),"?","~?"))&lt;&gt;1,"Other amount is invalid",IF(J323&lt;&gt;0,"Amount differs","Matched")))))))</x:f>
      </x:c>
      <x:c r="L323" t="str">
        <x:f>IF(COUNTA(A323:F323)=0,"",LEN(A323)&amp;":"&amp;A323&amp;LEN(B323)&amp;":"&amp;B323&amp;LEN(C323)&amp;":"&amp;C323&amp;LEN(D323)&amp;":"&amp;D323)</x:f>
      </x:c>
      <x:c r="M323" t="str">
        <x:f>IF(COUNTA(A323:F323)=0,"",IF(ISNUMBER(E323),1,0))</x:f>
      </x:c>
    </x:row>
    <x:row r="324">
      <x:c r="A324" s="11"/>
      <x:c r="B324" s="11"/>
      <x:c r="C324" s="11"/>
      <x:c r="D324" s="11"/>
      <x:c r="E324" s="12"/>
      <x:c r="F324" s="10"/>
      <x:c r="G324" s="2" t="str">
        <x:f>IF(COUNTA(A324:F324)=0,"",COUNTIFS('External Data'!$L$2:$L$1001,SUBSTITUTE(SUBSTITUTE(SUBSTITUTE(L324,"~","~~"),"*","~*"),"?","~?")))</x:f>
      </x:c>
      <x:c r="H324" s="2" t="str">
        <x:f>IF(COUNTA(A324:F324)=0,"",COUNTIFS('App Data'!$L$2:$L$1001,SUBSTITUTE(SUBSTITUTE(SUBSTITUTE(L324,"~","~~"),"*","~*"),"?","~?")))</x:f>
      </x:c>
      <x:c r="I324" s="13" t="str">
        <x:f>IF(OR(H324&lt;&gt;1,G324&lt;&gt;1),"",SUMIFS('App Data'!$E$2:$E$1001,'App Data'!$L$2:$L$1001,SUBSTITUTE(SUBSTITUTE(SUBSTITUTE(L324,"~","~~"),"*","~*"),"?","~?")))</x:f>
      </x:c>
      <x:c r="J324" s="13" t="str">
        <x:f>IF(OR(NOT(ISNUMBER(E324)),NOT(ISNUMBER(I324))),"",ROUND(E324-I324,2))</x:f>
      </x:c>
      <x:c r="K324" s="2" t="str">
        <x:f>IF(COUNTA(A324:F324)=0,"",IF(OR(A324="",B324="",C324="",D324="",NOT(ISNUMBER(E324))),"Missing / invalid input",IF(G324&gt;1,"Duplicate key in this source",IF(H324=0,"Missing in other source",IF(H324&gt;1,"Duplicate in other source",IF(SUMIFS('App Data'!$M$2:$M$1001,'App Data'!$L$2:$L$1001,SUBSTITUTE(SUBSTITUTE(SUBSTITUTE(L324,"~","~~"),"*","~*"),"?","~?"))&lt;&gt;1,"Other amount is invalid",IF(J324&lt;&gt;0,"Amount differs","Matched")))))))</x:f>
      </x:c>
      <x:c r="L324" t="str">
        <x:f>IF(COUNTA(A324:F324)=0,"",LEN(A324)&amp;":"&amp;A324&amp;LEN(B324)&amp;":"&amp;B324&amp;LEN(C324)&amp;":"&amp;C324&amp;LEN(D324)&amp;":"&amp;D324)</x:f>
      </x:c>
      <x:c r="M324" t="str">
        <x:f>IF(COUNTA(A324:F324)=0,"",IF(ISNUMBER(E324),1,0))</x:f>
      </x:c>
    </x:row>
    <x:row r="325">
      <x:c r="A325" s="11"/>
      <x:c r="B325" s="11"/>
      <x:c r="C325" s="11"/>
      <x:c r="D325" s="11"/>
      <x:c r="E325" s="12"/>
      <x:c r="F325" s="10"/>
      <x:c r="G325" s="2" t="str">
        <x:f>IF(COUNTA(A325:F325)=0,"",COUNTIFS('External Data'!$L$2:$L$1001,SUBSTITUTE(SUBSTITUTE(SUBSTITUTE(L325,"~","~~"),"*","~*"),"?","~?")))</x:f>
      </x:c>
      <x:c r="H325" s="2" t="str">
        <x:f>IF(COUNTA(A325:F325)=0,"",COUNTIFS('App Data'!$L$2:$L$1001,SUBSTITUTE(SUBSTITUTE(SUBSTITUTE(L325,"~","~~"),"*","~*"),"?","~?")))</x:f>
      </x:c>
      <x:c r="I325" s="13" t="str">
        <x:f>IF(OR(H325&lt;&gt;1,G325&lt;&gt;1),"",SUMIFS('App Data'!$E$2:$E$1001,'App Data'!$L$2:$L$1001,SUBSTITUTE(SUBSTITUTE(SUBSTITUTE(L325,"~","~~"),"*","~*"),"?","~?")))</x:f>
      </x:c>
      <x:c r="J325" s="13" t="str">
        <x:f>IF(OR(NOT(ISNUMBER(E325)),NOT(ISNUMBER(I325))),"",ROUND(E325-I325,2))</x:f>
      </x:c>
      <x:c r="K325" s="2" t="str">
        <x:f>IF(COUNTA(A325:F325)=0,"",IF(OR(A325="",B325="",C325="",D325="",NOT(ISNUMBER(E325))),"Missing / invalid input",IF(G325&gt;1,"Duplicate key in this source",IF(H325=0,"Missing in other source",IF(H325&gt;1,"Duplicate in other source",IF(SUMIFS('App Data'!$M$2:$M$1001,'App Data'!$L$2:$L$1001,SUBSTITUTE(SUBSTITUTE(SUBSTITUTE(L325,"~","~~"),"*","~*"),"?","~?"))&lt;&gt;1,"Other amount is invalid",IF(J325&lt;&gt;0,"Amount differs","Matched")))))))</x:f>
      </x:c>
      <x:c r="L325" t="str">
        <x:f>IF(COUNTA(A325:F325)=0,"",LEN(A325)&amp;":"&amp;A325&amp;LEN(B325)&amp;":"&amp;B325&amp;LEN(C325)&amp;":"&amp;C325&amp;LEN(D325)&amp;":"&amp;D325)</x:f>
      </x:c>
      <x:c r="M325" t="str">
        <x:f>IF(COUNTA(A325:F325)=0,"",IF(ISNUMBER(E325),1,0))</x:f>
      </x:c>
    </x:row>
    <x:row r="326">
      <x:c r="A326" s="11"/>
      <x:c r="B326" s="11"/>
      <x:c r="C326" s="11"/>
      <x:c r="D326" s="11"/>
      <x:c r="E326" s="12"/>
      <x:c r="F326" s="10"/>
      <x:c r="G326" s="2" t="str">
        <x:f>IF(COUNTA(A326:F326)=0,"",COUNTIFS('External Data'!$L$2:$L$1001,SUBSTITUTE(SUBSTITUTE(SUBSTITUTE(L326,"~","~~"),"*","~*"),"?","~?")))</x:f>
      </x:c>
      <x:c r="H326" s="2" t="str">
        <x:f>IF(COUNTA(A326:F326)=0,"",COUNTIFS('App Data'!$L$2:$L$1001,SUBSTITUTE(SUBSTITUTE(SUBSTITUTE(L326,"~","~~"),"*","~*"),"?","~?")))</x:f>
      </x:c>
      <x:c r="I326" s="13" t="str">
        <x:f>IF(OR(H326&lt;&gt;1,G326&lt;&gt;1),"",SUMIFS('App Data'!$E$2:$E$1001,'App Data'!$L$2:$L$1001,SUBSTITUTE(SUBSTITUTE(SUBSTITUTE(L326,"~","~~"),"*","~*"),"?","~?")))</x:f>
      </x:c>
      <x:c r="J326" s="13" t="str">
        <x:f>IF(OR(NOT(ISNUMBER(E326)),NOT(ISNUMBER(I326))),"",ROUND(E326-I326,2))</x:f>
      </x:c>
      <x:c r="K326" s="2" t="str">
        <x:f>IF(COUNTA(A326:F326)=0,"",IF(OR(A326="",B326="",C326="",D326="",NOT(ISNUMBER(E326))),"Missing / invalid input",IF(G326&gt;1,"Duplicate key in this source",IF(H326=0,"Missing in other source",IF(H326&gt;1,"Duplicate in other source",IF(SUMIFS('App Data'!$M$2:$M$1001,'App Data'!$L$2:$L$1001,SUBSTITUTE(SUBSTITUTE(SUBSTITUTE(L326,"~","~~"),"*","~*"),"?","~?"))&lt;&gt;1,"Other amount is invalid",IF(J326&lt;&gt;0,"Amount differs","Matched")))))))</x:f>
      </x:c>
      <x:c r="L326" t="str">
        <x:f>IF(COUNTA(A326:F326)=0,"",LEN(A326)&amp;":"&amp;A326&amp;LEN(B326)&amp;":"&amp;B326&amp;LEN(C326)&amp;":"&amp;C326&amp;LEN(D326)&amp;":"&amp;D326)</x:f>
      </x:c>
      <x:c r="M326" t="str">
        <x:f>IF(COUNTA(A326:F326)=0,"",IF(ISNUMBER(E326),1,0))</x:f>
      </x:c>
    </x:row>
    <x:row r="327">
      <x:c r="A327" s="11"/>
      <x:c r="B327" s="11"/>
      <x:c r="C327" s="11"/>
      <x:c r="D327" s="11"/>
      <x:c r="E327" s="12"/>
      <x:c r="F327" s="10"/>
      <x:c r="G327" s="2" t="str">
        <x:f>IF(COUNTA(A327:F327)=0,"",COUNTIFS('External Data'!$L$2:$L$1001,SUBSTITUTE(SUBSTITUTE(SUBSTITUTE(L327,"~","~~"),"*","~*"),"?","~?")))</x:f>
      </x:c>
      <x:c r="H327" s="2" t="str">
        <x:f>IF(COUNTA(A327:F327)=0,"",COUNTIFS('App Data'!$L$2:$L$1001,SUBSTITUTE(SUBSTITUTE(SUBSTITUTE(L327,"~","~~"),"*","~*"),"?","~?")))</x:f>
      </x:c>
      <x:c r="I327" s="13" t="str">
        <x:f>IF(OR(H327&lt;&gt;1,G327&lt;&gt;1),"",SUMIFS('App Data'!$E$2:$E$1001,'App Data'!$L$2:$L$1001,SUBSTITUTE(SUBSTITUTE(SUBSTITUTE(L327,"~","~~"),"*","~*"),"?","~?")))</x:f>
      </x:c>
      <x:c r="J327" s="13" t="str">
        <x:f>IF(OR(NOT(ISNUMBER(E327)),NOT(ISNUMBER(I327))),"",ROUND(E327-I327,2))</x:f>
      </x:c>
      <x:c r="K327" s="2" t="str">
        <x:f>IF(COUNTA(A327:F327)=0,"",IF(OR(A327="",B327="",C327="",D327="",NOT(ISNUMBER(E327))),"Missing / invalid input",IF(G327&gt;1,"Duplicate key in this source",IF(H327=0,"Missing in other source",IF(H327&gt;1,"Duplicate in other source",IF(SUMIFS('App Data'!$M$2:$M$1001,'App Data'!$L$2:$L$1001,SUBSTITUTE(SUBSTITUTE(SUBSTITUTE(L327,"~","~~"),"*","~*"),"?","~?"))&lt;&gt;1,"Other amount is invalid",IF(J327&lt;&gt;0,"Amount differs","Matched")))))))</x:f>
      </x:c>
      <x:c r="L327" t="str">
        <x:f>IF(COUNTA(A327:F327)=0,"",LEN(A327)&amp;":"&amp;A327&amp;LEN(B327)&amp;":"&amp;B327&amp;LEN(C327)&amp;":"&amp;C327&amp;LEN(D327)&amp;":"&amp;D327)</x:f>
      </x:c>
      <x:c r="M327" t="str">
        <x:f>IF(COUNTA(A327:F327)=0,"",IF(ISNUMBER(E327),1,0))</x:f>
      </x:c>
    </x:row>
    <x:row r="328">
      <x:c r="A328" s="11"/>
      <x:c r="B328" s="11"/>
      <x:c r="C328" s="11"/>
      <x:c r="D328" s="11"/>
      <x:c r="E328" s="12"/>
      <x:c r="F328" s="10"/>
      <x:c r="G328" s="2" t="str">
        <x:f>IF(COUNTA(A328:F328)=0,"",COUNTIFS('External Data'!$L$2:$L$1001,SUBSTITUTE(SUBSTITUTE(SUBSTITUTE(L328,"~","~~"),"*","~*"),"?","~?")))</x:f>
      </x:c>
      <x:c r="H328" s="2" t="str">
        <x:f>IF(COUNTA(A328:F328)=0,"",COUNTIFS('App Data'!$L$2:$L$1001,SUBSTITUTE(SUBSTITUTE(SUBSTITUTE(L328,"~","~~"),"*","~*"),"?","~?")))</x:f>
      </x:c>
      <x:c r="I328" s="13" t="str">
        <x:f>IF(OR(H328&lt;&gt;1,G328&lt;&gt;1),"",SUMIFS('App Data'!$E$2:$E$1001,'App Data'!$L$2:$L$1001,SUBSTITUTE(SUBSTITUTE(SUBSTITUTE(L328,"~","~~"),"*","~*"),"?","~?")))</x:f>
      </x:c>
      <x:c r="J328" s="13" t="str">
        <x:f>IF(OR(NOT(ISNUMBER(E328)),NOT(ISNUMBER(I328))),"",ROUND(E328-I328,2))</x:f>
      </x:c>
      <x:c r="K328" s="2" t="str">
        <x:f>IF(COUNTA(A328:F328)=0,"",IF(OR(A328="",B328="",C328="",D328="",NOT(ISNUMBER(E328))),"Missing / invalid input",IF(G328&gt;1,"Duplicate key in this source",IF(H328=0,"Missing in other source",IF(H328&gt;1,"Duplicate in other source",IF(SUMIFS('App Data'!$M$2:$M$1001,'App Data'!$L$2:$L$1001,SUBSTITUTE(SUBSTITUTE(SUBSTITUTE(L328,"~","~~"),"*","~*"),"?","~?"))&lt;&gt;1,"Other amount is invalid",IF(J328&lt;&gt;0,"Amount differs","Matched")))))))</x:f>
      </x:c>
      <x:c r="L328" t="str">
        <x:f>IF(COUNTA(A328:F328)=0,"",LEN(A328)&amp;":"&amp;A328&amp;LEN(B328)&amp;":"&amp;B328&amp;LEN(C328)&amp;":"&amp;C328&amp;LEN(D328)&amp;":"&amp;D328)</x:f>
      </x:c>
      <x:c r="M328" t="str">
        <x:f>IF(COUNTA(A328:F328)=0,"",IF(ISNUMBER(E328),1,0))</x:f>
      </x:c>
    </x:row>
    <x:row r="329">
      <x:c r="A329" s="11"/>
      <x:c r="B329" s="11"/>
      <x:c r="C329" s="11"/>
      <x:c r="D329" s="11"/>
      <x:c r="E329" s="12"/>
      <x:c r="F329" s="10"/>
      <x:c r="G329" s="2" t="str">
        <x:f>IF(COUNTA(A329:F329)=0,"",COUNTIFS('External Data'!$L$2:$L$1001,SUBSTITUTE(SUBSTITUTE(SUBSTITUTE(L329,"~","~~"),"*","~*"),"?","~?")))</x:f>
      </x:c>
      <x:c r="H329" s="2" t="str">
        <x:f>IF(COUNTA(A329:F329)=0,"",COUNTIFS('App Data'!$L$2:$L$1001,SUBSTITUTE(SUBSTITUTE(SUBSTITUTE(L329,"~","~~"),"*","~*"),"?","~?")))</x:f>
      </x:c>
      <x:c r="I329" s="13" t="str">
        <x:f>IF(OR(H329&lt;&gt;1,G329&lt;&gt;1),"",SUMIFS('App Data'!$E$2:$E$1001,'App Data'!$L$2:$L$1001,SUBSTITUTE(SUBSTITUTE(SUBSTITUTE(L329,"~","~~"),"*","~*"),"?","~?")))</x:f>
      </x:c>
      <x:c r="J329" s="13" t="str">
        <x:f>IF(OR(NOT(ISNUMBER(E329)),NOT(ISNUMBER(I329))),"",ROUND(E329-I329,2))</x:f>
      </x:c>
      <x:c r="K329" s="2" t="str">
        <x:f>IF(COUNTA(A329:F329)=0,"",IF(OR(A329="",B329="",C329="",D329="",NOT(ISNUMBER(E329))),"Missing / invalid input",IF(G329&gt;1,"Duplicate key in this source",IF(H329=0,"Missing in other source",IF(H329&gt;1,"Duplicate in other source",IF(SUMIFS('App Data'!$M$2:$M$1001,'App Data'!$L$2:$L$1001,SUBSTITUTE(SUBSTITUTE(SUBSTITUTE(L329,"~","~~"),"*","~*"),"?","~?"))&lt;&gt;1,"Other amount is invalid",IF(J329&lt;&gt;0,"Amount differs","Matched")))))))</x:f>
      </x:c>
      <x:c r="L329" t="str">
        <x:f>IF(COUNTA(A329:F329)=0,"",LEN(A329)&amp;":"&amp;A329&amp;LEN(B329)&amp;":"&amp;B329&amp;LEN(C329)&amp;":"&amp;C329&amp;LEN(D329)&amp;":"&amp;D329)</x:f>
      </x:c>
      <x:c r="M329" t="str">
        <x:f>IF(COUNTA(A329:F329)=0,"",IF(ISNUMBER(E329),1,0))</x:f>
      </x:c>
    </x:row>
    <x:row r="330">
      <x:c r="A330" s="11"/>
      <x:c r="B330" s="11"/>
      <x:c r="C330" s="11"/>
      <x:c r="D330" s="11"/>
      <x:c r="E330" s="12"/>
      <x:c r="F330" s="10"/>
      <x:c r="G330" s="2" t="str">
        <x:f>IF(COUNTA(A330:F330)=0,"",COUNTIFS('External Data'!$L$2:$L$1001,SUBSTITUTE(SUBSTITUTE(SUBSTITUTE(L330,"~","~~"),"*","~*"),"?","~?")))</x:f>
      </x:c>
      <x:c r="H330" s="2" t="str">
        <x:f>IF(COUNTA(A330:F330)=0,"",COUNTIFS('App Data'!$L$2:$L$1001,SUBSTITUTE(SUBSTITUTE(SUBSTITUTE(L330,"~","~~"),"*","~*"),"?","~?")))</x:f>
      </x:c>
      <x:c r="I330" s="13" t="str">
        <x:f>IF(OR(H330&lt;&gt;1,G330&lt;&gt;1),"",SUMIFS('App Data'!$E$2:$E$1001,'App Data'!$L$2:$L$1001,SUBSTITUTE(SUBSTITUTE(SUBSTITUTE(L330,"~","~~"),"*","~*"),"?","~?")))</x:f>
      </x:c>
      <x:c r="J330" s="13" t="str">
        <x:f>IF(OR(NOT(ISNUMBER(E330)),NOT(ISNUMBER(I330))),"",ROUND(E330-I330,2))</x:f>
      </x:c>
      <x:c r="K330" s="2" t="str">
        <x:f>IF(COUNTA(A330:F330)=0,"",IF(OR(A330="",B330="",C330="",D330="",NOT(ISNUMBER(E330))),"Missing / invalid input",IF(G330&gt;1,"Duplicate key in this source",IF(H330=0,"Missing in other source",IF(H330&gt;1,"Duplicate in other source",IF(SUMIFS('App Data'!$M$2:$M$1001,'App Data'!$L$2:$L$1001,SUBSTITUTE(SUBSTITUTE(SUBSTITUTE(L330,"~","~~"),"*","~*"),"?","~?"))&lt;&gt;1,"Other amount is invalid",IF(J330&lt;&gt;0,"Amount differs","Matched")))))))</x:f>
      </x:c>
      <x:c r="L330" t="str">
        <x:f>IF(COUNTA(A330:F330)=0,"",LEN(A330)&amp;":"&amp;A330&amp;LEN(B330)&amp;":"&amp;B330&amp;LEN(C330)&amp;":"&amp;C330&amp;LEN(D330)&amp;":"&amp;D330)</x:f>
      </x:c>
      <x:c r="M330" t="str">
        <x:f>IF(COUNTA(A330:F330)=0,"",IF(ISNUMBER(E330),1,0))</x:f>
      </x:c>
    </x:row>
    <x:row r="331">
      <x:c r="A331" s="11"/>
      <x:c r="B331" s="11"/>
      <x:c r="C331" s="11"/>
      <x:c r="D331" s="11"/>
      <x:c r="E331" s="12"/>
      <x:c r="F331" s="10"/>
      <x:c r="G331" s="2" t="str">
        <x:f>IF(COUNTA(A331:F331)=0,"",COUNTIFS('External Data'!$L$2:$L$1001,SUBSTITUTE(SUBSTITUTE(SUBSTITUTE(L331,"~","~~"),"*","~*"),"?","~?")))</x:f>
      </x:c>
      <x:c r="H331" s="2" t="str">
        <x:f>IF(COUNTA(A331:F331)=0,"",COUNTIFS('App Data'!$L$2:$L$1001,SUBSTITUTE(SUBSTITUTE(SUBSTITUTE(L331,"~","~~"),"*","~*"),"?","~?")))</x:f>
      </x:c>
      <x:c r="I331" s="13" t="str">
        <x:f>IF(OR(H331&lt;&gt;1,G331&lt;&gt;1),"",SUMIFS('App Data'!$E$2:$E$1001,'App Data'!$L$2:$L$1001,SUBSTITUTE(SUBSTITUTE(SUBSTITUTE(L331,"~","~~"),"*","~*"),"?","~?")))</x:f>
      </x:c>
      <x:c r="J331" s="13" t="str">
        <x:f>IF(OR(NOT(ISNUMBER(E331)),NOT(ISNUMBER(I331))),"",ROUND(E331-I331,2))</x:f>
      </x:c>
      <x:c r="K331" s="2" t="str">
        <x:f>IF(COUNTA(A331:F331)=0,"",IF(OR(A331="",B331="",C331="",D331="",NOT(ISNUMBER(E331))),"Missing / invalid input",IF(G331&gt;1,"Duplicate key in this source",IF(H331=0,"Missing in other source",IF(H331&gt;1,"Duplicate in other source",IF(SUMIFS('App Data'!$M$2:$M$1001,'App Data'!$L$2:$L$1001,SUBSTITUTE(SUBSTITUTE(SUBSTITUTE(L331,"~","~~"),"*","~*"),"?","~?"))&lt;&gt;1,"Other amount is invalid",IF(J331&lt;&gt;0,"Amount differs","Matched")))))))</x:f>
      </x:c>
      <x:c r="L331" t="str">
        <x:f>IF(COUNTA(A331:F331)=0,"",LEN(A331)&amp;":"&amp;A331&amp;LEN(B331)&amp;":"&amp;B331&amp;LEN(C331)&amp;":"&amp;C331&amp;LEN(D331)&amp;":"&amp;D331)</x:f>
      </x:c>
      <x:c r="M331" t="str">
        <x:f>IF(COUNTA(A331:F331)=0,"",IF(ISNUMBER(E331),1,0))</x:f>
      </x:c>
    </x:row>
    <x:row r="332">
      <x:c r="A332" s="11"/>
      <x:c r="B332" s="11"/>
      <x:c r="C332" s="11"/>
      <x:c r="D332" s="11"/>
      <x:c r="E332" s="12"/>
      <x:c r="F332" s="10"/>
      <x:c r="G332" s="2" t="str">
        <x:f>IF(COUNTA(A332:F332)=0,"",COUNTIFS('External Data'!$L$2:$L$1001,SUBSTITUTE(SUBSTITUTE(SUBSTITUTE(L332,"~","~~"),"*","~*"),"?","~?")))</x:f>
      </x:c>
      <x:c r="H332" s="2" t="str">
        <x:f>IF(COUNTA(A332:F332)=0,"",COUNTIFS('App Data'!$L$2:$L$1001,SUBSTITUTE(SUBSTITUTE(SUBSTITUTE(L332,"~","~~"),"*","~*"),"?","~?")))</x:f>
      </x:c>
      <x:c r="I332" s="13" t="str">
        <x:f>IF(OR(H332&lt;&gt;1,G332&lt;&gt;1),"",SUMIFS('App Data'!$E$2:$E$1001,'App Data'!$L$2:$L$1001,SUBSTITUTE(SUBSTITUTE(SUBSTITUTE(L332,"~","~~"),"*","~*"),"?","~?")))</x:f>
      </x:c>
      <x:c r="J332" s="13" t="str">
        <x:f>IF(OR(NOT(ISNUMBER(E332)),NOT(ISNUMBER(I332))),"",ROUND(E332-I332,2))</x:f>
      </x:c>
      <x:c r="K332" s="2" t="str">
        <x:f>IF(COUNTA(A332:F332)=0,"",IF(OR(A332="",B332="",C332="",D332="",NOT(ISNUMBER(E332))),"Missing / invalid input",IF(G332&gt;1,"Duplicate key in this source",IF(H332=0,"Missing in other source",IF(H332&gt;1,"Duplicate in other source",IF(SUMIFS('App Data'!$M$2:$M$1001,'App Data'!$L$2:$L$1001,SUBSTITUTE(SUBSTITUTE(SUBSTITUTE(L332,"~","~~"),"*","~*"),"?","~?"))&lt;&gt;1,"Other amount is invalid",IF(J332&lt;&gt;0,"Amount differs","Matched")))))))</x:f>
      </x:c>
      <x:c r="L332" t="str">
        <x:f>IF(COUNTA(A332:F332)=0,"",LEN(A332)&amp;":"&amp;A332&amp;LEN(B332)&amp;":"&amp;B332&amp;LEN(C332)&amp;":"&amp;C332&amp;LEN(D332)&amp;":"&amp;D332)</x:f>
      </x:c>
      <x:c r="M332" t="str">
        <x:f>IF(COUNTA(A332:F332)=0,"",IF(ISNUMBER(E332),1,0))</x:f>
      </x:c>
    </x:row>
    <x:row r="333">
      <x:c r="A333" s="11"/>
      <x:c r="B333" s="11"/>
      <x:c r="C333" s="11"/>
      <x:c r="D333" s="11"/>
      <x:c r="E333" s="12"/>
      <x:c r="F333" s="10"/>
      <x:c r="G333" s="2" t="str">
        <x:f>IF(COUNTA(A333:F333)=0,"",COUNTIFS('External Data'!$L$2:$L$1001,SUBSTITUTE(SUBSTITUTE(SUBSTITUTE(L333,"~","~~"),"*","~*"),"?","~?")))</x:f>
      </x:c>
      <x:c r="H333" s="2" t="str">
        <x:f>IF(COUNTA(A333:F333)=0,"",COUNTIFS('App Data'!$L$2:$L$1001,SUBSTITUTE(SUBSTITUTE(SUBSTITUTE(L333,"~","~~"),"*","~*"),"?","~?")))</x:f>
      </x:c>
      <x:c r="I333" s="13" t="str">
        <x:f>IF(OR(H333&lt;&gt;1,G333&lt;&gt;1),"",SUMIFS('App Data'!$E$2:$E$1001,'App Data'!$L$2:$L$1001,SUBSTITUTE(SUBSTITUTE(SUBSTITUTE(L333,"~","~~"),"*","~*"),"?","~?")))</x:f>
      </x:c>
      <x:c r="J333" s="13" t="str">
        <x:f>IF(OR(NOT(ISNUMBER(E333)),NOT(ISNUMBER(I333))),"",ROUND(E333-I333,2))</x:f>
      </x:c>
      <x:c r="K333" s="2" t="str">
        <x:f>IF(COUNTA(A333:F333)=0,"",IF(OR(A333="",B333="",C333="",D333="",NOT(ISNUMBER(E333))),"Missing / invalid input",IF(G333&gt;1,"Duplicate key in this source",IF(H333=0,"Missing in other source",IF(H333&gt;1,"Duplicate in other source",IF(SUMIFS('App Data'!$M$2:$M$1001,'App Data'!$L$2:$L$1001,SUBSTITUTE(SUBSTITUTE(SUBSTITUTE(L333,"~","~~"),"*","~*"),"?","~?"))&lt;&gt;1,"Other amount is invalid",IF(J333&lt;&gt;0,"Amount differs","Matched")))))))</x:f>
      </x:c>
      <x:c r="L333" t="str">
        <x:f>IF(COUNTA(A333:F333)=0,"",LEN(A333)&amp;":"&amp;A333&amp;LEN(B333)&amp;":"&amp;B333&amp;LEN(C333)&amp;":"&amp;C333&amp;LEN(D333)&amp;":"&amp;D333)</x:f>
      </x:c>
      <x:c r="M333" t="str">
        <x:f>IF(COUNTA(A333:F333)=0,"",IF(ISNUMBER(E333),1,0))</x:f>
      </x:c>
    </x:row>
    <x:row r="334">
      <x:c r="A334" s="11"/>
      <x:c r="B334" s="11"/>
      <x:c r="C334" s="11"/>
      <x:c r="D334" s="11"/>
      <x:c r="E334" s="12"/>
      <x:c r="F334" s="10"/>
      <x:c r="G334" s="2" t="str">
        <x:f>IF(COUNTA(A334:F334)=0,"",COUNTIFS('External Data'!$L$2:$L$1001,SUBSTITUTE(SUBSTITUTE(SUBSTITUTE(L334,"~","~~"),"*","~*"),"?","~?")))</x:f>
      </x:c>
      <x:c r="H334" s="2" t="str">
        <x:f>IF(COUNTA(A334:F334)=0,"",COUNTIFS('App Data'!$L$2:$L$1001,SUBSTITUTE(SUBSTITUTE(SUBSTITUTE(L334,"~","~~"),"*","~*"),"?","~?")))</x:f>
      </x:c>
      <x:c r="I334" s="13" t="str">
        <x:f>IF(OR(H334&lt;&gt;1,G334&lt;&gt;1),"",SUMIFS('App Data'!$E$2:$E$1001,'App Data'!$L$2:$L$1001,SUBSTITUTE(SUBSTITUTE(SUBSTITUTE(L334,"~","~~"),"*","~*"),"?","~?")))</x:f>
      </x:c>
      <x:c r="J334" s="13" t="str">
        <x:f>IF(OR(NOT(ISNUMBER(E334)),NOT(ISNUMBER(I334))),"",ROUND(E334-I334,2))</x:f>
      </x:c>
      <x:c r="K334" s="2" t="str">
        <x:f>IF(COUNTA(A334:F334)=0,"",IF(OR(A334="",B334="",C334="",D334="",NOT(ISNUMBER(E334))),"Missing / invalid input",IF(G334&gt;1,"Duplicate key in this source",IF(H334=0,"Missing in other source",IF(H334&gt;1,"Duplicate in other source",IF(SUMIFS('App Data'!$M$2:$M$1001,'App Data'!$L$2:$L$1001,SUBSTITUTE(SUBSTITUTE(SUBSTITUTE(L334,"~","~~"),"*","~*"),"?","~?"))&lt;&gt;1,"Other amount is invalid",IF(J334&lt;&gt;0,"Amount differs","Matched")))))))</x:f>
      </x:c>
      <x:c r="L334" t="str">
        <x:f>IF(COUNTA(A334:F334)=0,"",LEN(A334)&amp;":"&amp;A334&amp;LEN(B334)&amp;":"&amp;B334&amp;LEN(C334)&amp;":"&amp;C334&amp;LEN(D334)&amp;":"&amp;D334)</x:f>
      </x:c>
      <x:c r="M334" t="str">
        <x:f>IF(COUNTA(A334:F334)=0,"",IF(ISNUMBER(E334),1,0))</x:f>
      </x:c>
    </x:row>
    <x:row r="335">
      <x:c r="A335" s="11"/>
      <x:c r="B335" s="11"/>
      <x:c r="C335" s="11"/>
      <x:c r="D335" s="11"/>
      <x:c r="E335" s="12"/>
      <x:c r="F335" s="10"/>
      <x:c r="G335" s="2" t="str">
        <x:f>IF(COUNTA(A335:F335)=0,"",COUNTIFS('External Data'!$L$2:$L$1001,SUBSTITUTE(SUBSTITUTE(SUBSTITUTE(L335,"~","~~"),"*","~*"),"?","~?")))</x:f>
      </x:c>
      <x:c r="H335" s="2" t="str">
        <x:f>IF(COUNTA(A335:F335)=0,"",COUNTIFS('App Data'!$L$2:$L$1001,SUBSTITUTE(SUBSTITUTE(SUBSTITUTE(L335,"~","~~"),"*","~*"),"?","~?")))</x:f>
      </x:c>
      <x:c r="I335" s="13" t="str">
        <x:f>IF(OR(H335&lt;&gt;1,G335&lt;&gt;1),"",SUMIFS('App Data'!$E$2:$E$1001,'App Data'!$L$2:$L$1001,SUBSTITUTE(SUBSTITUTE(SUBSTITUTE(L335,"~","~~"),"*","~*"),"?","~?")))</x:f>
      </x:c>
      <x:c r="J335" s="13" t="str">
        <x:f>IF(OR(NOT(ISNUMBER(E335)),NOT(ISNUMBER(I335))),"",ROUND(E335-I335,2))</x:f>
      </x:c>
      <x:c r="K335" s="2" t="str">
        <x:f>IF(COUNTA(A335:F335)=0,"",IF(OR(A335="",B335="",C335="",D335="",NOT(ISNUMBER(E335))),"Missing / invalid input",IF(G335&gt;1,"Duplicate key in this source",IF(H335=0,"Missing in other source",IF(H335&gt;1,"Duplicate in other source",IF(SUMIFS('App Data'!$M$2:$M$1001,'App Data'!$L$2:$L$1001,SUBSTITUTE(SUBSTITUTE(SUBSTITUTE(L335,"~","~~"),"*","~*"),"?","~?"))&lt;&gt;1,"Other amount is invalid",IF(J335&lt;&gt;0,"Amount differs","Matched")))))))</x:f>
      </x:c>
      <x:c r="L335" t="str">
        <x:f>IF(COUNTA(A335:F335)=0,"",LEN(A335)&amp;":"&amp;A335&amp;LEN(B335)&amp;":"&amp;B335&amp;LEN(C335)&amp;":"&amp;C335&amp;LEN(D335)&amp;":"&amp;D335)</x:f>
      </x:c>
      <x:c r="M335" t="str">
        <x:f>IF(COUNTA(A335:F335)=0,"",IF(ISNUMBER(E335),1,0))</x:f>
      </x:c>
    </x:row>
    <x:row r="336">
      <x:c r="A336" s="11"/>
      <x:c r="B336" s="11"/>
      <x:c r="C336" s="11"/>
      <x:c r="D336" s="11"/>
      <x:c r="E336" s="12"/>
      <x:c r="F336" s="10"/>
      <x:c r="G336" s="2" t="str">
        <x:f>IF(COUNTA(A336:F336)=0,"",COUNTIFS('External Data'!$L$2:$L$1001,SUBSTITUTE(SUBSTITUTE(SUBSTITUTE(L336,"~","~~"),"*","~*"),"?","~?")))</x:f>
      </x:c>
      <x:c r="H336" s="2" t="str">
        <x:f>IF(COUNTA(A336:F336)=0,"",COUNTIFS('App Data'!$L$2:$L$1001,SUBSTITUTE(SUBSTITUTE(SUBSTITUTE(L336,"~","~~"),"*","~*"),"?","~?")))</x:f>
      </x:c>
      <x:c r="I336" s="13" t="str">
        <x:f>IF(OR(H336&lt;&gt;1,G336&lt;&gt;1),"",SUMIFS('App Data'!$E$2:$E$1001,'App Data'!$L$2:$L$1001,SUBSTITUTE(SUBSTITUTE(SUBSTITUTE(L336,"~","~~"),"*","~*"),"?","~?")))</x:f>
      </x:c>
      <x:c r="J336" s="13" t="str">
        <x:f>IF(OR(NOT(ISNUMBER(E336)),NOT(ISNUMBER(I336))),"",ROUND(E336-I336,2))</x:f>
      </x:c>
      <x:c r="K336" s="2" t="str">
        <x:f>IF(COUNTA(A336:F336)=0,"",IF(OR(A336="",B336="",C336="",D336="",NOT(ISNUMBER(E336))),"Missing / invalid input",IF(G336&gt;1,"Duplicate key in this source",IF(H336=0,"Missing in other source",IF(H336&gt;1,"Duplicate in other source",IF(SUMIFS('App Data'!$M$2:$M$1001,'App Data'!$L$2:$L$1001,SUBSTITUTE(SUBSTITUTE(SUBSTITUTE(L336,"~","~~"),"*","~*"),"?","~?"))&lt;&gt;1,"Other amount is invalid",IF(J336&lt;&gt;0,"Amount differs","Matched")))))))</x:f>
      </x:c>
      <x:c r="L336" t="str">
        <x:f>IF(COUNTA(A336:F336)=0,"",LEN(A336)&amp;":"&amp;A336&amp;LEN(B336)&amp;":"&amp;B336&amp;LEN(C336)&amp;":"&amp;C336&amp;LEN(D336)&amp;":"&amp;D336)</x:f>
      </x:c>
      <x:c r="M336" t="str">
        <x:f>IF(COUNTA(A336:F336)=0,"",IF(ISNUMBER(E336),1,0))</x:f>
      </x:c>
    </x:row>
    <x:row r="337">
      <x:c r="A337" s="11"/>
      <x:c r="B337" s="11"/>
      <x:c r="C337" s="11"/>
      <x:c r="D337" s="11"/>
      <x:c r="E337" s="12"/>
      <x:c r="F337" s="10"/>
      <x:c r="G337" s="2" t="str">
        <x:f>IF(COUNTA(A337:F337)=0,"",COUNTIFS('External Data'!$L$2:$L$1001,SUBSTITUTE(SUBSTITUTE(SUBSTITUTE(L337,"~","~~"),"*","~*"),"?","~?")))</x:f>
      </x:c>
      <x:c r="H337" s="2" t="str">
        <x:f>IF(COUNTA(A337:F337)=0,"",COUNTIFS('App Data'!$L$2:$L$1001,SUBSTITUTE(SUBSTITUTE(SUBSTITUTE(L337,"~","~~"),"*","~*"),"?","~?")))</x:f>
      </x:c>
      <x:c r="I337" s="13" t="str">
        <x:f>IF(OR(H337&lt;&gt;1,G337&lt;&gt;1),"",SUMIFS('App Data'!$E$2:$E$1001,'App Data'!$L$2:$L$1001,SUBSTITUTE(SUBSTITUTE(SUBSTITUTE(L337,"~","~~"),"*","~*"),"?","~?")))</x:f>
      </x:c>
      <x:c r="J337" s="13" t="str">
        <x:f>IF(OR(NOT(ISNUMBER(E337)),NOT(ISNUMBER(I337))),"",ROUND(E337-I337,2))</x:f>
      </x:c>
      <x:c r="K337" s="2" t="str">
        <x:f>IF(COUNTA(A337:F337)=0,"",IF(OR(A337="",B337="",C337="",D337="",NOT(ISNUMBER(E337))),"Missing / invalid input",IF(G337&gt;1,"Duplicate key in this source",IF(H337=0,"Missing in other source",IF(H337&gt;1,"Duplicate in other source",IF(SUMIFS('App Data'!$M$2:$M$1001,'App Data'!$L$2:$L$1001,SUBSTITUTE(SUBSTITUTE(SUBSTITUTE(L337,"~","~~"),"*","~*"),"?","~?"))&lt;&gt;1,"Other amount is invalid",IF(J337&lt;&gt;0,"Amount differs","Matched")))))))</x:f>
      </x:c>
      <x:c r="L337" t="str">
        <x:f>IF(COUNTA(A337:F337)=0,"",LEN(A337)&amp;":"&amp;A337&amp;LEN(B337)&amp;":"&amp;B337&amp;LEN(C337)&amp;":"&amp;C337&amp;LEN(D337)&amp;":"&amp;D337)</x:f>
      </x:c>
      <x:c r="M337" t="str">
        <x:f>IF(COUNTA(A337:F337)=0,"",IF(ISNUMBER(E337),1,0))</x:f>
      </x:c>
    </x:row>
    <x:row r="338">
      <x:c r="A338" s="11"/>
      <x:c r="B338" s="11"/>
      <x:c r="C338" s="11"/>
      <x:c r="D338" s="11"/>
      <x:c r="E338" s="12"/>
      <x:c r="F338" s="10"/>
      <x:c r="G338" s="2" t="str">
        <x:f>IF(COUNTA(A338:F338)=0,"",COUNTIFS('External Data'!$L$2:$L$1001,SUBSTITUTE(SUBSTITUTE(SUBSTITUTE(L338,"~","~~"),"*","~*"),"?","~?")))</x:f>
      </x:c>
      <x:c r="H338" s="2" t="str">
        <x:f>IF(COUNTA(A338:F338)=0,"",COUNTIFS('App Data'!$L$2:$L$1001,SUBSTITUTE(SUBSTITUTE(SUBSTITUTE(L338,"~","~~"),"*","~*"),"?","~?")))</x:f>
      </x:c>
      <x:c r="I338" s="13" t="str">
        <x:f>IF(OR(H338&lt;&gt;1,G338&lt;&gt;1),"",SUMIFS('App Data'!$E$2:$E$1001,'App Data'!$L$2:$L$1001,SUBSTITUTE(SUBSTITUTE(SUBSTITUTE(L338,"~","~~"),"*","~*"),"?","~?")))</x:f>
      </x:c>
      <x:c r="J338" s="13" t="str">
        <x:f>IF(OR(NOT(ISNUMBER(E338)),NOT(ISNUMBER(I338))),"",ROUND(E338-I338,2))</x:f>
      </x:c>
      <x:c r="K338" s="2" t="str">
        <x:f>IF(COUNTA(A338:F338)=0,"",IF(OR(A338="",B338="",C338="",D338="",NOT(ISNUMBER(E338))),"Missing / invalid input",IF(G338&gt;1,"Duplicate key in this source",IF(H338=0,"Missing in other source",IF(H338&gt;1,"Duplicate in other source",IF(SUMIFS('App Data'!$M$2:$M$1001,'App Data'!$L$2:$L$1001,SUBSTITUTE(SUBSTITUTE(SUBSTITUTE(L338,"~","~~"),"*","~*"),"?","~?"))&lt;&gt;1,"Other amount is invalid",IF(J338&lt;&gt;0,"Amount differs","Matched")))))))</x:f>
      </x:c>
      <x:c r="L338" t="str">
        <x:f>IF(COUNTA(A338:F338)=0,"",LEN(A338)&amp;":"&amp;A338&amp;LEN(B338)&amp;":"&amp;B338&amp;LEN(C338)&amp;":"&amp;C338&amp;LEN(D338)&amp;":"&amp;D338)</x:f>
      </x:c>
      <x:c r="M338" t="str">
        <x:f>IF(COUNTA(A338:F338)=0,"",IF(ISNUMBER(E338),1,0))</x:f>
      </x:c>
    </x:row>
    <x:row r="339">
      <x:c r="A339" s="11"/>
      <x:c r="B339" s="11"/>
      <x:c r="C339" s="11"/>
      <x:c r="D339" s="11"/>
      <x:c r="E339" s="12"/>
      <x:c r="F339" s="10"/>
      <x:c r="G339" s="2" t="str">
        <x:f>IF(COUNTA(A339:F339)=0,"",COUNTIFS('External Data'!$L$2:$L$1001,SUBSTITUTE(SUBSTITUTE(SUBSTITUTE(L339,"~","~~"),"*","~*"),"?","~?")))</x:f>
      </x:c>
      <x:c r="H339" s="2" t="str">
        <x:f>IF(COUNTA(A339:F339)=0,"",COUNTIFS('App Data'!$L$2:$L$1001,SUBSTITUTE(SUBSTITUTE(SUBSTITUTE(L339,"~","~~"),"*","~*"),"?","~?")))</x:f>
      </x:c>
      <x:c r="I339" s="13" t="str">
        <x:f>IF(OR(H339&lt;&gt;1,G339&lt;&gt;1),"",SUMIFS('App Data'!$E$2:$E$1001,'App Data'!$L$2:$L$1001,SUBSTITUTE(SUBSTITUTE(SUBSTITUTE(L339,"~","~~"),"*","~*"),"?","~?")))</x:f>
      </x:c>
      <x:c r="J339" s="13" t="str">
        <x:f>IF(OR(NOT(ISNUMBER(E339)),NOT(ISNUMBER(I339))),"",ROUND(E339-I339,2))</x:f>
      </x:c>
      <x:c r="K339" s="2" t="str">
        <x:f>IF(COUNTA(A339:F339)=0,"",IF(OR(A339="",B339="",C339="",D339="",NOT(ISNUMBER(E339))),"Missing / invalid input",IF(G339&gt;1,"Duplicate key in this source",IF(H339=0,"Missing in other source",IF(H339&gt;1,"Duplicate in other source",IF(SUMIFS('App Data'!$M$2:$M$1001,'App Data'!$L$2:$L$1001,SUBSTITUTE(SUBSTITUTE(SUBSTITUTE(L339,"~","~~"),"*","~*"),"?","~?"))&lt;&gt;1,"Other amount is invalid",IF(J339&lt;&gt;0,"Amount differs","Matched")))))))</x:f>
      </x:c>
      <x:c r="L339" t="str">
        <x:f>IF(COUNTA(A339:F339)=0,"",LEN(A339)&amp;":"&amp;A339&amp;LEN(B339)&amp;":"&amp;B339&amp;LEN(C339)&amp;":"&amp;C339&amp;LEN(D339)&amp;":"&amp;D339)</x:f>
      </x:c>
      <x:c r="M339" t="str">
        <x:f>IF(COUNTA(A339:F339)=0,"",IF(ISNUMBER(E339),1,0))</x:f>
      </x:c>
    </x:row>
    <x:row r="340">
      <x:c r="A340" s="11"/>
      <x:c r="B340" s="11"/>
      <x:c r="C340" s="11"/>
      <x:c r="D340" s="11"/>
      <x:c r="E340" s="12"/>
      <x:c r="F340" s="10"/>
      <x:c r="G340" s="2" t="str">
        <x:f>IF(COUNTA(A340:F340)=0,"",COUNTIFS('External Data'!$L$2:$L$1001,SUBSTITUTE(SUBSTITUTE(SUBSTITUTE(L340,"~","~~"),"*","~*"),"?","~?")))</x:f>
      </x:c>
      <x:c r="H340" s="2" t="str">
        <x:f>IF(COUNTA(A340:F340)=0,"",COUNTIFS('App Data'!$L$2:$L$1001,SUBSTITUTE(SUBSTITUTE(SUBSTITUTE(L340,"~","~~"),"*","~*"),"?","~?")))</x:f>
      </x:c>
      <x:c r="I340" s="13" t="str">
        <x:f>IF(OR(H340&lt;&gt;1,G340&lt;&gt;1),"",SUMIFS('App Data'!$E$2:$E$1001,'App Data'!$L$2:$L$1001,SUBSTITUTE(SUBSTITUTE(SUBSTITUTE(L340,"~","~~"),"*","~*"),"?","~?")))</x:f>
      </x:c>
      <x:c r="J340" s="13" t="str">
        <x:f>IF(OR(NOT(ISNUMBER(E340)),NOT(ISNUMBER(I340))),"",ROUND(E340-I340,2))</x:f>
      </x:c>
      <x:c r="K340" s="2" t="str">
        <x:f>IF(COUNTA(A340:F340)=0,"",IF(OR(A340="",B340="",C340="",D340="",NOT(ISNUMBER(E340))),"Missing / invalid input",IF(G340&gt;1,"Duplicate key in this source",IF(H340=0,"Missing in other source",IF(H340&gt;1,"Duplicate in other source",IF(SUMIFS('App Data'!$M$2:$M$1001,'App Data'!$L$2:$L$1001,SUBSTITUTE(SUBSTITUTE(SUBSTITUTE(L340,"~","~~"),"*","~*"),"?","~?"))&lt;&gt;1,"Other amount is invalid",IF(J340&lt;&gt;0,"Amount differs","Matched")))))))</x:f>
      </x:c>
      <x:c r="L340" t="str">
        <x:f>IF(COUNTA(A340:F340)=0,"",LEN(A340)&amp;":"&amp;A340&amp;LEN(B340)&amp;":"&amp;B340&amp;LEN(C340)&amp;":"&amp;C340&amp;LEN(D340)&amp;":"&amp;D340)</x:f>
      </x:c>
      <x:c r="M340" t="str">
        <x:f>IF(COUNTA(A340:F340)=0,"",IF(ISNUMBER(E340),1,0))</x:f>
      </x:c>
    </x:row>
    <x:row r="341">
      <x:c r="A341" s="11"/>
      <x:c r="B341" s="11"/>
      <x:c r="C341" s="11"/>
      <x:c r="D341" s="11"/>
      <x:c r="E341" s="12"/>
      <x:c r="F341" s="10"/>
      <x:c r="G341" s="2" t="str">
        <x:f>IF(COUNTA(A341:F341)=0,"",COUNTIFS('External Data'!$L$2:$L$1001,SUBSTITUTE(SUBSTITUTE(SUBSTITUTE(L341,"~","~~"),"*","~*"),"?","~?")))</x:f>
      </x:c>
      <x:c r="H341" s="2" t="str">
        <x:f>IF(COUNTA(A341:F341)=0,"",COUNTIFS('App Data'!$L$2:$L$1001,SUBSTITUTE(SUBSTITUTE(SUBSTITUTE(L341,"~","~~"),"*","~*"),"?","~?")))</x:f>
      </x:c>
      <x:c r="I341" s="13" t="str">
        <x:f>IF(OR(H341&lt;&gt;1,G341&lt;&gt;1),"",SUMIFS('App Data'!$E$2:$E$1001,'App Data'!$L$2:$L$1001,SUBSTITUTE(SUBSTITUTE(SUBSTITUTE(L341,"~","~~"),"*","~*"),"?","~?")))</x:f>
      </x:c>
      <x:c r="J341" s="13" t="str">
        <x:f>IF(OR(NOT(ISNUMBER(E341)),NOT(ISNUMBER(I341))),"",ROUND(E341-I341,2))</x:f>
      </x:c>
      <x:c r="K341" s="2" t="str">
        <x:f>IF(COUNTA(A341:F341)=0,"",IF(OR(A341="",B341="",C341="",D341="",NOT(ISNUMBER(E341))),"Missing / invalid input",IF(G341&gt;1,"Duplicate key in this source",IF(H341=0,"Missing in other source",IF(H341&gt;1,"Duplicate in other source",IF(SUMIFS('App Data'!$M$2:$M$1001,'App Data'!$L$2:$L$1001,SUBSTITUTE(SUBSTITUTE(SUBSTITUTE(L341,"~","~~"),"*","~*"),"?","~?"))&lt;&gt;1,"Other amount is invalid",IF(J341&lt;&gt;0,"Amount differs","Matched")))))))</x:f>
      </x:c>
      <x:c r="L341" t="str">
        <x:f>IF(COUNTA(A341:F341)=0,"",LEN(A341)&amp;":"&amp;A341&amp;LEN(B341)&amp;":"&amp;B341&amp;LEN(C341)&amp;":"&amp;C341&amp;LEN(D341)&amp;":"&amp;D341)</x:f>
      </x:c>
      <x:c r="M341" t="str">
        <x:f>IF(COUNTA(A341:F341)=0,"",IF(ISNUMBER(E341),1,0))</x:f>
      </x:c>
    </x:row>
    <x:row r="342">
      <x:c r="A342" s="11"/>
      <x:c r="B342" s="11"/>
      <x:c r="C342" s="11"/>
      <x:c r="D342" s="11"/>
      <x:c r="E342" s="12"/>
      <x:c r="F342" s="10"/>
      <x:c r="G342" s="2" t="str">
        <x:f>IF(COUNTA(A342:F342)=0,"",COUNTIFS('External Data'!$L$2:$L$1001,SUBSTITUTE(SUBSTITUTE(SUBSTITUTE(L342,"~","~~"),"*","~*"),"?","~?")))</x:f>
      </x:c>
      <x:c r="H342" s="2" t="str">
        <x:f>IF(COUNTA(A342:F342)=0,"",COUNTIFS('App Data'!$L$2:$L$1001,SUBSTITUTE(SUBSTITUTE(SUBSTITUTE(L342,"~","~~"),"*","~*"),"?","~?")))</x:f>
      </x:c>
      <x:c r="I342" s="13" t="str">
        <x:f>IF(OR(H342&lt;&gt;1,G342&lt;&gt;1),"",SUMIFS('App Data'!$E$2:$E$1001,'App Data'!$L$2:$L$1001,SUBSTITUTE(SUBSTITUTE(SUBSTITUTE(L342,"~","~~"),"*","~*"),"?","~?")))</x:f>
      </x:c>
      <x:c r="J342" s="13" t="str">
        <x:f>IF(OR(NOT(ISNUMBER(E342)),NOT(ISNUMBER(I342))),"",ROUND(E342-I342,2))</x:f>
      </x:c>
      <x:c r="K342" s="2" t="str">
        <x:f>IF(COUNTA(A342:F342)=0,"",IF(OR(A342="",B342="",C342="",D342="",NOT(ISNUMBER(E342))),"Missing / invalid input",IF(G342&gt;1,"Duplicate key in this source",IF(H342=0,"Missing in other source",IF(H342&gt;1,"Duplicate in other source",IF(SUMIFS('App Data'!$M$2:$M$1001,'App Data'!$L$2:$L$1001,SUBSTITUTE(SUBSTITUTE(SUBSTITUTE(L342,"~","~~"),"*","~*"),"?","~?"))&lt;&gt;1,"Other amount is invalid",IF(J342&lt;&gt;0,"Amount differs","Matched")))))))</x:f>
      </x:c>
      <x:c r="L342" t="str">
        <x:f>IF(COUNTA(A342:F342)=0,"",LEN(A342)&amp;":"&amp;A342&amp;LEN(B342)&amp;":"&amp;B342&amp;LEN(C342)&amp;":"&amp;C342&amp;LEN(D342)&amp;":"&amp;D342)</x:f>
      </x:c>
      <x:c r="M342" t="str">
        <x:f>IF(COUNTA(A342:F342)=0,"",IF(ISNUMBER(E342),1,0))</x:f>
      </x:c>
    </x:row>
    <x:row r="343">
      <x:c r="A343" s="11"/>
      <x:c r="B343" s="11"/>
      <x:c r="C343" s="11"/>
      <x:c r="D343" s="11"/>
      <x:c r="E343" s="12"/>
      <x:c r="F343" s="10"/>
      <x:c r="G343" s="2" t="str">
        <x:f>IF(COUNTA(A343:F343)=0,"",COUNTIFS('External Data'!$L$2:$L$1001,SUBSTITUTE(SUBSTITUTE(SUBSTITUTE(L343,"~","~~"),"*","~*"),"?","~?")))</x:f>
      </x:c>
      <x:c r="H343" s="2" t="str">
        <x:f>IF(COUNTA(A343:F343)=0,"",COUNTIFS('App Data'!$L$2:$L$1001,SUBSTITUTE(SUBSTITUTE(SUBSTITUTE(L343,"~","~~"),"*","~*"),"?","~?")))</x:f>
      </x:c>
      <x:c r="I343" s="13" t="str">
        <x:f>IF(OR(H343&lt;&gt;1,G343&lt;&gt;1),"",SUMIFS('App Data'!$E$2:$E$1001,'App Data'!$L$2:$L$1001,SUBSTITUTE(SUBSTITUTE(SUBSTITUTE(L343,"~","~~"),"*","~*"),"?","~?")))</x:f>
      </x:c>
      <x:c r="J343" s="13" t="str">
        <x:f>IF(OR(NOT(ISNUMBER(E343)),NOT(ISNUMBER(I343))),"",ROUND(E343-I343,2))</x:f>
      </x:c>
      <x:c r="K343" s="2" t="str">
        <x:f>IF(COUNTA(A343:F343)=0,"",IF(OR(A343="",B343="",C343="",D343="",NOT(ISNUMBER(E343))),"Missing / invalid input",IF(G343&gt;1,"Duplicate key in this source",IF(H343=0,"Missing in other source",IF(H343&gt;1,"Duplicate in other source",IF(SUMIFS('App Data'!$M$2:$M$1001,'App Data'!$L$2:$L$1001,SUBSTITUTE(SUBSTITUTE(SUBSTITUTE(L343,"~","~~"),"*","~*"),"?","~?"))&lt;&gt;1,"Other amount is invalid",IF(J343&lt;&gt;0,"Amount differs","Matched")))))))</x:f>
      </x:c>
      <x:c r="L343" t="str">
        <x:f>IF(COUNTA(A343:F343)=0,"",LEN(A343)&amp;":"&amp;A343&amp;LEN(B343)&amp;":"&amp;B343&amp;LEN(C343)&amp;":"&amp;C343&amp;LEN(D343)&amp;":"&amp;D343)</x:f>
      </x:c>
      <x:c r="M343" t="str">
        <x:f>IF(COUNTA(A343:F343)=0,"",IF(ISNUMBER(E343),1,0))</x:f>
      </x:c>
    </x:row>
    <x:row r="344">
      <x:c r="A344" s="11"/>
      <x:c r="B344" s="11"/>
      <x:c r="C344" s="11"/>
      <x:c r="D344" s="11"/>
      <x:c r="E344" s="12"/>
      <x:c r="F344" s="10"/>
      <x:c r="G344" s="2" t="str">
        <x:f>IF(COUNTA(A344:F344)=0,"",COUNTIFS('External Data'!$L$2:$L$1001,SUBSTITUTE(SUBSTITUTE(SUBSTITUTE(L344,"~","~~"),"*","~*"),"?","~?")))</x:f>
      </x:c>
      <x:c r="H344" s="2" t="str">
        <x:f>IF(COUNTA(A344:F344)=0,"",COUNTIFS('App Data'!$L$2:$L$1001,SUBSTITUTE(SUBSTITUTE(SUBSTITUTE(L344,"~","~~"),"*","~*"),"?","~?")))</x:f>
      </x:c>
      <x:c r="I344" s="13" t="str">
        <x:f>IF(OR(H344&lt;&gt;1,G344&lt;&gt;1),"",SUMIFS('App Data'!$E$2:$E$1001,'App Data'!$L$2:$L$1001,SUBSTITUTE(SUBSTITUTE(SUBSTITUTE(L344,"~","~~"),"*","~*"),"?","~?")))</x:f>
      </x:c>
      <x:c r="J344" s="13" t="str">
        <x:f>IF(OR(NOT(ISNUMBER(E344)),NOT(ISNUMBER(I344))),"",ROUND(E344-I344,2))</x:f>
      </x:c>
      <x:c r="K344" s="2" t="str">
        <x:f>IF(COUNTA(A344:F344)=0,"",IF(OR(A344="",B344="",C344="",D344="",NOT(ISNUMBER(E344))),"Missing / invalid input",IF(G344&gt;1,"Duplicate key in this source",IF(H344=0,"Missing in other source",IF(H344&gt;1,"Duplicate in other source",IF(SUMIFS('App Data'!$M$2:$M$1001,'App Data'!$L$2:$L$1001,SUBSTITUTE(SUBSTITUTE(SUBSTITUTE(L344,"~","~~"),"*","~*"),"?","~?"))&lt;&gt;1,"Other amount is invalid",IF(J344&lt;&gt;0,"Amount differs","Matched")))))))</x:f>
      </x:c>
      <x:c r="L344" t="str">
        <x:f>IF(COUNTA(A344:F344)=0,"",LEN(A344)&amp;":"&amp;A344&amp;LEN(B344)&amp;":"&amp;B344&amp;LEN(C344)&amp;":"&amp;C344&amp;LEN(D344)&amp;":"&amp;D344)</x:f>
      </x:c>
      <x:c r="M344" t="str">
        <x:f>IF(COUNTA(A344:F344)=0,"",IF(ISNUMBER(E344),1,0))</x:f>
      </x:c>
    </x:row>
    <x:row r="345">
      <x:c r="A345" s="11"/>
      <x:c r="B345" s="11"/>
      <x:c r="C345" s="11"/>
      <x:c r="D345" s="11"/>
      <x:c r="E345" s="12"/>
      <x:c r="F345" s="10"/>
      <x:c r="G345" s="2" t="str">
        <x:f>IF(COUNTA(A345:F345)=0,"",COUNTIFS('External Data'!$L$2:$L$1001,SUBSTITUTE(SUBSTITUTE(SUBSTITUTE(L345,"~","~~"),"*","~*"),"?","~?")))</x:f>
      </x:c>
      <x:c r="H345" s="2" t="str">
        <x:f>IF(COUNTA(A345:F345)=0,"",COUNTIFS('App Data'!$L$2:$L$1001,SUBSTITUTE(SUBSTITUTE(SUBSTITUTE(L345,"~","~~"),"*","~*"),"?","~?")))</x:f>
      </x:c>
      <x:c r="I345" s="13" t="str">
        <x:f>IF(OR(H345&lt;&gt;1,G345&lt;&gt;1),"",SUMIFS('App Data'!$E$2:$E$1001,'App Data'!$L$2:$L$1001,SUBSTITUTE(SUBSTITUTE(SUBSTITUTE(L345,"~","~~"),"*","~*"),"?","~?")))</x:f>
      </x:c>
      <x:c r="J345" s="13" t="str">
        <x:f>IF(OR(NOT(ISNUMBER(E345)),NOT(ISNUMBER(I345))),"",ROUND(E345-I345,2))</x:f>
      </x:c>
      <x:c r="K345" s="2" t="str">
        <x:f>IF(COUNTA(A345:F345)=0,"",IF(OR(A345="",B345="",C345="",D345="",NOT(ISNUMBER(E345))),"Missing / invalid input",IF(G345&gt;1,"Duplicate key in this source",IF(H345=0,"Missing in other source",IF(H345&gt;1,"Duplicate in other source",IF(SUMIFS('App Data'!$M$2:$M$1001,'App Data'!$L$2:$L$1001,SUBSTITUTE(SUBSTITUTE(SUBSTITUTE(L345,"~","~~"),"*","~*"),"?","~?"))&lt;&gt;1,"Other amount is invalid",IF(J345&lt;&gt;0,"Amount differs","Matched")))))))</x:f>
      </x:c>
      <x:c r="L345" t="str">
        <x:f>IF(COUNTA(A345:F345)=0,"",LEN(A345)&amp;":"&amp;A345&amp;LEN(B345)&amp;":"&amp;B345&amp;LEN(C345)&amp;":"&amp;C345&amp;LEN(D345)&amp;":"&amp;D345)</x:f>
      </x:c>
      <x:c r="M345" t="str">
        <x:f>IF(COUNTA(A345:F345)=0,"",IF(ISNUMBER(E345),1,0))</x:f>
      </x:c>
    </x:row>
    <x:row r="346">
      <x:c r="A346" s="11"/>
      <x:c r="B346" s="11"/>
      <x:c r="C346" s="11"/>
      <x:c r="D346" s="11"/>
      <x:c r="E346" s="12"/>
      <x:c r="F346" s="10"/>
      <x:c r="G346" s="2" t="str">
        <x:f>IF(COUNTA(A346:F346)=0,"",COUNTIFS('External Data'!$L$2:$L$1001,SUBSTITUTE(SUBSTITUTE(SUBSTITUTE(L346,"~","~~"),"*","~*"),"?","~?")))</x:f>
      </x:c>
      <x:c r="H346" s="2" t="str">
        <x:f>IF(COUNTA(A346:F346)=0,"",COUNTIFS('App Data'!$L$2:$L$1001,SUBSTITUTE(SUBSTITUTE(SUBSTITUTE(L346,"~","~~"),"*","~*"),"?","~?")))</x:f>
      </x:c>
      <x:c r="I346" s="13" t="str">
        <x:f>IF(OR(H346&lt;&gt;1,G346&lt;&gt;1),"",SUMIFS('App Data'!$E$2:$E$1001,'App Data'!$L$2:$L$1001,SUBSTITUTE(SUBSTITUTE(SUBSTITUTE(L346,"~","~~"),"*","~*"),"?","~?")))</x:f>
      </x:c>
      <x:c r="J346" s="13" t="str">
        <x:f>IF(OR(NOT(ISNUMBER(E346)),NOT(ISNUMBER(I346))),"",ROUND(E346-I346,2))</x:f>
      </x:c>
      <x:c r="K346" s="2" t="str">
        <x:f>IF(COUNTA(A346:F346)=0,"",IF(OR(A346="",B346="",C346="",D346="",NOT(ISNUMBER(E346))),"Missing / invalid input",IF(G346&gt;1,"Duplicate key in this source",IF(H346=0,"Missing in other source",IF(H346&gt;1,"Duplicate in other source",IF(SUMIFS('App Data'!$M$2:$M$1001,'App Data'!$L$2:$L$1001,SUBSTITUTE(SUBSTITUTE(SUBSTITUTE(L346,"~","~~"),"*","~*"),"?","~?"))&lt;&gt;1,"Other amount is invalid",IF(J346&lt;&gt;0,"Amount differs","Matched")))))))</x:f>
      </x:c>
      <x:c r="L346" t="str">
        <x:f>IF(COUNTA(A346:F346)=0,"",LEN(A346)&amp;":"&amp;A346&amp;LEN(B346)&amp;":"&amp;B346&amp;LEN(C346)&amp;":"&amp;C346&amp;LEN(D346)&amp;":"&amp;D346)</x:f>
      </x:c>
      <x:c r="M346" t="str">
        <x:f>IF(COUNTA(A346:F346)=0,"",IF(ISNUMBER(E346),1,0))</x:f>
      </x:c>
    </x:row>
    <x:row r="347">
      <x:c r="A347" s="11"/>
      <x:c r="B347" s="11"/>
      <x:c r="C347" s="11"/>
      <x:c r="D347" s="11"/>
      <x:c r="E347" s="12"/>
      <x:c r="F347" s="10"/>
      <x:c r="G347" s="2" t="str">
        <x:f>IF(COUNTA(A347:F347)=0,"",COUNTIFS('External Data'!$L$2:$L$1001,SUBSTITUTE(SUBSTITUTE(SUBSTITUTE(L347,"~","~~"),"*","~*"),"?","~?")))</x:f>
      </x:c>
      <x:c r="H347" s="2" t="str">
        <x:f>IF(COUNTA(A347:F347)=0,"",COUNTIFS('App Data'!$L$2:$L$1001,SUBSTITUTE(SUBSTITUTE(SUBSTITUTE(L347,"~","~~"),"*","~*"),"?","~?")))</x:f>
      </x:c>
      <x:c r="I347" s="13" t="str">
        <x:f>IF(OR(H347&lt;&gt;1,G347&lt;&gt;1),"",SUMIFS('App Data'!$E$2:$E$1001,'App Data'!$L$2:$L$1001,SUBSTITUTE(SUBSTITUTE(SUBSTITUTE(L347,"~","~~"),"*","~*"),"?","~?")))</x:f>
      </x:c>
      <x:c r="J347" s="13" t="str">
        <x:f>IF(OR(NOT(ISNUMBER(E347)),NOT(ISNUMBER(I347))),"",ROUND(E347-I347,2))</x:f>
      </x:c>
      <x:c r="K347" s="2" t="str">
        <x:f>IF(COUNTA(A347:F347)=0,"",IF(OR(A347="",B347="",C347="",D347="",NOT(ISNUMBER(E347))),"Missing / invalid input",IF(G347&gt;1,"Duplicate key in this source",IF(H347=0,"Missing in other source",IF(H347&gt;1,"Duplicate in other source",IF(SUMIFS('App Data'!$M$2:$M$1001,'App Data'!$L$2:$L$1001,SUBSTITUTE(SUBSTITUTE(SUBSTITUTE(L347,"~","~~"),"*","~*"),"?","~?"))&lt;&gt;1,"Other amount is invalid",IF(J347&lt;&gt;0,"Amount differs","Matched")))))))</x:f>
      </x:c>
      <x:c r="L347" t="str">
        <x:f>IF(COUNTA(A347:F347)=0,"",LEN(A347)&amp;":"&amp;A347&amp;LEN(B347)&amp;":"&amp;B347&amp;LEN(C347)&amp;":"&amp;C347&amp;LEN(D347)&amp;":"&amp;D347)</x:f>
      </x:c>
      <x:c r="M347" t="str">
        <x:f>IF(COUNTA(A347:F347)=0,"",IF(ISNUMBER(E347),1,0))</x:f>
      </x:c>
    </x:row>
    <x:row r="348">
      <x:c r="A348" s="11"/>
      <x:c r="B348" s="11"/>
      <x:c r="C348" s="11"/>
      <x:c r="D348" s="11"/>
      <x:c r="E348" s="12"/>
      <x:c r="F348" s="10"/>
      <x:c r="G348" s="2" t="str">
        <x:f>IF(COUNTA(A348:F348)=0,"",COUNTIFS('External Data'!$L$2:$L$1001,SUBSTITUTE(SUBSTITUTE(SUBSTITUTE(L348,"~","~~"),"*","~*"),"?","~?")))</x:f>
      </x:c>
      <x:c r="H348" s="2" t="str">
        <x:f>IF(COUNTA(A348:F348)=0,"",COUNTIFS('App Data'!$L$2:$L$1001,SUBSTITUTE(SUBSTITUTE(SUBSTITUTE(L348,"~","~~"),"*","~*"),"?","~?")))</x:f>
      </x:c>
      <x:c r="I348" s="13" t="str">
        <x:f>IF(OR(H348&lt;&gt;1,G348&lt;&gt;1),"",SUMIFS('App Data'!$E$2:$E$1001,'App Data'!$L$2:$L$1001,SUBSTITUTE(SUBSTITUTE(SUBSTITUTE(L348,"~","~~"),"*","~*"),"?","~?")))</x:f>
      </x:c>
      <x:c r="J348" s="13" t="str">
        <x:f>IF(OR(NOT(ISNUMBER(E348)),NOT(ISNUMBER(I348))),"",ROUND(E348-I348,2))</x:f>
      </x:c>
      <x:c r="K348" s="2" t="str">
        <x:f>IF(COUNTA(A348:F348)=0,"",IF(OR(A348="",B348="",C348="",D348="",NOT(ISNUMBER(E348))),"Missing / invalid input",IF(G348&gt;1,"Duplicate key in this source",IF(H348=0,"Missing in other source",IF(H348&gt;1,"Duplicate in other source",IF(SUMIFS('App Data'!$M$2:$M$1001,'App Data'!$L$2:$L$1001,SUBSTITUTE(SUBSTITUTE(SUBSTITUTE(L348,"~","~~"),"*","~*"),"?","~?"))&lt;&gt;1,"Other amount is invalid",IF(J348&lt;&gt;0,"Amount differs","Matched")))))))</x:f>
      </x:c>
      <x:c r="L348" t="str">
        <x:f>IF(COUNTA(A348:F348)=0,"",LEN(A348)&amp;":"&amp;A348&amp;LEN(B348)&amp;":"&amp;B348&amp;LEN(C348)&amp;":"&amp;C348&amp;LEN(D348)&amp;":"&amp;D348)</x:f>
      </x:c>
      <x:c r="M348" t="str">
        <x:f>IF(COUNTA(A348:F348)=0,"",IF(ISNUMBER(E348),1,0))</x:f>
      </x:c>
    </x:row>
    <x:row r="349">
      <x:c r="A349" s="11"/>
      <x:c r="B349" s="11"/>
      <x:c r="C349" s="11"/>
      <x:c r="D349" s="11"/>
      <x:c r="E349" s="12"/>
      <x:c r="F349" s="10"/>
      <x:c r="G349" s="2" t="str">
        <x:f>IF(COUNTA(A349:F349)=0,"",COUNTIFS('External Data'!$L$2:$L$1001,SUBSTITUTE(SUBSTITUTE(SUBSTITUTE(L349,"~","~~"),"*","~*"),"?","~?")))</x:f>
      </x:c>
      <x:c r="H349" s="2" t="str">
        <x:f>IF(COUNTA(A349:F349)=0,"",COUNTIFS('App Data'!$L$2:$L$1001,SUBSTITUTE(SUBSTITUTE(SUBSTITUTE(L349,"~","~~"),"*","~*"),"?","~?")))</x:f>
      </x:c>
      <x:c r="I349" s="13" t="str">
        <x:f>IF(OR(H349&lt;&gt;1,G349&lt;&gt;1),"",SUMIFS('App Data'!$E$2:$E$1001,'App Data'!$L$2:$L$1001,SUBSTITUTE(SUBSTITUTE(SUBSTITUTE(L349,"~","~~"),"*","~*"),"?","~?")))</x:f>
      </x:c>
      <x:c r="J349" s="13" t="str">
        <x:f>IF(OR(NOT(ISNUMBER(E349)),NOT(ISNUMBER(I349))),"",ROUND(E349-I349,2))</x:f>
      </x:c>
      <x:c r="K349" s="2" t="str">
        <x:f>IF(COUNTA(A349:F349)=0,"",IF(OR(A349="",B349="",C349="",D349="",NOT(ISNUMBER(E349))),"Missing / invalid input",IF(G349&gt;1,"Duplicate key in this source",IF(H349=0,"Missing in other source",IF(H349&gt;1,"Duplicate in other source",IF(SUMIFS('App Data'!$M$2:$M$1001,'App Data'!$L$2:$L$1001,SUBSTITUTE(SUBSTITUTE(SUBSTITUTE(L349,"~","~~"),"*","~*"),"?","~?"))&lt;&gt;1,"Other amount is invalid",IF(J349&lt;&gt;0,"Amount differs","Matched")))))))</x:f>
      </x:c>
      <x:c r="L349" t="str">
        <x:f>IF(COUNTA(A349:F349)=0,"",LEN(A349)&amp;":"&amp;A349&amp;LEN(B349)&amp;":"&amp;B349&amp;LEN(C349)&amp;":"&amp;C349&amp;LEN(D349)&amp;":"&amp;D349)</x:f>
      </x:c>
      <x:c r="M349" t="str">
        <x:f>IF(COUNTA(A349:F349)=0,"",IF(ISNUMBER(E349),1,0))</x:f>
      </x:c>
    </x:row>
    <x:row r="350">
      <x:c r="A350" s="11"/>
      <x:c r="B350" s="11"/>
      <x:c r="C350" s="11"/>
      <x:c r="D350" s="11"/>
      <x:c r="E350" s="12"/>
      <x:c r="F350" s="10"/>
      <x:c r="G350" s="2" t="str">
        <x:f>IF(COUNTA(A350:F350)=0,"",COUNTIFS('External Data'!$L$2:$L$1001,SUBSTITUTE(SUBSTITUTE(SUBSTITUTE(L350,"~","~~"),"*","~*"),"?","~?")))</x:f>
      </x:c>
      <x:c r="H350" s="2" t="str">
        <x:f>IF(COUNTA(A350:F350)=0,"",COUNTIFS('App Data'!$L$2:$L$1001,SUBSTITUTE(SUBSTITUTE(SUBSTITUTE(L350,"~","~~"),"*","~*"),"?","~?")))</x:f>
      </x:c>
      <x:c r="I350" s="13" t="str">
        <x:f>IF(OR(H350&lt;&gt;1,G350&lt;&gt;1),"",SUMIFS('App Data'!$E$2:$E$1001,'App Data'!$L$2:$L$1001,SUBSTITUTE(SUBSTITUTE(SUBSTITUTE(L350,"~","~~"),"*","~*"),"?","~?")))</x:f>
      </x:c>
      <x:c r="J350" s="13" t="str">
        <x:f>IF(OR(NOT(ISNUMBER(E350)),NOT(ISNUMBER(I350))),"",ROUND(E350-I350,2))</x:f>
      </x:c>
      <x:c r="K350" s="2" t="str">
        <x:f>IF(COUNTA(A350:F350)=0,"",IF(OR(A350="",B350="",C350="",D350="",NOT(ISNUMBER(E350))),"Missing / invalid input",IF(G350&gt;1,"Duplicate key in this source",IF(H350=0,"Missing in other source",IF(H350&gt;1,"Duplicate in other source",IF(SUMIFS('App Data'!$M$2:$M$1001,'App Data'!$L$2:$L$1001,SUBSTITUTE(SUBSTITUTE(SUBSTITUTE(L350,"~","~~"),"*","~*"),"?","~?"))&lt;&gt;1,"Other amount is invalid",IF(J350&lt;&gt;0,"Amount differs","Matched")))))))</x:f>
      </x:c>
      <x:c r="L350" t="str">
        <x:f>IF(COUNTA(A350:F350)=0,"",LEN(A350)&amp;":"&amp;A350&amp;LEN(B350)&amp;":"&amp;B350&amp;LEN(C350)&amp;":"&amp;C350&amp;LEN(D350)&amp;":"&amp;D350)</x:f>
      </x:c>
      <x:c r="M350" t="str">
        <x:f>IF(COUNTA(A350:F350)=0,"",IF(ISNUMBER(E350),1,0))</x:f>
      </x:c>
    </x:row>
    <x:row r="351">
      <x:c r="A351" s="11"/>
      <x:c r="B351" s="11"/>
      <x:c r="C351" s="11"/>
      <x:c r="D351" s="11"/>
      <x:c r="E351" s="12"/>
      <x:c r="F351" s="10"/>
      <x:c r="G351" s="2" t="str">
        <x:f>IF(COUNTA(A351:F351)=0,"",COUNTIFS('External Data'!$L$2:$L$1001,SUBSTITUTE(SUBSTITUTE(SUBSTITUTE(L351,"~","~~"),"*","~*"),"?","~?")))</x:f>
      </x:c>
      <x:c r="H351" s="2" t="str">
        <x:f>IF(COUNTA(A351:F351)=0,"",COUNTIFS('App Data'!$L$2:$L$1001,SUBSTITUTE(SUBSTITUTE(SUBSTITUTE(L351,"~","~~"),"*","~*"),"?","~?")))</x:f>
      </x:c>
      <x:c r="I351" s="13" t="str">
        <x:f>IF(OR(H351&lt;&gt;1,G351&lt;&gt;1),"",SUMIFS('App Data'!$E$2:$E$1001,'App Data'!$L$2:$L$1001,SUBSTITUTE(SUBSTITUTE(SUBSTITUTE(L351,"~","~~"),"*","~*"),"?","~?")))</x:f>
      </x:c>
      <x:c r="J351" s="13" t="str">
        <x:f>IF(OR(NOT(ISNUMBER(E351)),NOT(ISNUMBER(I351))),"",ROUND(E351-I351,2))</x:f>
      </x:c>
      <x:c r="K351" s="2" t="str">
        <x:f>IF(COUNTA(A351:F351)=0,"",IF(OR(A351="",B351="",C351="",D351="",NOT(ISNUMBER(E351))),"Missing / invalid input",IF(G351&gt;1,"Duplicate key in this source",IF(H351=0,"Missing in other source",IF(H351&gt;1,"Duplicate in other source",IF(SUMIFS('App Data'!$M$2:$M$1001,'App Data'!$L$2:$L$1001,SUBSTITUTE(SUBSTITUTE(SUBSTITUTE(L351,"~","~~"),"*","~*"),"?","~?"))&lt;&gt;1,"Other amount is invalid",IF(J351&lt;&gt;0,"Amount differs","Matched")))))))</x:f>
      </x:c>
      <x:c r="L351" t="str">
        <x:f>IF(COUNTA(A351:F351)=0,"",LEN(A351)&amp;":"&amp;A351&amp;LEN(B351)&amp;":"&amp;B351&amp;LEN(C351)&amp;":"&amp;C351&amp;LEN(D351)&amp;":"&amp;D351)</x:f>
      </x:c>
      <x:c r="M351" t="str">
        <x:f>IF(COUNTA(A351:F351)=0,"",IF(ISNUMBER(E351),1,0))</x:f>
      </x:c>
    </x:row>
    <x:row r="352">
      <x:c r="A352" s="11"/>
      <x:c r="B352" s="11"/>
      <x:c r="C352" s="11"/>
      <x:c r="D352" s="11"/>
      <x:c r="E352" s="12"/>
      <x:c r="F352" s="10"/>
      <x:c r="G352" s="2" t="str">
        <x:f>IF(COUNTA(A352:F352)=0,"",COUNTIFS('External Data'!$L$2:$L$1001,SUBSTITUTE(SUBSTITUTE(SUBSTITUTE(L352,"~","~~"),"*","~*"),"?","~?")))</x:f>
      </x:c>
      <x:c r="H352" s="2" t="str">
        <x:f>IF(COUNTA(A352:F352)=0,"",COUNTIFS('App Data'!$L$2:$L$1001,SUBSTITUTE(SUBSTITUTE(SUBSTITUTE(L352,"~","~~"),"*","~*"),"?","~?")))</x:f>
      </x:c>
      <x:c r="I352" s="13" t="str">
        <x:f>IF(OR(H352&lt;&gt;1,G352&lt;&gt;1),"",SUMIFS('App Data'!$E$2:$E$1001,'App Data'!$L$2:$L$1001,SUBSTITUTE(SUBSTITUTE(SUBSTITUTE(L352,"~","~~"),"*","~*"),"?","~?")))</x:f>
      </x:c>
      <x:c r="J352" s="13" t="str">
        <x:f>IF(OR(NOT(ISNUMBER(E352)),NOT(ISNUMBER(I352))),"",ROUND(E352-I352,2))</x:f>
      </x:c>
      <x:c r="K352" s="2" t="str">
        <x:f>IF(COUNTA(A352:F352)=0,"",IF(OR(A352="",B352="",C352="",D352="",NOT(ISNUMBER(E352))),"Missing / invalid input",IF(G352&gt;1,"Duplicate key in this source",IF(H352=0,"Missing in other source",IF(H352&gt;1,"Duplicate in other source",IF(SUMIFS('App Data'!$M$2:$M$1001,'App Data'!$L$2:$L$1001,SUBSTITUTE(SUBSTITUTE(SUBSTITUTE(L352,"~","~~"),"*","~*"),"?","~?"))&lt;&gt;1,"Other amount is invalid",IF(J352&lt;&gt;0,"Amount differs","Matched")))))))</x:f>
      </x:c>
      <x:c r="L352" t="str">
        <x:f>IF(COUNTA(A352:F352)=0,"",LEN(A352)&amp;":"&amp;A352&amp;LEN(B352)&amp;":"&amp;B352&amp;LEN(C352)&amp;":"&amp;C352&amp;LEN(D352)&amp;":"&amp;D352)</x:f>
      </x:c>
      <x:c r="M352" t="str">
        <x:f>IF(COUNTA(A352:F352)=0,"",IF(ISNUMBER(E352),1,0))</x:f>
      </x:c>
    </x:row>
    <x:row r="353">
      <x:c r="A353" s="11"/>
      <x:c r="B353" s="11"/>
      <x:c r="C353" s="11"/>
      <x:c r="D353" s="11"/>
      <x:c r="E353" s="12"/>
      <x:c r="F353" s="10"/>
      <x:c r="G353" s="2" t="str">
        <x:f>IF(COUNTA(A353:F353)=0,"",COUNTIFS('External Data'!$L$2:$L$1001,SUBSTITUTE(SUBSTITUTE(SUBSTITUTE(L353,"~","~~"),"*","~*"),"?","~?")))</x:f>
      </x:c>
      <x:c r="H353" s="2" t="str">
        <x:f>IF(COUNTA(A353:F353)=0,"",COUNTIFS('App Data'!$L$2:$L$1001,SUBSTITUTE(SUBSTITUTE(SUBSTITUTE(L353,"~","~~"),"*","~*"),"?","~?")))</x:f>
      </x:c>
      <x:c r="I353" s="13" t="str">
        <x:f>IF(OR(H353&lt;&gt;1,G353&lt;&gt;1),"",SUMIFS('App Data'!$E$2:$E$1001,'App Data'!$L$2:$L$1001,SUBSTITUTE(SUBSTITUTE(SUBSTITUTE(L353,"~","~~"),"*","~*"),"?","~?")))</x:f>
      </x:c>
      <x:c r="J353" s="13" t="str">
        <x:f>IF(OR(NOT(ISNUMBER(E353)),NOT(ISNUMBER(I353))),"",ROUND(E353-I353,2))</x:f>
      </x:c>
      <x:c r="K353" s="2" t="str">
        <x:f>IF(COUNTA(A353:F353)=0,"",IF(OR(A353="",B353="",C353="",D353="",NOT(ISNUMBER(E353))),"Missing / invalid input",IF(G353&gt;1,"Duplicate key in this source",IF(H353=0,"Missing in other source",IF(H353&gt;1,"Duplicate in other source",IF(SUMIFS('App Data'!$M$2:$M$1001,'App Data'!$L$2:$L$1001,SUBSTITUTE(SUBSTITUTE(SUBSTITUTE(L353,"~","~~"),"*","~*"),"?","~?"))&lt;&gt;1,"Other amount is invalid",IF(J353&lt;&gt;0,"Amount differs","Matched")))))))</x:f>
      </x:c>
      <x:c r="L353" t="str">
        <x:f>IF(COUNTA(A353:F353)=0,"",LEN(A353)&amp;":"&amp;A353&amp;LEN(B353)&amp;":"&amp;B353&amp;LEN(C353)&amp;":"&amp;C353&amp;LEN(D353)&amp;":"&amp;D353)</x:f>
      </x:c>
      <x:c r="M353" t="str">
        <x:f>IF(COUNTA(A353:F353)=0,"",IF(ISNUMBER(E353),1,0))</x:f>
      </x:c>
    </x:row>
    <x:row r="354">
      <x:c r="A354" s="11"/>
      <x:c r="B354" s="11"/>
      <x:c r="C354" s="11"/>
      <x:c r="D354" s="11"/>
      <x:c r="E354" s="12"/>
      <x:c r="F354" s="10"/>
      <x:c r="G354" s="2" t="str">
        <x:f>IF(COUNTA(A354:F354)=0,"",COUNTIFS('External Data'!$L$2:$L$1001,SUBSTITUTE(SUBSTITUTE(SUBSTITUTE(L354,"~","~~"),"*","~*"),"?","~?")))</x:f>
      </x:c>
      <x:c r="H354" s="2" t="str">
        <x:f>IF(COUNTA(A354:F354)=0,"",COUNTIFS('App Data'!$L$2:$L$1001,SUBSTITUTE(SUBSTITUTE(SUBSTITUTE(L354,"~","~~"),"*","~*"),"?","~?")))</x:f>
      </x:c>
      <x:c r="I354" s="13" t="str">
        <x:f>IF(OR(H354&lt;&gt;1,G354&lt;&gt;1),"",SUMIFS('App Data'!$E$2:$E$1001,'App Data'!$L$2:$L$1001,SUBSTITUTE(SUBSTITUTE(SUBSTITUTE(L354,"~","~~"),"*","~*"),"?","~?")))</x:f>
      </x:c>
      <x:c r="J354" s="13" t="str">
        <x:f>IF(OR(NOT(ISNUMBER(E354)),NOT(ISNUMBER(I354))),"",ROUND(E354-I354,2))</x:f>
      </x:c>
      <x:c r="K354" s="2" t="str">
        <x:f>IF(COUNTA(A354:F354)=0,"",IF(OR(A354="",B354="",C354="",D354="",NOT(ISNUMBER(E354))),"Missing / invalid input",IF(G354&gt;1,"Duplicate key in this source",IF(H354=0,"Missing in other source",IF(H354&gt;1,"Duplicate in other source",IF(SUMIFS('App Data'!$M$2:$M$1001,'App Data'!$L$2:$L$1001,SUBSTITUTE(SUBSTITUTE(SUBSTITUTE(L354,"~","~~"),"*","~*"),"?","~?"))&lt;&gt;1,"Other amount is invalid",IF(J354&lt;&gt;0,"Amount differs","Matched")))))))</x:f>
      </x:c>
      <x:c r="L354" t="str">
        <x:f>IF(COUNTA(A354:F354)=0,"",LEN(A354)&amp;":"&amp;A354&amp;LEN(B354)&amp;":"&amp;B354&amp;LEN(C354)&amp;":"&amp;C354&amp;LEN(D354)&amp;":"&amp;D354)</x:f>
      </x:c>
      <x:c r="M354" t="str">
        <x:f>IF(COUNTA(A354:F354)=0,"",IF(ISNUMBER(E354),1,0))</x:f>
      </x:c>
    </x:row>
    <x:row r="355">
      <x:c r="A355" s="11"/>
      <x:c r="B355" s="11"/>
      <x:c r="C355" s="11"/>
      <x:c r="D355" s="11"/>
      <x:c r="E355" s="12"/>
      <x:c r="F355" s="10"/>
      <x:c r="G355" s="2" t="str">
        <x:f>IF(COUNTA(A355:F355)=0,"",COUNTIFS('External Data'!$L$2:$L$1001,SUBSTITUTE(SUBSTITUTE(SUBSTITUTE(L355,"~","~~"),"*","~*"),"?","~?")))</x:f>
      </x:c>
      <x:c r="H355" s="2" t="str">
        <x:f>IF(COUNTA(A355:F355)=0,"",COUNTIFS('App Data'!$L$2:$L$1001,SUBSTITUTE(SUBSTITUTE(SUBSTITUTE(L355,"~","~~"),"*","~*"),"?","~?")))</x:f>
      </x:c>
      <x:c r="I355" s="13" t="str">
        <x:f>IF(OR(H355&lt;&gt;1,G355&lt;&gt;1),"",SUMIFS('App Data'!$E$2:$E$1001,'App Data'!$L$2:$L$1001,SUBSTITUTE(SUBSTITUTE(SUBSTITUTE(L355,"~","~~"),"*","~*"),"?","~?")))</x:f>
      </x:c>
      <x:c r="J355" s="13" t="str">
        <x:f>IF(OR(NOT(ISNUMBER(E355)),NOT(ISNUMBER(I355))),"",ROUND(E355-I355,2))</x:f>
      </x:c>
      <x:c r="K355" s="2" t="str">
        <x:f>IF(COUNTA(A355:F355)=0,"",IF(OR(A355="",B355="",C355="",D355="",NOT(ISNUMBER(E355))),"Missing / invalid input",IF(G355&gt;1,"Duplicate key in this source",IF(H355=0,"Missing in other source",IF(H355&gt;1,"Duplicate in other source",IF(SUMIFS('App Data'!$M$2:$M$1001,'App Data'!$L$2:$L$1001,SUBSTITUTE(SUBSTITUTE(SUBSTITUTE(L355,"~","~~"),"*","~*"),"?","~?"))&lt;&gt;1,"Other amount is invalid",IF(J355&lt;&gt;0,"Amount differs","Matched")))))))</x:f>
      </x:c>
      <x:c r="L355" t="str">
        <x:f>IF(COUNTA(A355:F355)=0,"",LEN(A355)&amp;":"&amp;A355&amp;LEN(B355)&amp;":"&amp;B355&amp;LEN(C355)&amp;":"&amp;C355&amp;LEN(D355)&amp;":"&amp;D355)</x:f>
      </x:c>
      <x:c r="M355" t="str">
        <x:f>IF(COUNTA(A355:F355)=0,"",IF(ISNUMBER(E355),1,0))</x:f>
      </x:c>
    </x:row>
    <x:row r="356">
      <x:c r="A356" s="11"/>
      <x:c r="B356" s="11"/>
      <x:c r="C356" s="11"/>
      <x:c r="D356" s="11"/>
      <x:c r="E356" s="12"/>
      <x:c r="F356" s="10"/>
      <x:c r="G356" s="2" t="str">
        <x:f>IF(COUNTA(A356:F356)=0,"",COUNTIFS('External Data'!$L$2:$L$1001,SUBSTITUTE(SUBSTITUTE(SUBSTITUTE(L356,"~","~~"),"*","~*"),"?","~?")))</x:f>
      </x:c>
      <x:c r="H356" s="2" t="str">
        <x:f>IF(COUNTA(A356:F356)=0,"",COUNTIFS('App Data'!$L$2:$L$1001,SUBSTITUTE(SUBSTITUTE(SUBSTITUTE(L356,"~","~~"),"*","~*"),"?","~?")))</x:f>
      </x:c>
      <x:c r="I356" s="13" t="str">
        <x:f>IF(OR(H356&lt;&gt;1,G356&lt;&gt;1),"",SUMIFS('App Data'!$E$2:$E$1001,'App Data'!$L$2:$L$1001,SUBSTITUTE(SUBSTITUTE(SUBSTITUTE(L356,"~","~~"),"*","~*"),"?","~?")))</x:f>
      </x:c>
      <x:c r="J356" s="13" t="str">
        <x:f>IF(OR(NOT(ISNUMBER(E356)),NOT(ISNUMBER(I356))),"",ROUND(E356-I356,2))</x:f>
      </x:c>
      <x:c r="K356" s="2" t="str">
        <x:f>IF(COUNTA(A356:F356)=0,"",IF(OR(A356="",B356="",C356="",D356="",NOT(ISNUMBER(E356))),"Missing / invalid input",IF(G356&gt;1,"Duplicate key in this source",IF(H356=0,"Missing in other source",IF(H356&gt;1,"Duplicate in other source",IF(SUMIFS('App Data'!$M$2:$M$1001,'App Data'!$L$2:$L$1001,SUBSTITUTE(SUBSTITUTE(SUBSTITUTE(L356,"~","~~"),"*","~*"),"?","~?"))&lt;&gt;1,"Other amount is invalid",IF(J356&lt;&gt;0,"Amount differs","Matched")))))))</x:f>
      </x:c>
      <x:c r="L356" t="str">
        <x:f>IF(COUNTA(A356:F356)=0,"",LEN(A356)&amp;":"&amp;A356&amp;LEN(B356)&amp;":"&amp;B356&amp;LEN(C356)&amp;":"&amp;C356&amp;LEN(D356)&amp;":"&amp;D356)</x:f>
      </x:c>
      <x:c r="M356" t="str">
        <x:f>IF(COUNTA(A356:F356)=0,"",IF(ISNUMBER(E356),1,0))</x:f>
      </x:c>
    </x:row>
    <x:row r="357">
      <x:c r="A357" s="11"/>
      <x:c r="B357" s="11"/>
      <x:c r="C357" s="11"/>
      <x:c r="D357" s="11"/>
      <x:c r="E357" s="12"/>
      <x:c r="F357" s="10"/>
      <x:c r="G357" s="2" t="str">
        <x:f>IF(COUNTA(A357:F357)=0,"",COUNTIFS('External Data'!$L$2:$L$1001,SUBSTITUTE(SUBSTITUTE(SUBSTITUTE(L357,"~","~~"),"*","~*"),"?","~?")))</x:f>
      </x:c>
      <x:c r="H357" s="2" t="str">
        <x:f>IF(COUNTA(A357:F357)=0,"",COUNTIFS('App Data'!$L$2:$L$1001,SUBSTITUTE(SUBSTITUTE(SUBSTITUTE(L357,"~","~~"),"*","~*"),"?","~?")))</x:f>
      </x:c>
      <x:c r="I357" s="13" t="str">
        <x:f>IF(OR(H357&lt;&gt;1,G357&lt;&gt;1),"",SUMIFS('App Data'!$E$2:$E$1001,'App Data'!$L$2:$L$1001,SUBSTITUTE(SUBSTITUTE(SUBSTITUTE(L357,"~","~~"),"*","~*"),"?","~?")))</x:f>
      </x:c>
      <x:c r="J357" s="13" t="str">
        <x:f>IF(OR(NOT(ISNUMBER(E357)),NOT(ISNUMBER(I357))),"",ROUND(E357-I357,2))</x:f>
      </x:c>
      <x:c r="K357" s="2" t="str">
        <x:f>IF(COUNTA(A357:F357)=0,"",IF(OR(A357="",B357="",C357="",D357="",NOT(ISNUMBER(E357))),"Missing / invalid input",IF(G357&gt;1,"Duplicate key in this source",IF(H357=0,"Missing in other source",IF(H357&gt;1,"Duplicate in other source",IF(SUMIFS('App Data'!$M$2:$M$1001,'App Data'!$L$2:$L$1001,SUBSTITUTE(SUBSTITUTE(SUBSTITUTE(L357,"~","~~"),"*","~*"),"?","~?"))&lt;&gt;1,"Other amount is invalid",IF(J357&lt;&gt;0,"Amount differs","Matched")))))))</x:f>
      </x:c>
      <x:c r="L357" t="str">
        <x:f>IF(COUNTA(A357:F357)=0,"",LEN(A357)&amp;":"&amp;A357&amp;LEN(B357)&amp;":"&amp;B357&amp;LEN(C357)&amp;":"&amp;C357&amp;LEN(D357)&amp;":"&amp;D357)</x:f>
      </x:c>
      <x:c r="M357" t="str">
        <x:f>IF(COUNTA(A357:F357)=0,"",IF(ISNUMBER(E357),1,0))</x:f>
      </x:c>
    </x:row>
    <x:row r="358">
      <x:c r="A358" s="11"/>
      <x:c r="B358" s="11"/>
      <x:c r="C358" s="11"/>
      <x:c r="D358" s="11"/>
      <x:c r="E358" s="12"/>
      <x:c r="F358" s="10"/>
      <x:c r="G358" s="2" t="str">
        <x:f>IF(COUNTA(A358:F358)=0,"",COUNTIFS('External Data'!$L$2:$L$1001,SUBSTITUTE(SUBSTITUTE(SUBSTITUTE(L358,"~","~~"),"*","~*"),"?","~?")))</x:f>
      </x:c>
      <x:c r="H358" s="2" t="str">
        <x:f>IF(COUNTA(A358:F358)=0,"",COUNTIFS('App Data'!$L$2:$L$1001,SUBSTITUTE(SUBSTITUTE(SUBSTITUTE(L358,"~","~~"),"*","~*"),"?","~?")))</x:f>
      </x:c>
      <x:c r="I358" s="13" t="str">
        <x:f>IF(OR(H358&lt;&gt;1,G358&lt;&gt;1),"",SUMIFS('App Data'!$E$2:$E$1001,'App Data'!$L$2:$L$1001,SUBSTITUTE(SUBSTITUTE(SUBSTITUTE(L358,"~","~~"),"*","~*"),"?","~?")))</x:f>
      </x:c>
      <x:c r="J358" s="13" t="str">
        <x:f>IF(OR(NOT(ISNUMBER(E358)),NOT(ISNUMBER(I358))),"",ROUND(E358-I358,2))</x:f>
      </x:c>
      <x:c r="K358" s="2" t="str">
        <x:f>IF(COUNTA(A358:F358)=0,"",IF(OR(A358="",B358="",C358="",D358="",NOT(ISNUMBER(E358))),"Missing / invalid input",IF(G358&gt;1,"Duplicate key in this source",IF(H358=0,"Missing in other source",IF(H358&gt;1,"Duplicate in other source",IF(SUMIFS('App Data'!$M$2:$M$1001,'App Data'!$L$2:$L$1001,SUBSTITUTE(SUBSTITUTE(SUBSTITUTE(L358,"~","~~"),"*","~*"),"?","~?"))&lt;&gt;1,"Other amount is invalid",IF(J358&lt;&gt;0,"Amount differs","Matched")))))))</x:f>
      </x:c>
      <x:c r="L358" t="str">
        <x:f>IF(COUNTA(A358:F358)=0,"",LEN(A358)&amp;":"&amp;A358&amp;LEN(B358)&amp;":"&amp;B358&amp;LEN(C358)&amp;":"&amp;C358&amp;LEN(D358)&amp;":"&amp;D358)</x:f>
      </x:c>
      <x:c r="M358" t="str">
        <x:f>IF(COUNTA(A358:F358)=0,"",IF(ISNUMBER(E358),1,0))</x:f>
      </x:c>
    </x:row>
    <x:row r="359">
      <x:c r="A359" s="11"/>
      <x:c r="B359" s="11"/>
      <x:c r="C359" s="11"/>
      <x:c r="D359" s="11"/>
      <x:c r="E359" s="12"/>
      <x:c r="F359" s="10"/>
      <x:c r="G359" s="2" t="str">
        <x:f>IF(COUNTA(A359:F359)=0,"",COUNTIFS('External Data'!$L$2:$L$1001,SUBSTITUTE(SUBSTITUTE(SUBSTITUTE(L359,"~","~~"),"*","~*"),"?","~?")))</x:f>
      </x:c>
      <x:c r="H359" s="2" t="str">
        <x:f>IF(COUNTA(A359:F359)=0,"",COUNTIFS('App Data'!$L$2:$L$1001,SUBSTITUTE(SUBSTITUTE(SUBSTITUTE(L359,"~","~~"),"*","~*"),"?","~?")))</x:f>
      </x:c>
      <x:c r="I359" s="13" t="str">
        <x:f>IF(OR(H359&lt;&gt;1,G359&lt;&gt;1),"",SUMIFS('App Data'!$E$2:$E$1001,'App Data'!$L$2:$L$1001,SUBSTITUTE(SUBSTITUTE(SUBSTITUTE(L359,"~","~~"),"*","~*"),"?","~?")))</x:f>
      </x:c>
      <x:c r="J359" s="13" t="str">
        <x:f>IF(OR(NOT(ISNUMBER(E359)),NOT(ISNUMBER(I359))),"",ROUND(E359-I359,2))</x:f>
      </x:c>
      <x:c r="K359" s="2" t="str">
        <x:f>IF(COUNTA(A359:F359)=0,"",IF(OR(A359="",B359="",C359="",D359="",NOT(ISNUMBER(E359))),"Missing / invalid input",IF(G359&gt;1,"Duplicate key in this source",IF(H359=0,"Missing in other source",IF(H359&gt;1,"Duplicate in other source",IF(SUMIFS('App Data'!$M$2:$M$1001,'App Data'!$L$2:$L$1001,SUBSTITUTE(SUBSTITUTE(SUBSTITUTE(L359,"~","~~"),"*","~*"),"?","~?"))&lt;&gt;1,"Other amount is invalid",IF(J359&lt;&gt;0,"Amount differs","Matched")))))))</x:f>
      </x:c>
      <x:c r="L359" t="str">
        <x:f>IF(COUNTA(A359:F359)=0,"",LEN(A359)&amp;":"&amp;A359&amp;LEN(B359)&amp;":"&amp;B359&amp;LEN(C359)&amp;":"&amp;C359&amp;LEN(D359)&amp;":"&amp;D359)</x:f>
      </x:c>
      <x:c r="M359" t="str">
        <x:f>IF(COUNTA(A359:F359)=0,"",IF(ISNUMBER(E359),1,0))</x:f>
      </x:c>
    </x:row>
    <x:row r="360">
      <x:c r="A360" s="11"/>
      <x:c r="B360" s="11"/>
      <x:c r="C360" s="11"/>
      <x:c r="D360" s="11"/>
      <x:c r="E360" s="12"/>
      <x:c r="F360" s="10"/>
      <x:c r="G360" s="2" t="str">
        <x:f>IF(COUNTA(A360:F360)=0,"",COUNTIFS('External Data'!$L$2:$L$1001,SUBSTITUTE(SUBSTITUTE(SUBSTITUTE(L360,"~","~~"),"*","~*"),"?","~?")))</x:f>
      </x:c>
      <x:c r="H360" s="2" t="str">
        <x:f>IF(COUNTA(A360:F360)=0,"",COUNTIFS('App Data'!$L$2:$L$1001,SUBSTITUTE(SUBSTITUTE(SUBSTITUTE(L360,"~","~~"),"*","~*"),"?","~?")))</x:f>
      </x:c>
      <x:c r="I360" s="13" t="str">
        <x:f>IF(OR(H360&lt;&gt;1,G360&lt;&gt;1),"",SUMIFS('App Data'!$E$2:$E$1001,'App Data'!$L$2:$L$1001,SUBSTITUTE(SUBSTITUTE(SUBSTITUTE(L360,"~","~~"),"*","~*"),"?","~?")))</x:f>
      </x:c>
      <x:c r="J360" s="13" t="str">
        <x:f>IF(OR(NOT(ISNUMBER(E360)),NOT(ISNUMBER(I360))),"",ROUND(E360-I360,2))</x:f>
      </x:c>
      <x:c r="K360" s="2" t="str">
        <x:f>IF(COUNTA(A360:F360)=0,"",IF(OR(A360="",B360="",C360="",D360="",NOT(ISNUMBER(E360))),"Missing / invalid input",IF(G360&gt;1,"Duplicate key in this source",IF(H360=0,"Missing in other source",IF(H360&gt;1,"Duplicate in other source",IF(SUMIFS('App Data'!$M$2:$M$1001,'App Data'!$L$2:$L$1001,SUBSTITUTE(SUBSTITUTE(SUBSTITUTE(L360,"~","~~"),"*","~*"),"?","~?"))&lt;&gt;1,"Other amount is invalid",IF(J360&lt;&gt;0,"Amount differs","Matched")))))))</x:f>
      </x:c>
      <x:c r="L360" t="str">
        <x:f>IF(COUNTA(A360:F360)=0,"",LEN(A360)&amp;":"&amp;A360&amp;LEN(B360)&amp;":"&amp;B360&amp;LEN(C360)&amp;":"&amp;C360&amp;LEN(D360)&amp;":"&amp;D360)</x:f>
      </x:c>
      <x:c r="M360" t="str">
        <x:f>IF(COUNTA(A360:F360)=0,"",IF(ISNUMBER(E360),1,0))</x:f>
      </x:c>
    </x:row>
    <x:row r="361">
      <x:c r="A361" s="11"/>
      <x:c r="B361" s="11"/>
      <x:c r="C361" s="11"/>
      <x:c r="D361" s="11"/>
      <x:c r="E361" s="12"/>
      <x:c r="F361" s="10"/>
      <x:c r="G361" s="2" t="str">
        <x:f>IF(COUNTA(A361:F361)=0,"",COUNTIFS('External Data'!$L$2:$L$1001,SUBSTITUTE(SUBSTITUTE(SUBSTITUTE(L361,"~","~~"),"*","~*"),"?","~?")))</x:f>
      </x:c>
      <x:c r="H361" s="2" t="str">
        <x:f>IF(COUNTA(A361:F361)=0,"",COUNTIFS('App Data'!$L$2:$L$1001,SUBSTITUTE(SUBSTITUTE(SUBSTITUTE(L361,"~","~~"),"*","~*"),"?","~?")))</x:f>
      </x:c>
      <x:c r="I361" s="13" t="str">
        <x:f>IF(OR(H361&lt;&gt;1,G361&lt;&gt;1),"",SUMIFS('App Data'!$E$2:$E$1001,'App Data'!$L$2:$L$1001,SUBSTITUTE(SUBSTITUTE(SUBSTITUTE(L361,"~","~~"),"*","~*"),"?","~?")))</x:f>
      </x:c>
      <x:c r="J361" s="13" t="str">
        <x:f>IF(OR(NOT(ISNUMBER(E361)),NOT(ISNUMBER(I361))),"",ROUND(E361-I361,2))</x:f>
      </x:c>
      <x:c r="K361" s="2" t="str">
        <x:f>IF(COUNTA(A361:F361)=0,"",IF(OR(A361="",B361="",C361="",D361="",NOT(ISNUMBER(E361))),"Missing / invalid input",IF(G361&gt;1,"Duplicate key in this source",IF(H361=0,"Missing in other source",IF(H361&gt;1,"Duplicate in other source",IF(SUMIFS('App Data'!$M$2:$M$1001,'App Data'!$L$2:$L$1001,SUBSTITUTE(SUBSTITUTE(SUBSTITUTE(L361,"~","~~"),"*","~*"),"?","~?"))&lt;&gt;1,"Other amount is invalid",IF(J361&lt;&gt;0,"Amount differs","Matched")))))))</x:f>
      </x:c>
      <x:c r="L361" t="str">
        <x:f>IF(COUNTA(A361:F361)=0,"",LEN(A361)&amp;":"&amp;A361&amp;LEN(B361)&amp;":"&amp;B361&amp;LEN(C361)&amp;":"&amp;C361&amp;LEN(D361)&amp;":"&amp;D361)</x:f>
      </x:c>
      <x:c r="M361" t="str">
        <x:f>IF(COUNTA(A361:F361)=0,"",IF(ISNUMBER(E361),1,0))</x:f>
      </x:c>
    </x:row>
    <x:row r="362">
      <x:c r="A362" s="11"/>
      <x:c r="B362" s="11"/>
      <x:c r="C362" s="11"/>
      <x:c r="D362" s="11"/>
      <x:c r="E362" s="12"/>
      <x:c r="F362" s="10"/>
      <x:c r="G362" s="2" t="str">
        <x:f>IF(COUNTA(A362:F362)=0,"",COUNTIFS('External Data'!$L$2:$L$1001,SUBSTITUTE(SUBSTITUTE(SUBSTITUTE(L362,"~","~~"),"*","~*"),"?","~?")))</x:f>
      </x:c>
      <x:c r="H362" s="2" t="str">
        <x:f>IF(COUNTA(A362:F362)=0,"",COUNTIFS('App Data'!$L$2:$L$1001,SUBSTITUTE(SUBSTITUTE(SUBSTITUTE(L362,"~","~~"),"*","~*"),"?","~?")))</x:f>
      </x:c>
      <x:c r="I362" s="13" t="str">
        <x:f>IF(OR(H362&lt;&gt;1,G362&lt;&gt;1),"",SUMIFS('App Data'!$E$2:$E$1001,'App Data'!$L$2:$L$1001,SUBSTITUTE(SUBSTITUTE(SUBSTITUTE(L362,"~","~~"),"*","~*"),"?","~?")))</x:f>
      </x:c>
      <x:c r="J362" s="13" t="str">
        <x:f>IF(OR(NOT(ISNUMBER(E362)),NOT(ISNUMBER(I362))),"",ROUND(E362-I362,2))</x:f>
      </x:c>
      <x:c r="K362" s="2" t="str">
        <x:f>IF(COUNTA(A362:F362)=0,"",IF(OR(A362="",B362="",C362="",D362="",NOT(ISNUMBER(E362))),"Missing / invalid input",IF(G362&gt;1,"Duplicate key in this source",IF(H362=0,"Missing in other source",IF(H362&gt;1,"Duplicate in other source",IF(SUMIFS('App Data'!$M$2:$M$1001,'App Data'!$L$2:$L$1001,SUBSTITUTE(SUBSTITUTE(SUBSTITUTE(L362,"~","~~"),"*","~*"),"?","~?"))&lt;&gt;1,"Other amount is invalid",IF(J362&lt;&gt;0,"Amount differs","Matched")))))))</x:f>
      </x:c>
      <x:c r="L362" t="str">
        <x:f>IF(COUNTA(A362:F362)=0,"",LEN(A362)&amp;":"&amp;A362&amp;LEN(B362)&amp;":"&amp;B362&amp;LEN(C362)&amp;":"&amp;C362&amp;LEN(D362)&amp;":"&amp;D362)</x:f>
      </x:c>
      <x:c r="M362" t="str">
        <x:f>IF(COUNTA(A362:F362)=0,"",IF(ISNUMBER(E362),1,0))</x:f>
      </x:c>
    </x:row>
    <x:row r="363">
      <x:c r="A363" s="11"/>
      <x:c r="B363" s="11"/>
      <x:c r="C363" s="11"/>
      <x:c r="D363" s="11"/>
      <x:c r="E363" s="12"/>
      <x:c r="F363" s="10"/>
      <x:c r="G363" s="2" t="str">
        <x:f>IF(COUNTA(A363:F363)=0,"",COUNTIFS('External Data'!$L$2:$L$1001,SUBSTITUTE(SUBSTITUTE(SUBSTITUTE(L363,"~","~~"),"*","~*"),"?","~?")))</x:f>
      </x:c>
      <x:c r="H363" s="2" t="str">
        <x:f>IF(COUNTA(A363:F363)=0,"",COUNTIFS('App Data'!$L$2:$L$1001,SUBSTITUTE(SUBSTITUTE(SUBSTITUTE(L363,"~","~~"),"*","~*"),"?","~?")))</x:f>
      </x:c>
      <x:c r="I363" s="13" t="str">
        <x:f>IF(OR(H363&lt;&gt;1,G363&lt;&gt;1),"",SUMIFS('App Data'!$E$2:$E$1001,'App Data'!$L$2:$L$1001,SUBSTITUTE(SUBSTITUTE(SUBSTITUTE(L363,"~","~~"),"*","~*"),"?","~?")))</x:f>
      </x:c>
      <x:c r="J363" s="13" t="str">
        <x:f>IF(OR(NOT(ISNUMBER(E363)),NOT(ISNUMBER(I363))),"",ROUND(E363-I363,2))</x:f>
      </x:c>
      <x:c r="K363" s="2" t="str">
        <x:f>IF(COUNTA(A363:F363)=0,"",IF(OR(A363="",B363="",C363="",D363="",NOT(ISNUMBER(E363))),"Missing / invalid input",IF(G363&gt;1,"Duplicate key in this source",IF(H363=0,"Missing in other source",IF(H363&gt;1,"Duplicate in other source",IF(SUMIFS('App Data'!$M$2:$M$1001,'App Data'!$L$2:$L$1001,SUBSTITUTE(SUBSTITUTE(SUBSTITUTE(L363,"~","~~"),"*","~*"),"?","~?"))&lt;&gt;1,"Other amount is invalid",IF(J363&lt;&gt;0,"Amount differs","Matched")))))))</x:f>
      </x:c>
      <x:c r="L363" t="str">
        <x:f>IF(COUNTA(A363:F363)=0,"",LEN(A363)&amp;":"&amp;A363&amp;LEN(B363)&amp;":"&amp;B363&amp;LEN(C363)&amp;":"&amp;C363&amp;LEN(D363)&amp;":"&amp;D363)</x:f>
      </x:c>
      <x:c r="M363" t="str">
        <x:f>IF(COUNTA(A363:F363)=0,"",IF(ISNUMBER(E363),1,0))</x:f>
      </x:c>
    </x:row>
    <x:row r="364">
      <x:c r="A364" s="11"/>
      <x:c r="B364" s="11"/>
      <x:c r="C364" s="11"/>
      <x:c r="D364" s="11"/>
      <x:c r="E364" s="12"/>
      <x:c r="F364" s="10"/>
      <x:c r="G364" s="2" t="str">
        <x:f>IF(COUNTA(A364:F364)=0,"",COUNTIFS('External Data'!$L$2:$L$1001,SUBSTITUTE(SUBSTITUTE(SUBSTITUTE(L364,"~","~~"),"*","~*"),"?","~?")))</x:f>
      </x:c>
      <x:c r="H364" s="2" t="str">
        <x:f>IF(COUNTA(A364:F364)=0,"",COUNTIFS('App Data'!$L$2:$L$1001,SUBSTITUTE(SUBSTITUTE(SUBSTITUTE(L364,"~","~~"),"*","~*"),"?","~?")))</x:f>
      </x:c>
      <x:c r="I364" s="13" t="str">
        <x:f>IF(OR(H364&lt;&gt;1,G364&lt;&gt;1),"",SUMIFS('App Data'!$E$2:$E$1001,'App Data'!$L$2:$L$1001,SUBSTITUTE(SUBSTITUTE(SUBSTITUTE(L364,"~","~~"),"*","~*"),"?","~?")))</x:f>
      </x:c>
      <x:c r="J364" s="13" t="str">
        <x:f>IF(OR(NOT(ISNUMBER(E364)),NOT(ISNUMBER(I364))),"",ROUND(E364-I364,2))</x:f>
      </x:c>
      <x:c r="K364" s="2" t="str">
        <x:f>IF(COUNTA(A364:F364)=0,"",IF(OR(A364="",B364="",C364="",D364="",NOT(ISNUMBER(E364))),"Missing / invalid input",IF(G364&gt;1,"Duplicate key in this source",IF(H364=0,"Missing in other source",IF(H364&gt;1,"Duplicate in other source",IF(SUMIFS('App Data'!$M$2:$M$1001,'App Data'!$L$2:$L$1001,SUBSTITUTE(SUBSTITUTE(SUBSTITUTE(L364,"~","~~"),"*","~*"),"?","~?"))&lt;&gt;1,"Other amount is invalid",IF(J364&lt;&gt;0,"Amount differs","Matched")))))))</x:f>
      </x:c>
      <x:c r="L364" t="str">
        <x:f>IF(COUNTA(A364:F364)=0,"",LEN(A364)&amp;":"&amp;A364&amp;LEN(B364)&amp;":"&amp;B364&amp;LEN(C364)&amp;":"&amp;C364&amp;LEN(D364)&amp;":"&amp;D364)</x:f>
      </x:c>
      <x:c r="M364" t="str">
        <x:f>IF(COUNTA(A364:F364)=0,"",IF(ISNUMBER(E364),1,0))</x:f>
      </x:c>
    </x:row>
    <x:row r="365">
      <x:c r="A365" s="11"/>
      <x:c r="B365" s="11"/>
      <x:c r="C365" s="11"/>
      <x:c r="D365" s="11"/>
      <x:c r="E365" s="12"/>
      <x:c r="F365" s="10"/>
      <x:c r="G365" s="2" t="str">
        <x:f>IF(COUNTA(A365:F365)=0,"",COUNTIFS('External Data'!$L$2:$L$1001,SUBSTITUTE(SUBSTITUTE(SUBSTITUTE(L365,"~","~~"),"*","~*"),"?","~?")))</x:f>
      </x:c>
      <x:c r="H365" s="2" t="str">
        <x:f>IF(COUNTA(A365:F365)=0,"",COUNTIFS('App Data'!$L$2:$L$1001,SUBSTITUTE(SUBSTITUTE(SUBSTITUTE(L365,"~","~~"),"*","~*"),"?","~?")))</x:f>
      </x:c>
      <x:c r="I365" s="13" t="str">
        <x:f>IF(OR(H365&lt;&gt;1,G365&lt;&gt;1),"",SUMIFS('App Data'!$E$2:$E$1001,'App Data'!$L$2:$L$1001,SUBSTITUTE(SUBSTITUTE(SUBSTITUTE(L365,"~","~~"),"*","~*"),"?","~?")))</x:f>
      </x:c>
      <x:c r="J365" s="13" t="str">
        <x:f>IF(OR(NOT(ISNUMBER(E365)),NOT(ISNUMBER(I365))),"",ROUND(E365-I365,2))</x:f>
      </x:c>
      <x:c r="K365" s="2" t="str">
        <x:f>IF(COUNTA(A365:F365)=0,"",IF(OR(A365="",B365="",C365="",D365="",NOT(ISNUMBER(E365))),"Missing / invalid input",IF(G365&gt;1,"Duplicate key in this source",IF(H365=0,"Missing in other source",IF(H365&gt;1,"Duplicate in other source",IF(SUMIFS('App Data'!$M$2:$M$1001,'App Data'!$L$2:$L$1001,SUBSTITUTE(SUBSTITUTE(SUBSTITUTE(L365,"~","~~"),"*","~*"),"?","~?"))&lt;&gt;1,"Other amount is invalid",IF(J365&lt;&gt;0,"Amount differs","Matched")))))))</x:f>
      </x:c>
      <x:c r="L365" t="str">
        <x:f>IF(COUNTA(A365:F365)=0,"",LEN(A365)&amp;":"&amp;A365&amp;LEN(B365)&amp;":"&amp;B365&amp;LEN(C365)&amp;":"&amp;C365&amp;LEN(D365)&amp;":"&amp;D365)</x:f>
      </x:c>
      <x:c r="M365" t="str">
        <x:f>IF(COUNTA(A365:F365)=0,"",IF(ISNUMBER(E365),1,0))</x:f>
      </x:c>
    </x:row>
    <x:row r="366">
      <x:c r="A366" s="11"/>
      <x:c r="B366" s="11"/>
      <x:c r="C366" s="11"/>
      <x:c r="D366" s="11"/>
      <x:c r="E366" s="12"/>
      <x:c r="F366" s="10"/>
      <x:c r="G366" s="2" t="str">
        <x:f>IF(COUNTA(A366:F366)=0,"",COUNTIFS('External Data'!$L$2:$L$1001,SUBSTITUTE(SUBSTITUTE(SUBSTITUTE(L366,"~","~~"),"*","~*"),"?","~?")))</x:f>
      </x:c>
      <x:c r="H366" s="2" t="str">
        <x:f>IF(COUNTA(A366:F366)=0,"",COUNTIFS('App Data'!$L$2:$L$1001,SUBSTITUTE(SUBSTITUTE(SUBSTITUTE(L366,"~","~~"),"*","~*"),"?","~?")))</x:f>
      </x:c>
      <x:c r="I366" s="13" t="str">
        <x:f>IF(OR(H366&lt;&gt;1,G366&lt;&gt;1),"",SUMIFS('App Data'!$E$2:$E$1001,'App Data'!$L$2:$L$1001,SUBSTITUTE(SUBSTITUTE(SUBSTITUTE(L366,"~","~~"),"*","~*"),"?","~?")))</x:f>
      </x:c>
      <x:c r="J366" s="13" t="str">
        <x:f>IF(OR(NOT(ISNUMBER(E366)),NOT(ISNUMBER(I366))),"",ROUND(E366-I366,2))</x:f>
      </x:c>
      <x:c r="K366" s="2" t="str">
        <x:f>IF(COUNTA(A366:F366)=0,"",IF(OR(A366="",B366="",C366="",D366="",NOT(ISNUMBER(E366))),"Missing / invalid input",IF(G366&gt;1,"Duplicate key in this source",IF(H366=0,"Missing in other source",IF(H366&gt;1,"Duplicate in other source",IF(SUMIFS('App Data'!$M$2:$M$1001,'App Data'!$L$2:$L$1001,SUBSTITUTE(SUBSTITUTE(SUBSTITUTE(L366,"~","~~"),"*","~*"),"?","~?"))&lt;&gt;1,"Other amount is invalid",IF(J366&lt;&gt;0,"Amount differs","Matched")))))))</x:f>
      </x:c>
      <x:c r="L366" t="str">
        <x:f>IF(COUNTA(A366:F366)=0,"",LEN(A366)&amp;":"&amp;A366&amp;LEN(B366)&amp;":"&amp;B366&amp;LEN(C366)&amp;":"&amp;C366&amp;LEN(D366)&amp;":"&amp;D366)</x:f>
      </x:c>
      <x:c r="M366" t="str">
        <x:f>IF(COUNTA(A366:F366)=0,"",IF(ISNUMBER(E366),1,0))</x:f>
      </x:c>
    </x:row>
    <x:row r="367">
      <x:c r="A367" s="11"/>
      <x:c r="B367" s="11"/>
      <x:c r="C367" s="11"/>
      <x:c r="D367" s="11"/>
      <x:c r="E367" s="12"/>
      <x:c r="F367" s="10"/>
      <x:c r="G367" s="2" t="str">
        <x:f>IF(COUNTA(A367:F367)=0,"",COUNTIFS('External Data'!$L$2:$L$1001,SUBSTITUTE(SUBSTITUTE(SUBSTITUTE(L367,"~","~~"),"*","~*"),"?","~?")))</x:f>
      </x:c>
      <x:c r="H367" s="2" t="str">
        <x:f>IF(COUNTA(A367:F367)=0,"",COUNTIFS('App Data'!$L$2:$L$1001,SUBSTITUTE(SUBSTITUTE(SUBSTITUTE(L367,"~","~~"),"*","~*"),"?","~?")))</x:f>
      </x:c>
      <x:c r="I367" s="13" t="str">
        <x:f>IF(OR(H367&lt;&gt;1,G367&lt;&gt;1),"",SUMIFS('App Data'!$E$2:$E$1001,'App Data'!$L$2:$L$1001,SUBSTITUTE(SUBSTITUTE(SUBSTITUTE(L367,"~","~~"),"*","~*"),"?","~?")))</x:f>
      </x:c>
      <x:c r="J367" s="13" t="str">
        <x:f>IF(OR(NOT(ISNUMBER(E367)),NOT(ISNUMBER(I367))),"",ROUND(E367-I367,2))</x:f>
      </x:c>
      <x:c r="K367" s="2" t="str">
        <x:f>IF(COUNTA(A367:F367)=0,"",IF(OR(A367="",B367="",C367="",D367="",NOT(ISNUMBER(E367))),"Missing / invalid input",IF(G367&gt;1,"Duplicate key in this source",IF(H367=0,"Missing in other source",IF(H367&gt;1,"Duplicate in other source",IF(SUMIFS('App Data'!$M$2:$M$1001,'App Data'!$L$2:$L$1001,SUBSTITUTE(SUBSTITUTE(SUBSTITUTE(L367,"~","~~"),"*","~*"),"?","~?"))&lt;&gt;1,"Other amount is invalid",IF(J367&lt;&gt;0,"Amount differs","Matched")))))))</x:f>
      </x:c>
      <x:c r="L367" t="str">
        <x:f>IF(COUNTA(A367:F367)=0,"",LEN(A367)&amp;":"&amp;A367&amp;LEN(B367)&amp;":"&amp;B367&amp;LEN(C367)&amp;":"&amp;C367&amp;LEN(D367)&amp;":"&amp;D367)</x:f>
      </x:c>
      <x:c r="M367" t="str">
        <x:f>IF(COUNTA(A367:F367)=0,"",IF(ISNUMBER(E367),1,0))</x:f>
      </x:c>
    </x:row>
    <x:row r="368">
      <x:c r="A368" s="11"/>
      <x:c r="B368" s="11"/>
      <x:c r="C368" s="11"/>
      <x:c r="D368" s="11"/>
      <x:c r="E368" s="12"/>
      <x:c r="F368" s="10"/>
      <x:c r="G368" s="2" t="str">
        <x:f>IF(COUNTA(A368:F368)=0,"",COUNTIFS('External Data'!$L$2:$L$1001,SUBSTITUTE(SUBSTITUTE(SUBSTITUTE(L368,"~","~~"),"*","~*"),"?","~?")))</x:f>
      </x:c>
      <x:c r="H368" s="2" t="str">
        <x:f>IF(COUNTA(A368:F368)=0,"",COUNTIFS('App Data'!$L$2:$L$1001,SUBSTITUTE(SUBSTITUTE(SUBSTITUTE(L368,"~","~~"),"*","~*"),"?","~?")))</x:f>
      </x:c>
      <x:c r="I368" s="13" t="str">
        <x:f>IF(OR(H368&lt;&gt;1,G368&lt;&gt;1),"",SUMIFS('App Data'!$E$2:$E$1001,'App Data'!$L$2:$L$1001,SUBSTITUTE(SUBSTITUTE(SUBSTITUTE(L368,"~","~~"),"*","~*"),"?","~?")))</x:f>
      </x:c>
      <x:c r="J368" s="13" t="str">
        <x:f>IF(OR(NOT(ISNUMBER(E368)),NOT(ISNUMBER(I368))),"",ROUND(E368-I368,2))</x:f>
      </x:c>
      <x:c r="K368" s="2" t="str">
        <x:f>IF(COUNTA(A368:F368)=0,"",IF(OR(A368="",B368="",C368="",D368="",NOT(ISNUMBER(E368))),"Missing / invalid input",IF(G368&gt;1,"Duplicate key in this source",IF(H368=0,"Missing in other source",IF(H368&gt;1,"Duplicate in other source",IF(SUMIFS('App Data'!$M$2:$M$1001,'App Data'!$L$2:$L$1001,SUBSTITUTE(SUBSTITUTE(SUBSTITUTE(L368,"~","~~"),"*","~*"),"?","~?"))&lt;&gt;1,"Other amount is invalid",IF(J368&lt;&gt;0,"Amount differs","Matched")))))))</x:f>
      </x:c>
      <x:c r="L368" t="str">
        <x:f>IF(COUNTA(A368:F368)=0,"",LEN(A368)&amp;":"&amp;A368&amp;LEN(B368)&amp;":"&amp;B368&amp;LEN(C368)&amp;":"&amp;C368&amp;LEN(D368)&amp;":"&amp;D368)</x:f>
      </x:c>
      <x:c r="M368" t="str">
        <x:f>IF(COUNTA(A368:F368)=0,"",IF(ISNUMBER(E368),1,0))</x:f>
      </x:c>
    </x:row>
    <x:row r="369">
      <x:c r="A369" s="11"/>
      <x:c r="B369" s="11"/>
      <x:c r="C369" s="11"/>
      <x:c r="D369" s="11"/>
      <x:c r="E369" s="12"/>
      <x:c r="F369" s="10"/>
      <x:c r="G369" s="2" t="str">
        <x:f>IF(COUNTA(A369:F369)=0,"",COUNTIFS('External Data'!$L$2:$L$1001,SUBSTITUTE(SUBSTITUTE(SUBSTITUTE(L369,"~","~~"),"*","~*"),"?","~?")))</x:f>
      </x:c>
      <x:c r="H369" s="2" t="str">
        <x:f>IF(COUNTA(A369:F369)=0,"",COUNTIFS('App Data'!$L$2:$L$1001,SUBSTITUTE(SUBSTITUTE(SUBSTITUTE(L369,"~","~~"),"*","~*"),"?","~?")))</x:f>
      </x:c>
      <x:c r="I369" s="13" t="str">
        <x:f>IF(OR(H369&lt;&gt;1,G369&lt;&gt;1),"",SUMIFS('App Data'!$E$2:$E$1001,'App Data'!$L$2:$L$1001,SUBSTITUTE(SUBSTITUTE(SUBSTITUTE(L369,"~","~~"),"*","~*"),"?","~?")))</x:f>
      </x:c>
      <x:c r="J369" s="13" t="str">
        <x:f>IF(OR(NOT(ISNUMBER(E369)),NOT(ISNUMBER(I369))),"",ROUND(E369-I369,2))</x:f>
      </x:c>
      <x:c r="K369" s="2" t="str">
        <x:f>IF(COUNTA(A369:F369)=0,"",IF(OR(A369="",B369="",C369="",D369="",NOT(ISNUMBER(E369))),"Missing / invalid input",IF(G369&gt;1,"Duplicate key in this source",IF(H369=0,"Missing in other source",IF(H369&gt;1,"Duplicate in other source",IF(SUMIFS('App Data'!$M$2:$M$1001,'App Data'!$L$2:$L$1001,SUBSTITUTE(SUBSTITUTE(SUBSTITUTE(L369,"~","~~"),"*","~*"),"?","~?"))&lt;&gt;1,"Other amount is invalid",IF(J369&lt;&gt;0,"Amount differs","Matched")))))))</x:f>
      </x:c>
      <x:c r="L369" t="str">
        <x:f>IF(COUNTA(A369:F369)=0,"",LEN(A369)&amp;":"&amp;A369&amp;LEN(B369)&amp;":"&amp;B369&amp;LEN(C369)&amp;":"&amp;C369&amp;LEN(D369)&amp;":"&amp;D369)</x:f>
      </x:c>
      <x:c r="M369" t="str">
        <x:f>IF(COUNTA(A369:F369)=0,"",IF(ISNUMBER(E369),1,0))</x:f>
      </x:c>
    </x:row>
    <x:row r="370">
      <x:c r="A370" s="11"/>
      <x:c r="B370" s="11"/>
      <x:c r="C370" s="11"/>
      <x:c r="D370" s="11"/>
      <x:c r="E370" s="12"/>
      <x:c r="F370" s="10"/>
      <x:c r="G370" s="2" t="str">
        <x:f>IF(COUNTA(A370:F370)=0,"",COUNTIFS('External Data'!$L$2:$L$1001,SUBSTITUTE(SUBSTITUTE(SUBSTITUTE(L370,"~","~~"),"*","~*"),"?","~?")))</x:f>
      </x:c>
      <x:c r="H370" s="2" t="str">
        <x:f>IF(COUNTA(A370:F370)=0,"",COUNTIFS('App Data'!$L$2:$L$1001,SUBSTITUTE(SUBSTITUTE(SUBSTITUTE(L370,"~","~~"),"*","~*"),"?","~?")))</x:f>
      </x:c>
      <x:c r="I370" s="13" t="str">
        <x:f>IF(OR(H370&lt;&gt;1,G370&lt;&gt;1),"",SUMIFS('App Data'!$E$2:$E$1001,'App Data'!$L$2:$L$1001,SUBSTITUTE(SUBSTITUTE(SUBSTITUTE(L370,"~","~~"),"*","~*"),"?","~?")))</x:f>
      </x:c>
      <x:c r="J370" s="13" t="str">
        <x:f>IF(OR(NOT(ISNUMBER(E370)),NOT(ISNUMBER(I370))),"",ROUND(E370-I370,2))</x:f>
      </x:c>
      <x:c r="K370" s="2" t="str">
        <x:f>IF(COUNTA(A370:F370)=0,"",IF(OR(A370="",B370="",C370="",D370="",NOT(ISNUMBER(E370))),"Missing / invalid input",IF(G370&gt;1,"Duplicate key in this source",IF(H370=0,"Missing in other source",IF(H370&gt;1,"Duplicate in other source",IF(SUMIFS('App Data'!$M$2:$M$1001,'App Data'!$L$2:$L$1001,SUBSTITUTE(SUBSTITUTE(SUBSTITUTE(L370,"~","~~"),"*","~*"),"?","~?"))&lt;&gt;1,"Other amount is invalid",IF(J370&lt;&gt;0,"Amount differs","Matched")))))))</x:f>
      </x:c>
      <x:c r="L370" t="str">
        <x:f>IF(COUNTA(A370:F370)=0,"",LEN(A370)&amp;":"&amp;A370&amp;LEN(B370)&amp;":"&amp;B370&amp;LEN(C370)&amp;":"&amp;C370&amp;LEN(D370)&amp;":"&amp;D370)</x:f>
      </x:c>
      <x:c r="M370" t="str">
        <x:f>IF(COUNTA(A370:F370)=0,"",IF(ISNUMBER(E370),1,0))</x:f>
      </x:c>
    </x:row>
    <x:row r="371">
      <x:c r="A371" s="11"/>
      <x:c r="B371" s="11"/>
      <x:c r="C371" s="11"/>
      <x:c r="D371" s="11"/>
      <x:c r="E371" s="12"/>
      <x:c r="F371" s="10"/>
      <x:c r="G371" s="2" t="str">
        <x:f>IF(COUNTA(A371:F371)=0,"",COUNTIFS('External Data'!$L$2:$L$1001,SUBSTITUTE(SUBSTITUTE(SUBSTITUTE(L371,"~","~~"),"*","~*"),"?","~?")))</x:f>
      </x:c>
      <x:c r="H371" s="2" t="str">
        <x:f>IF(COUNTA(A371:F371)=0,"",COUNTIFS('App Data'!$L$2:$L$1001,SUBSTITUTE(SUBSTITUTE(SUBSTITUTE(L371,"~","~~"),"*","~*"),"?","~?")))</x:f>
      </x:c>
      <x:c r="I371" s="13" t="str">
        <x:f>IF(OR(H371&lt;&gt;1,G371&lt;&gt;1),"",SUMIFS('App Data'!$E$2:$E$1001,'App Data'!$L$2:$L$1001,SUBSTITUTE(SUBSTITUTE(SUBSTITUTE(L371,"~","~~"),"*","~*"),"?","~?")))</x:f>
      </x:c>
      <x:c r="J371" s="13" t="str">
        <x:f>IF(OR(NOT(ISNUMBER(E371)),NOT(ISNUMBER(I371))),"",ROUND(E371-I371,2))</x:f>
      </x:c>
      <x:c r="K371" s="2" t="str">
        <x:f>IF(COUNTA(A371:F371)=0,"",IF(OR(A371="",B371="",C371="",D371="",NOT(ISNUMBER(E371))),"Missing / invalid input",IF(G371&gt;1,"Duplicate key in this source",IF(H371=0,"Missing in other source",IF(H371&gt;1,"Duplicate in other source",IF(SUMIFS('App Data'!$M$2:$M$1001,'App Data'!$L$2:$L$1001,SUBSTITUTE(SUBSTITUTE(SUBSTITUTE(L371,"~","~~"),"*","~*"),"?","~?"))&lt;&gt;1,"Other amount is invalid",IF(J371&lt;&gt;0,"Amount differs","Matched")))))))</x:f>
      </x:c>
      <x:c r="L371" t="str">
        <x:f>IF(COUNTA(A371:F371)=0,"",LEN(A371)&amp;":"&amp;A371&amp;LEN(B371)&amp;":"&amp;B371&amp;LEN(C371)&amp;":"&amp;C371&amp;LEN(D371)&amp;":"&amp;D371)</x:f>
      </x:c>
      <x:c r="M371" t="str">
        <x:f>IF(COUNTA(A371:F371)=0,"",IF(ISNUMBER(E371),1,0))</x:f>
      </x:c>
    </x:row>
    <x:row r="372">
      <x:c r="A372" s="11"/>
      <x:c r="B372" s="11"/>
      <x:c r="C372" s="11"/>
      <x:c r="D372" s="11"/>
      <x:c r="E372" s="12"/>
      <x:c r="F372" s="10"/>
      <x:c r="G372" s="2" t="str">
        <x:f>IF(COUNTA(A372:F372)=0,"",COUNTIFS('External Data'!$L$2:$L$1001,SUBSTITUTE(SUBSTITUTE(SUBSTITUTE(L372,"~","~~"),"*","~*"),"?","~?")))</x:f>
      </x:c>
      <x:c r="H372" s="2" t="str">
        <x:f>IF(COUNTA(A372:F372)=0,"",COUNTIFS('App Data'!$L$2:$L$1001,SUBSTITUTE(SUBSTITUTE(SUBSTITUTE(L372,"~","~~"),"*","~*"),"?","~?")))</x:f>
      </x:c>
      <x:c r="I372" s="13" t="str">
        <x:f>IF(OR(H372&lt;&gt;1,G372&lt;&gt;1),"",SUMIFS('App Data'!$E$2:$E$1001,'App Data'!$L$2:$L$1001,SUBSTITUTE(SUBSTITUTE(SUBSTITUTE(L372,"~","~~"),"*","~*"),"?","~?")))</x:f>
      </x:c>
      <x:c r="J372" s="13" t="str">
        <x:f>IF(OR(NOT(ISNUMBER(E372)),NOT(ISNUMBER(I372))),"",ROUND(E372-I372,2))</x:f>
      </x:c>
      <x:c r="K372" s="2" t="str">
        <x:f>IF(COUNTA(A372:F372)=0,"",IF(OR(A372="",B372="",C372="",D372="",NOT(ISNUMBER(E372))),"Missing / invalid input",IF(G372&gt;1,"Duplicate key in this source",IF(H372=0,"Missing in other source",IF(H372&gt;1,"Duplicate in other source",IF(SUMIFS('App Data'!$M$2:$M$1001,'App Data'!$L$2:$L$1001,SUBSTITUTE(SUBSTITUTE(SUBSTITUTE(L372,"~","~~"),"*","~*"),"?","~?"))&lt;&gt;1,"Other amount is invalid",IF(J372&lt;&gt;0,"Amount differs","Matched")))))))</x:f>
      </x:c>
      <x:c r="L372" t="str">
        <x:f>IF(COUNTA(A372:F372)=0,"",LEN(A372)&amp;":"&amp;A372&amp;LEN(B372)&amp;":"&amp;B372&amp;LEN(C372)&amp;":"&amp;C372&amp;LEN(D372)&amp;":"&amp;D372)</x:f>
      </x:c>
      <x:c r="M372" t="str">
        <x:f>IF(COUNTA(A372:F372)=0,"",IF(ISNUMBER(E372),1,0))</x:f>
      </x:c>
    </x:row>
    <x:row r="373">
      <x:c r="A373" s="11"/>
      <x:c r="B373" s="11"/>
      <x:c r="C373" s="11"/>
      <x:c r="D373" s="11"/>
      <x:c r="E373" s="12"/>
      <x:c r="F373" s="10"/>
      <x:c r="G373" s="2" t="str">
        <x:f>IF(COUNTA(A373:F373)=0,"",COUNTIFS('External Data'!$L$2:$L$1001,SUBSTITUTE(SUBSTITUTE(SUBSTITUTE(L373,"~","~~"),"*","~*"),"?","~?")))</x:f>
      </x:c>
      <x:c r="H373" s="2" t="str">
        <x:f>IF(COUNTA(A373:F373)=0,"",COUNTIFS('App Data'!$L$2:$L$1001,SUBSTITUTE(SUBSTITUTE(SUBSTITUTE(L373,"~","~~"),"*","~*"),"?","~?")))</x:f>
      </x:c>
      <x:c r="I373" s="13" t="str">
        <x:f>IF(OR(H373&lt;&gt;1,G373&lt;&gt;1),"",SUMIFS('App Data'!$E$2:$E$1001,'App Data'!$L$2:$L$1001,SUBSTITUTE(SUBSTITUTE(SUBSTITUTE(L373,"~","~~"),"*","~*"),"?","~?")))</x:f>
      </x:c>
      <x:c r="J373" s="13" t="str">
        <x:f>IF(OR(NOT(ISNUMBER(E373)),NOT(ISNUMBER(I373))),"",ROUND(E373-I373,2))</x:f>
      </x:c>
      <x:c r="K373" s="2" t="str">
        <x:f>IF(COUNTA(A373:F373)=0,"",IF(OR(A373="",B373="",C373="",D373="",NOT(ISNUMBER(E373))),"Missing / invalid input",IF(G373&gt;1,"Duplicate key in this source",IF(H373=0,"Missing in other source",IF(H373&gt;1,"Duplicate in other source",IF(SUMIFS('App Data'!$M$2:$M$1001,'App Data'!$L$2:$L$1001,SUBSTITUTE(SUBSTITUTE(SUBSTITUTE(L373,"~","~~"),"*","~*"),"?","~?"))&lt;&gt;1,"Other amount is invalid",IF(J373&lt;&gt;0,"Amount differs","Matched")))))))</x:f>
      </x:c>
      <x:c r="L373" t="str">
        <x:f>IF(COUNTA(A373:F373)=0,"",LEN(A373)&amp;":"&amp;A373&amp;LEN(B373)&amp;":"&amp;B373&amp;LEN(C373)&amp;":"&amp;C373&amp;LEN(D373)&amp;":"&amp;D373)</x:f>
      </x:c>
      <x:c r="M373" t="str">
        <x:f>IF(COUNTA(A373:F373)=0,"",IF(ISNUMBER(E373),1,0))</x:f>
      </x:c>
    </x:row>
    <x:row r="374">
      <x:c r="A374" s="11"/>
      <x:c r="B374" s="11"/>
      <x:c r="C374" s="11"/>
      <x:c r="D374" s="11"/>
      <x:c r="E374" s="12"/>
      <x:c r="F374" s="10"/>
      <x:c r="G374" s="2" t="str">
        <x:f>IF(COUNTA(A374:F374)=0,"",COUNTIFS('External Data'!$L$2:$L$1001,SUBSTITUTE(SUBSTITUTE(SUBSTITUTE(L374,"~","~~"),"*","~*"),"?","~?")))</x:f>
      </x:c>
      <x:c r="H374" s="2" t="str">
        <x:f>IF(COUNTA(A374:F374)=0,"",COUNTIFS('App Data'!$L$2:$L$1001,SUBSTITUTE(SUBSTITUTE(SUBSTITUTE(L374,"~","~~"),"*","~*"),"?","~?")))</x:f>
      </x:c>
      <x:c r="I374" s="13" t="str">
        <x:f>IF(OR(H374&lt;&gt;1,G374&lt;&gt;1),"",SUMIFS('App Data'!$E$2:$E$1001,'App Data'!$L$2:$L$1001,SUBSTITUTE(SUBSTITUTE(SUBSTITUTE(L374,"~","~~"),"*","~*"),"?","~?")))</x:f>
      </x:c>
      <x:c r="J374" s="13" t="str">
        <x:f>IF(OR(NOT(ISNUMBER(E374)),NOT(ISNUMBER(I374))),"",ROUND(E374-I374,2))</x:f>
      </x:c>
      <x:c r="K374" s="2" t="str">
        <x:f>IF(COUNTA(A374:F374)=0,"",IF(OR(A374="",B374="",C374="",D374="",NOT(ISNUMBER(E374))),"Missing / invalid input",IF(G374&gt;1,"Duplicate key in this source",IF(H374=0,"Missing in other source",IF(H374&gt;1,"Duplicate in other source",IF(SUMIFS('App Data'!$M$2:$M$1001,'App Data'!$L$2:$L$1001,SUBSTITUTE(SUBSTITUTE(SUBSTITUTE(L374,"~","~~"),"*","~*"),"?","~?"))&lt;&gt;1,"Other amount is invalid",IF(J374&lt;&gt;0,"Amount differs","Matched")))))))</x:f>
      </x:c>
      <x:c r="L374" t="str">
        <x:f>IF(COUNTA(A374:F374)=0,"",LEN(A374)&amp;":"&amp;A374&amp;LEN(B374)&amp;":"&amp;B374&amp;LEN(C374)&amp;":"&amp;C374&amp;LEN(D374)&amp;":"&amp;D374)</x:f>
      </x:c>
      <x:c r="M374" t="str">
        <x:f>IF(COUNTA(A374:F374)=0,"",IF(ISNUMBER(E374),1,0))</x:f>
      </x:c>
    </x:row>
    <x:row r="375">
      <x:c r="A375" s="11"/>
      <x:c r="B375" s="11"/>
      <x:c r="C375" s="11"/>
      <x:c r="D375" s="11"/>
      <x:c r="E375" s="12"/>
      <x:c r="F375" s="10"/>
      <x:c r="G375" s="2" t="str">
        <x:f>IF(COUNTA(A375:F375)=0,"",COUNTIFS('External Data'!$L$2:$L$1001,SUBSTITUTE(SUBSTITUTE(SUBSTITUTE(L375,"~","~~"),"*","~*"),"?","~?")))</x:f>
      </x:c>
      <x:c r="H375" s="2" t="str">
        <x:f>IF(COUNTA(A375:F375)=0,"",COUNTIFS('App Data'!$L$2:$L$1001,SUBSTITUTE(SUBSTITUTE(SUBSTITUTE(L375,"~","~~"),"*","~*"),"?","~?")))</x:f>
      </x:c>
      <x:c r="I375" s="13" t="str">
        <x:f>IF(OR(H375&lt;&gt;1,G375&lt;&gt;1),"",SUMIFS('App Data'!$E$2:$E$1001,'App Data'!$L$2:$L$1001,SUBSTITUTE(SUBSTITUTE(SUBSTITUTE(L375,"~","~~"),"*","~*"),"?","~?")))</x:f>
      </x:c>
      <x:c r="J375" s="13" t="str">
        <x:f>IF(OR(NOT(ISNUMBER(E375)),NOT(ISNUMBER(I375))),"",ROUND(E375-I375,2))</x:f>
      </x:c>
      <x:c r="K375" s="2" t="str">
        <x:f>IF(COUNTA(A375:F375)=0,"",IF(OR(A375="",B375="",C375="",D375="",NOT(ISNUMBER(E375))),"Missing / invalid input",IF(G375&gt;1,"Duplicate key in this source",IF(H375=0,"Missing in other source",IF(H375&gt;1,"Duplicate in other source",IF(SUMIFS('App Data'!$M$2:$M$1001,'App Data'!$L$2:$L$1001,SUBSTITUTE(SUBSTITUTE(SUBSTITUTE(L375,"~","~~"),"*","~*"),"?","~?"))&lt;&gt;1,"Other amount is invalid",IF(J375&lt;&gt;0,"Amount differs","Matched")))))))</x:f>
      </x:c>
      <x:c r="L375" t="str">
        <x:f>IF(COUNTA(A375:F375)=0,"",LEN(A375)&amp;":"&amp;A375&amp;LEN(B375)&amp;":"&amp;B375&amp;LEN(C375)&amp;":"&amp;C375&amp;LEN(D375)&amp;":"&amp;D375)</x:f>
      </x:c>
      <x:c r="M375" t="str">
        <x:f>IF(COUNTA(A375:F375)=0,"",IF(ISNUMBER(E375),1,0))</x:f>
      </x:c>
    </x:row>
    <x:row r="376">
      <x:c r="A376" s="11"/>
      <x:c r="B376" s="11"/>
      <x:c r="C376" s="11"/>
      <x:c r="D376" s="11"/>
      <x:c r="E376" s="12"/>
      <x:c r="F376" s="10"/>
      <x:c r="G376" s="2" t="str">
        <x:f>IF(COUNTA(A376:F376)=0,"",COUNTIFS('External Data'!$L$2:$L$1001,SUBSTITUTE(SUBSTITUTE(SUBSTITUTE(L376,"~","~~"),"*","~*"),"?","~?")))</x:f>
      </x:c>
      <x:c r="H376" s="2" t="str">
        <x:f>IF(COUNTA(A376:F376)=0,"",COUNTIFS('App Data'!$L$2:$L$1001,SUBSTITUTE(SUBSTITUTE(SUBSTITUTE(L376,"~","~~"),"*","~*"),"?","~?")))</x:f>
      </x:c>
      <x:c r="I376" s="13" t="str">
        <x:f>IF(OR(H376&lt;&gt;1,G376&lt;&gt;1),"",SUMIFS('App Data'!$E$2:$E$1001,'App Data'!$L$2:$L$1001,SUBSTITUTE(SUBSTITUTE(SUBSTITUTE(L376,"~","~~"),"*","~*"),"?","~?")))</x:f>
      </x:c>
      <x:c r="J376" s="13" t="str">
        <x:f>IF(OR(NOT(ISNUMBER(E376)),NOT(ISNUMBER(I376))),"",ROUND(E376-I376,2))</x:f>
      </x:c>
      <x:c r="K376" s="2" t="str">
        <x:f>IF(COUNTA(A376:F376)=0,"",IF(OR(A376="",B376="",C376="",D376="",NOT(ISNUMBER(E376))),"Missing / invalid input",IF(G376&gt;1,"Duplicate key in this source",IF(H376=0,"Missing in other source",IF(H376&gt;1,"Duplicate in other source",IF(SUMIFS('App Data'!$M$2:$M$1001,'App Data'!$L$2:$L$1001,SUBSTITUTE(SUBSTITUTE(SUBSTITUTE(L376,"~","~~"),"*","~*"),"?","~?"))&lt;&gt;1,"Other amount is invalid",IF(J376&lt;&gt;0,"Amount differs","Matched")))))))</x:f>
      </x:c>
      <x:c r="L376" t="str">
        <x:f>IF(COUNTA(A376:F376)=0,"",LEN(A376)&amp;":"&amp;A376&amp;LEN(B376)&amp;":"&amp;B376&amp;LEN(C376)&amp;":"&amp;C376&amp;LEN(D376)&amp;":"&amp;D376)</x:f>
      </x:c>
      <x:c r="M376" t="str">
        <x:f>IF(COUNTA(A376:F376)=0,"",IF(ISNUMBER(E376),1,0))</x:f>
      </x:c>
    </x:row>
    <x:row r="377">
      <x:c r="A377" s="11"/>
      <x:c r="B377" s="11"/>
      <x:c r="C377" s="11"/>
      <x:c r="D377" s="11"/>
      <x:c r="E377" s="12"/>
      <x:c r="F377" s="10"/>
      <x:c r="G377" s="2" t="str">
        <x:f>IF(COUNTA(A377:F377)=0,"",COUNTIFS('External Data'!$L$2:$L$1001,SUBSTITUTE(SUBSTITUTE(SUBSTITUTE(L377,"~","~~"),"*","~*"),"?","~?")))</x:f>
      </x:c>
      <x:c r="H377" s="2" t="str">
        <x:f>IF(COUNTA(A377:F377)=0,"",COUNTIFS('App Data'!$L$2:$L$1001,SUBSTITUTE(SUBSTITUTE(SUBSTITUTE(L377,"~","~~"),"*","~*"),"?","~?")))</x:f>
      </x:c>
      <x:c r="I377" s="13" t="str">
        <x:f>IF(OR(H377&lt;&gt;1,G377&lt;&gt;1),"",SUMIFS('App Data'!$E$2:$E$1001,'App Data'!$L$2:$L$1001,SUBSTITUTE(SUBSTITUTE(SUBSTITUTE(L377,"~","~~"),"*","~*"),"?","~?")))</x:f>
      </x:c>
      <x:c r="J377" s="13" t="str">
        <x:f>IF(OR(NOT(ISNUMBER(E377)),NOT(ISNUMBER(I377))),"",ROUND(E377-I377,2))</x:f>
      </x:c>
      <x:c r="K377" s="2" t="str">
        <x:f>IF(COUNTA(A377:F377)=0,"",IF(OR(A377="",B377="",C377="",D377="",NOT(ISNUMBER(E377))),"Missing / invalid input",IF(G377&gt;1,"Duplicate key in this source",IF(H377=0,"Missing in other source",IF(H377&gt;1,"Duplicate in other source",IF(SUMIFS('App Data'!$M$2:$M$1001,'App Data'!$L$2:$L$1001,SUBSTITUTE(SUBSTITUTE(SUBSTITUTE(L377,"~","~~"),"*","~*"),"?","~?"))&lt;&gt;1,"Other amount is invalid",IF(J377&lt;&gt;0,"Amount differs","Matched")))))))</x:f>
      </x:c>
      <x:c r="L377" t="str">
        <x:f>IF(COUNTA(A377:F377)=0,"",LEN(A377)&amp;":"&amp;A377&amp;LEN(B377)&amp;":"&amp;B377&amp;LEN(C377)&amp;":"&amp;C377&amp;LEN(D377)&amp;":"&amp;D377)</x:f>
      </x:c>
      <x:c r="M377" t="str">
        <x:f>IF(COUNTA(A377:F377)=0,"",IF(ISNUMBER(E377),1,0))</x:f>
      </x:c>
    </x:row>
    <x:row r="378">
      <x:c r="A378" s="11"/>
      <x:c r="B378" s="11"/>
      <x:c r="C378" s="11"/>
      <x:c r="D378" s="11"/>
      <x:c r="E378" s="12"/>
      <x:c r="F378" s="10"/>
      <x:c r="G378" s="2" t="str">
        <x:f>IF(COUNTA(A378:F378)=0,"",COUNTIFS('External Data'!$L$2:$L$1001,SUBSTITUTE(SUBSTITUTE(SUBSTITUTE(L378,"~","~~"),"*","~*"),"?","~?")))</x:f>
      </x:c>
      <x:c r="H378" s="2" t="str">
        <x:f>IF(COUNTA(A378:F378)=0,"",COUNTIFS('App Data'!$L$2:$L$1001,SUBSTITUTE(SUBSTITUTE(SUBSTITUTE(L378,"~","~~"),"*","~*"),"?","~?")))</x:f>
      </x:c>
      <x:c r="I378" s="13" t="str">
        <x:f>IF(OR(H378&lt;&gt;1,G378&lt;&gt;1),"",SUMIFS('App Data'!$E$2:$E$1001,'App Data'!$L$2:$L$1001,SUBSTITUTE(SUBSTITUTE(SUBSTITUTE(L378,"~","~~"),"*","~*"),"?","~?")))</x:f>
      </x:c>
      <x:c r="J378" s="13" t="str">
        <x:f>IF(OR(NOT(ISNUMBER(E378)),NOT(ISNUMBER(I378))),"",ROUND(E378-I378,2))</x:f>
      </x:c>
      <x:c r="K378" s="2" t="str">
        <x:f>IF(COUNTA(A378:F378)=0,"",IF(OR(A378="",B378="",C378="",D378="",NOT(ISNUMBER(E378))),"Missing / invalid input",IF(G378&gt;1,"Duplicate key in this source",IF(H378=0,"Missing in other source",IF(H378&gt;1,"Duplicate in other source",IF(SUMIFS('App Data'!$M$2:$M$1001,'App Data'!$L$2:$L$1001,SUBSTITUTE(SUBSTITUTE(SUBSTITUTE(L378,"~","~~"),"*","~*"),"?","~?"))&lt;&gt;1,"Other amount is invalid",IF(J378&lt;&gt;0,"Amount differs","Matched")))))))</x:f>
      </x:c>
      <x:c r="L378" t="str">
        <x:f>IF(COUNTA(A378:F378)=0,"",LEN(A378)&amp;":"&amp;A378&amp;LEN(B378)&amp;":"&amp;B378&amp;LEN(C378)&amp;":"&amp;C378&amp;LEN(D378)&amp;":"&amp;D378)</x:f>
      </x:c>
      <x:c r="M378" t="str">
        <x:f>IF(COUNTA(A378:F378)=0,"",IF(ISNUMBER(E378),1,0))</x:f>
      </x:c>
    </x:row>
    <x:row r="379">
      <x:c r="A379" s="11"/>
      <x:c r="B379" s="11"/>
      <x:c r="C379" s="11"/>
      <x:c r="D379" s="11"/>
      <x:c r="E379" s="12"/>
      <x:c r="F379" s="10"/>
      <x:c r="G379" s="2" t="str">
        <x:f>IF(COUNTA(A379:F379)=0,"",COUNTIFS('External Data'!$L$2:$L$1001,SUBSTITUTE(SUBSTITUTE(SUBSTITUTE(L379,"~","~~"),"*","~*"),"?","~?")))</x:f>
      </x:c>
      <x:c r="H379" s="2" t="str">
        <x:f>IF(COUNTA(A379:F379)=0,"",COUNTIFS('App Data'!$L$2:$L$1001,SUBSTITUTE(SUBSTITUTE(SUBSTITUTE(L379,"~","~~"),"*","~*"),"?","~?")))</x:f>
      </x:c>
      <x:c r="I379" s="13" t="str">
        <x:f>IF(OR(H379&lt;&gt;1,G379&lt;&gt;1),"",SUMIFS('App Data'!$E$2:$E$1001,'App Data'!$L$2:$L$1001,SUBSTITUTE(SUBSTITUTE(SUBSTITUTE(L379,"~","~~"),"*","~*"),"?","~?")))</x:f>
      </x:c>
      <x:c r="J379" s="13" t="str">
        <x:f>IF(OR(NOT(ISNUMBER(E379)),NOT(ISNUMBER(I379))),"",ROUND(E379-I379,2))</x:f>
      </x:c>
      <x:c r="K379" s="2" t="str">
        <x:f>IF(COUNTA(A379:F379)=0,"",IF(OR(A379="",B379="",C379="",D379="",NOT(ISNUMBER(E379))),"Missing / invalid input",IF(G379&gt;1,"Duplicate key in this source",IF(H379=0,"Missing in other source",IF(H379&gt;1,"Duplicate in other source",IF(SUMIFS('App Data'!$M$2:$M$1001,'App Data'!$L$2:$L$1001,SUBSTITUTE(SUBSTITUTE(SUBSTITUTE(L379,"~","~~"),"*","~*"),"?","~?"))&lt;&gt;1,"Other amount is invalid",IF(J379&lt;&gt;0,"Amount differs","Matched")))))))</x:f>
      </x:c>
      <x:c r="L379" t="str">
        <x:f>IF(COUNTA(A379:F379)=0,"",LEN(A379)&amp;":"&amp;A379&amp;LEN(B379)&amp;":"&amp;B379&amp;LEN(C379)&amp;":"&amp;C379&amp;LEN(D379)&amp;":"&amp;D379)</x:f>
      </x:c>
      <x:c r="M379" t="str">
        <x:f>IF(COUNTA(A379:F379)=0,"",IF(ISNUMBER(E379),1,0))</x:f>
      </x:c>
    </x:row>
    <x:row r="380">
      <x:c r="A380" s="11"/>
      <x:c r="B380" s="11"/>
      <x:c r="C380" s="11"/>
      <x:c r="D380" s="11"/>
      <x:c r="E380" s="12"/>
      <x:c r="F380" s="10"/>
      <x:c r="G380" s="2" t="str">
        <x:f>IF(COUNTA(A380:F380)=0,"",COUNTIFS('External Data'!$L$2:$L$1001,SUBSTITUTE(SUBSTITUTE(SUBSTITUTE(L380,"~","~~"),"*","~*"),"?","~?")))</x:f>
      </x:c>
      <x:c r="H380" s="2" t="str">
        <x:f>IF(COUNTA(A380:F380)=0,"",COUNTIFS('App Data'!$L$2:$L$1001,SUBSTITUTE(SUBSTITUTE(SUBSTITUTE(L380,"~","~~"),"*","~*"),"?","~?")))</x:f>
      </x:c>
      <x:c r="I380" s="13" t="str">
        <x:f>IF(OR(H380&lt;&gt;1,G380&lt;&gt;1),"",SUMIFS('App Data'!$E$2:$E$1001,'App Data'!$L$2:$L$1001,SUBSTITUTE(SUBSTITUTE(SUBSTITUTE(L380,"~","~~"),"*","~*"),"?","~?")))</x:f>
      </x:c>
      <x:c r="J380" s="13" t="str">
        <x:f>IF(OR(NOT(ISNUMBER(E380)),NOT(ISNUMBER(I380))),"",ROUND(E380-I380,2))</x:f>
      </x:c>
      <x:c r="K380" s="2" t="str">
        <x:f>IF(COUNTA(A380:F380)=0,"",IF(OR(A380="",B380="",C380="",D380="",NOT(ISNUMBER(E380))),"Missing / invalid input",IF(G380&gt;1,"Duplicate key in this source",IF(H380=0,"Missing in other source",IF(H380&gt;1,"Duplicate in other source",IF(SUMIFS('App Data'!$M$2:$M$1001,'App Data'!$L$2:$L$1001,SUBSTITUTE(SUBSTITUTE(SUBSTITUTE(L380,"~","~~"),"*","~*"),"?","~?"))&lt;&gt;1,"Other amount is invalid",IF(J380&lt;&gt;0,"Amount differs","Matched")))))))</x:f>
      </x:c>
      <x:c r="L380" t="str">
        <x:f>IF(COUNTA(A380:F380)=0,"",LEN(A380)&amp;":"&amp;A380&amp;LEN(B380)&amp;":"&amp;B380&amp;LEN(C380)&amp;":"&amp;C380&amp;LEN(D380)&amp;":"&amp;D380)</x:f>
      </x:c>
      <x:c r="M380" t="str">
        <x:f>IF(COUNTA(A380:F380)=0,"",IF(ISNUMBER(E380),1,0))</x:f>
      </x:c>
    </x:row>
    <x:row r="381">
      <x:c r="A381" s="11"/>
      <x:c r="B381" s="11"/>
      <x:c r="C381" s="11"/>
      <x:c r="D381" s="11"/>
      <x:c r="E381" s="12"/>
      <x:c r="F381" s="10"/>
      <x:c r="G381" s="2" t="str">
        <x:f>IF(COUNTA(A381:F381)=0,"",COUNTIFS('External Data'!$L$2:$L$1001,SUBSTITUTE(SUBSTITUTE(SUBSTITUTE(L381,"~","~~"),"*","~*"),"?","~?")))</x:f>
      </x:c>
      <x:c r="H381" s="2" t="str">
        <x:f>IF(COUNTA(A381:F381)=0,"",COUNTIFS('App Data'!$L$2:$L$1001,SUBSTITUTE(SUBSTITUTE(SUBSTITUTE(L381,"~","~~"),"*","~*"),"?","~?")))</x:f>
      </x:c>
      <x:c r="I381" s="13" t="str">
        <x:f>IF(OR(H381&lt;&gt;1,G381&lt;&gt;1),"",SUMIFS('App Data'!$E$2:$E$1001,'App Data'!$L$2:$L$1001,SUBSTITUTE(SUBSTITUTE(SUBSTITUTE(L381,"~","~~"),"*","~*"),"?","~?")))</x:f>
      </x:c>
      <x:c r="J381" s="13" t="str">
        <x:f>IF(OR(NOT(ISNUMBER(E381)),NOT(ISNUMBER(I381))),"",ROUND(E381-I381,2))</x:f>
      </x:c>
      <x:c r="K381" s="2" t="str">
        <x:f>IF(COUNTA(A381:F381)=0,"",IF(OR(A381="",B381="",C381="",D381="",NOT(ISNUMBER(E381))),"Missing / invalid input",IF(G381&gt;1,"Duplicate key in this source",IF(H381=0,"Missing in other source",IF(H381&gt;1,"Duplicate in other source",IF(SUMIFS('App Data'!$M$2:$M$1001,'App Data'!$L$2:$L$1001,SUBSTITUTE(SUBSTITUTE(SUBSTITUTE(L381,"~","~~"),"*","~*"),"?","~?"))&lt;&gt;1,"Other amount is invalid",IF(J381&lt;&gt;0,"Amount differs","Matched")))))))</x:f>
      </x:c>
      <x:c r="L381" t="str">
        <x:f>IF(COUNTA(A381:F381)=0,"",LEN(A381)&amp;":"&amp;A381&amp;LEN(B381)&amp;":"&amp;B381&amp;LEN(C381)&amp;":"&amp;C381&amp;LEN(D381)&amp;":"&amp;D381)</x:f>
      </x:c>
      <x:c r="M381" t="str">
        <x:f>IF(COUNTA(A381:F381)=0,"",IF(ISNUMBER(E381),1,0))</x:f>
      </x:c>
    </x:row>
    <x:row r="382">
      <x:c r="A382" s="11"/>
      <x:c r="B382" s="11"/>
      <x:c r="C382" s="11"/>
      <x:c r="D382" s="11"/>
      <x:c r="E382" s="12"/>
      <x:c r="F382" s="10"/>
      <x:c r="G382" s="2" t="str">
        <x:f>IF(COUNTA(A382:F382)=0,"",COUNTIFS('External Data'!$L$2:$L$1001,SUBSTITUTE(SUBSTITUTE(SUBSTITUTE(L382,"~","~~"),"*","~*"),"?","~?")))</x:f>
      </x:c>
      <x:c r="H382" s="2" t="str">
        <x:f>IF(COUNTA(A382:F382)=0,"",COUNTIFS('App Data'!$L$2:$L$1001,SUBSTITUTE(SUBSTITUTE(SUBSTITUTE(L382,"~","~~"),"*","~*"),"?","~?")))</x:f>
      </x:c>
      <x:c r="I382" s="13" t="str">
        <x:f>IF(OR(H382&lt;&gt;1,G382&lt;&gt;1),"",SUMIFS('App Data'!$E$2:$E$1001,'App Data'!$L$2:$L$1001,SUBSTITUTE(SUBSTITUTE(SUBSTITUTE(L382,"~","~~"),"*","~*"),"?","~?")))</x:f>
      </x:c>
      <x:c r="J382" s="13" t="str">
        <x:f>IF(OR(NOT(ISNUMBER(E382)),NOT(ISNUMBER(I382))),"",ROUND(E382-I382,2))</x:f>
      </x:c>
      <x:c r="K382" s="2" t="str">
        <x:f>IF(COUNTA(A382:F382)=0,"",IF(OR(A382="",B382="",C382="",D382="",NOT(ISNUMBER(E382))),"Missing / invalid input",IF(G382&gt;1,"Duplicate key in this source",IF(H382=0,"Missing in other source",IF(H382&gt;1,"Duplicate in other source",IF(SUMIFS('App Data'!$M$2:$M$1001,'App Data'!$L$2:$L$1001,SUBSTITUTE(SUBSTITUTE(SUBSTITUTE(L382,"~","~~"),"*","~*"),"?","~?"))&lt;&gt;1,"Other amount is invalid",IF(J382&lt;&gt;0,"Amount differs","Matched")))))))</x:f>
      </x:c>
      <x:c r="L382" t="str">
        <x:f>IF(COUNTA(A382:F382)=0,"",LEN(A382)&amp;":"&amp;A382&amp;LEN(B382)&amp;":"&amp;B382&amp;LEN(C382)&amp;":"&amp;C382&amp;LEN(D382)&amp;":"&amp;D382)</x:f>
      </x:c>
      <x:c r="M382" t="str">
        <x:f>IF(COUNTA(A382:F382)=0,"",IF(ISNUMBER(E382),1,0))</x:f>
      </x:c>
    </x:row>
    <x:row r="383">
      <x:c r="A383" s="11"/>
      <x:c r="B383" s="11"/>
      <x:c r="C383" s="11"/>
      <x:c r="D383" s="11"/>
      <x:c r="E383" s="12"/>
      <x:c r="F383" s="10"/>
      <x:c r="G383" s="2" t="str">
        <x:f>IF(COUNTA(A383:F383)=0,"",COUNTIFS('External Data'!$L$2:$L$1001,SUBSTITUTE(SUBSTITUTE(SUBSTITUTE(L383,"~","~~"),"*","~*"),"?","~?")))</x:f>
      </x:c>
      <x:c r="H383" s="2" t="str">
        <x:f>IF(COUNTA(A383:F383)=0,"",COUNTIFS('App Data'!$L$2:$L$1001,SUBSTITUTE(SUBSTITUTE(SUBSTITUTE(L383,"~","~~"),"*","~*"),"?","~?")))</x:f>
      </x:c>
      <x:c r="I383" s="13" t="str">
        <x:f>IF(OR(H383&lt;&gt;1,G383&lt;&gt;1),"",SUMIFS('App Data'!$E$2:$E$1001,'App Data'!$L$2:$L$1001,SUBSTITUTE(SUBSTITUTE(SUBSTITUTE(L383,"~","~~"),"*","~*"),"?","~?")))</x:f>
      </x:c>
      <x:c r="J383" s="13" t="str">
        <x:f>IF(OR(NOT(ISNUMBER(E383)),NOT(ISNUMBER(I383))),"",ROUND(E383-I383,2))</x:f>
      </x:c>
      <x:c r="K383" s="2" t="str">
        <x:f>IF(COUNTA(A383:F383)=0,"",IF(OR(A383="",B383="",C383="",D383="",NOT(ISNUMBER(E383))),"Missing / invalid input",IF(G383&gt;1,"Duplicate key in this source",IF(H383=0,"Missing in other source",IF(H383&gt;1,"Duplicate in other source",IF(SUMIFS('App Data'!$M$2:$M$1001,'App Data'!$L$2:$L$1001,SUBSTITUTE(SUBSTITUTE(SUBSTITUTE(L383,"~","~~"),"*","~*"),"?","~?"))&lt;&gt;1,"Other amount is invalid",IF(J383&lt;&gt;0,"Amount differs","Matched")))))))</x:f>
      </x:c>
      <x:c r="L383" t="str">
        <x:f>IF(COUNTA(A383:F383)=0,"",LEN(A383)&amp;":"&amp;A383&amp;LEN(B383)&amp;":"&amp;B383&amp;LEN(C383)&amp;":"&amp;C383&amp;LEN(D383)&amp;":"&amp;D383)</x:f>
      </x:c>
      <x:c r="M383" t="str">
        <x:f>IF(COUNTA(A383:F383)=0,"",IF(ISNUMBER(E383),1,0))</x:f>
      </x:c>
    </x:row>
    <x:row r="384">
      <x:c r="A384" s="11"/>
      <x:c r="B384" s="11"/>
      <x:c r="C384" s="11"/>
      <x:c r="D384" s="11"/>
      <x:c r="E384" s="12"/>
      <x:c r="F384" s="10"/>
      <x:c r="G384" s="2" t="str">
        <x:f>IF(COUNTA(A384:F384)=0,"",COUNTIFS('External Data'!$L$2:$L$1001,SUBSTITUTE(SUBSTITUTE(SUBSTITUTE(L384,"~","~~"),"*","~*"),"?","~?")))</x:f>
      </x:c>
      <x:c r="H384" s="2" t="str">
        <x:f>IF(COUNTA(A384:F384)=0,"",COUNTIFS('App Data'!$L$2:$L$1001,SUBSTITUTE(SUBSTITUTE(SUBSTITUTE(L384,"~","~~"),"*","~*"),"?","~?")))</x:f>
      </x:c>
      <x:c r="I384" s="13" t="str">
        <x:f>IF(OR(H384&lt;&gt;1,G384&lt;&gt;1),"",SUMIFS('App Data'!$E$2:$E$1001,'App Data'!$L$2:$L$1001,SUBSTITUTE(SUBSTITUTE(SUBSTITUTE(L384,"~","~~"),"*","~*"),"?","~?")))</x:f>
      </x:c>
      <x:c r="J384" s="13" t="str">
        <x:f>IF(OR(NOT(ISNUMBER(E384)),NOT(ISNUMBER(I384))),"",ROUND(E384-I384,2))</x:f>
      </x:c>
      <x:c r="K384" s="2" t="str">
        <x:f>IF(COUNTA(A384:F384)=0,"",IF(OR(A384="",B384="",C384="",D384="",NOT(ISNUMBER(E384))),"Missing / invalid input",IF(G384&gt;1,"Duplicate key in this source",IF(H384=0,"Missing in other source",IF(H384&gt;1,"Duplicate in other source",IF(SUMIFS('App Data'!$M$2:$M$1001,'App Data'!$L$2:$L$1001,SUBSTITUTE(SUBSTITUTE(SUBSTITUTE(L384,"~","~~"),"*","~*"),"?","~?"))&lt;&gt;1,"Other amount is invalid",IF(J384&lt;&gt;0,"Amount differs","Matched")))))))</x:f>
      </x:c>
      <x:c r="L384" t="str">
        <x:f>IF(COUNTA(A384:F384)=0,"",LEN(A384)&amp;":"&amp;A384&amp;LEN(B384)&amp;":"&amp;B384&amp;LEN(C384)&amp;":"&amp;C384&amp;LEN(D384)&amp;":"&amp;D384)</x:f>
      </x:c>
      <x:c r="M384" t="str">
        <x:f>IF(COUNTA(A384:F384)=0,"",IF(ISNUMBER(E384),1,0))</x:f>
      </x:c>
    </x:row>
    <x:row r="385">
      <x:c r="A385" s="11"/>
      <x:c r="B385" s="11"/>
      <x:c r="C385" s="11"/>
      <x:c r="D385" s="11"/>
      <x:c r="E385" s="12"/>
      <x:c r="F385" s="10"/>
      <x:c r="G385" s="2" t="str">
        <x:f>IF(COUNTA(A385:F385)=0,"",COUNTIFS('External Data'!$L$2:$L$1001,SUBSTITUTE(SUBSTITUTE(SUBSTITUTE(L385,"~","~~"),"*","~*"),"?","~?")))</x:f>
      </x:c>
      <x:c r="H385" s="2" t="str">
        <x:f>IF(COUNTA(A385:F385)=0,"",COUNTIFS('App Data'!$L$2:$L$1001,SUBSTITUTE(SUBSTITUTE(SUBSTITUTE(L385,"~","~~"),"*","~*"),"?","~?")))</x:f>
      </x:c>
      <x:c r="I385" s="13" t="str">
        <x:f>IF(OR(H385&lt;&gt;1,G385&lt;&gt;1),"",SUMIFS('App Data'!$E$2:$E$1001,'App Data'!$L$2:$L$1001,SUBSTITUTE(SUBSTITUTE(SUBSTITUTE(L385,"~","~~"),"*","~*"),"?","~?")))</x:f>
      </x:c>
      <x:c r="J385" s="13" t="str">
        <x:f>IF(OR(NOT(ISNUMBER(E385)),NOT(ISNUMBER(I385))),"",ROUND(E385-I385,2))</x:f>
      </x:c>
      <x:c r="K385" s="2" t="str">
        <x:f>IF(COUNTA(A385:F385)=0,"",IF(OR(A385="",B385="",C385="",D385="",NOT(ISNUMBER(E385))),"Missing / invalid input",IF(G385&gt;1,"Duplicate key in this source",IF(H385=0,"Missing in other source",IF(H385&gt;1,"Duplicate in other source",IF(SUMIFS('App Data'!$M$2:$M$1001,'App Data'!$L$2:$L$1001,SUBSTITUTE(SUBSTITUTE(SUBSTITUTE(L385,"~","~~"),"*","~*"),"?","~?"))&lt;&gt;1,"Other amount is invalid",IF(J385&lt;&gt;0,"Amount differs","Matched")))))))</x:f>
      </x:c>
      <x:c r="L385" t="str">
        <x:f>IF(COUNTA(A385:F385)=0,"",LEN(A385)&amp;":"&amp;A385&amp;LEN(B385)&amp;":"&amp;B385&amp;LEN(C385)&amp;":"&amp;C385&amp;LEN(D385)&amp;":"&amp;D385)</x:f>
      </x:c>
      <x:c r="M385" t="str">
        <x:f>IF(COUNTA(A385:F385)=0,"",IF(ISNUMBER(E385),1,0))</x:f>
      </x:c>
    </x:row>
    <x:row r="386">
      <x:c r="A386" s="11"/>
      <x:c r="B386" s="11"/>
      <x:c r="C386" s="11"/>
      <x:c r="D386" s="11"/>
      <x:c r="E386" s="12"/>
      <x:c r="F386" s="10"/>
      <x:c r="G386" s="2" t="str">
        <x:f>IF(COUNTA(A386:F386)=0,"",COUNTIFS('External Data'!$L$2:$L$1001,SUBSTITUTE(SUBSTITUTE(SUBSTITUTE(L386,"~","~~"),"*","~*"),"?","~?")))</x:f>
      </x:c>
      <x:c r="H386" s="2" t="str">
        <x:f>IF(COUNTA(A386:F386)=0,"",COUNTIFS('App Data'!$L$2:$L$1001,SUBSTITUTE(SUBSTITUTE(SUBSTITUTE(L386,"~","~~"),"*","~*"),"?","~?")))</x:f>
      </x:c>
      <x:c r="I386" s="13" t="str">
        <x:f>IF(OR(H386&lt;&gt;1,G386&lt;&gt;1),"",SUMIFS('App Data'!$E$2:$E$1001,'App Data'!$L$2:$L$1001,SUBSTITUTE(SUBSTITUTE(SUBSTITUTE(L386,"~","~~"),"*","~*"),"?","~?")))</x:f>
      </x:c>
      <x:c r="J386" s="13" t="str">
        <x:f>IF(OR(NOT(ISNUMBER(E386)),NOT(ISNUMBER(I386))),"",ROUND(E386-I386,2))</x:f>
      </x:c>
      <x:c r="K386" s="2" t="str">
        <x:f>IF(COUNTA(A386:F386)=0,"",IF(OR(A386="",B386="",C386="",D386="",NOT(ISNUMBER(E386))),"Missing / invalid input",IF(G386&gt;1,"Duplicate key in this source",IF(H386=0,"Missing in other source",IF(H386&gt;1,"Duplicate in other source",IF(SUMIFS('App Data'!$M$2:$M$1001,'App Data'!$L$2:$L$1001,SUBSTITUTE(SUBSTITUTE(SUBSTITUTE(L386,"~","~~"),"*","~*"),"?","~?"))&lt;&gt;1,"Other amount is invalid",IF(J386&lt;&gt;0,"Amount differs","Matched")))))))</x:f>
      </x:c>
      <x:c r="L386" t="str">
        <x:f>IF(COUNTA(A386:F386)=0,"",LEN(A386)&amp;":"&amp;A386&amp;LEN(B386)&amp;":"&amp;B386&amp;LEN(C386)&amp;":"&amp;C386&amp;LEN(D386)&amp;":"&amp;D386)</x:f>
      </x:c>
      <x:c r="M386" t="str">
        <x:f>IF(COUNTA(A386:F386)=0,"",IF(ISNUMBER(E386),1,0))</x:f>
      </x:c>
    </x:row>
    <x:row r="387">
      <x:c r="A387" s="11"/>
      <x:c r="B387" s="11"/>
      <x:c r="C387" s="11"/>
      <x:c r="D387" s="11"/>
      <x:c r="E387" s="12"/>
      <x:c r="F387" s="10"/>
      <x:c r="G387" s="2" t="str">
        <x:f>IF(COUNTA(A387:F387)=0,"",COUNTIFS('External Data'!$L$2:$L$1001,SUBSTITUTE(SUBSTITUTE(SUBSTITUTE(L387,"~","~~"),"*","~*"),"?","~?")))</x:f>
      </x:c>
      <x:c r="H387" s="2" t="str">
        <x:f>IF(COUNTA(A387:F387)=0,"",COUNTIFS('App Data'!$L$2:$L$1001,SUBSTITUTE(SUBSTITUTE(SUBSTITUTE(L387,"~","~~"),"*","~*"),"?","~?")))</x:f>
      </x:c>
      <x:c r="I387" s="13" t="str">
        <x:f>IF(OR(H387&lt;&gt;1,G387&lt;&gt;1),"",SUMIFS('App Data'!$E$2:$E$1001,'App Data'!$L$2:$L$1001,SUBSTITUTE(SUBSTITUTE(SUBSTITUTE(L387,"~","~~"),"*","~*"),"?","~?")))</x:f>
      </x:c>
      <x:c r="J387" s="13" t="str">
        <x:f>IF(OR(NOT(ISNUMBER(E387)),NOT(ISNUMBER(I387))),"",ROUND(E387-I387,2))</x:f>
      </x:c>
      <x:c r="K387" s="2" t="str">
        <x:f>IF(COUNTA(A387:F387)=0,"",IF(OR(A387="",B387="",C387="",D387="",NOT(ISNUMBER(E387))),"Missing / invalid input",IF(G387&gt;1,"Duplicate key in this source",IF(H387=0,"Missing in other source",IF(H387&gt;1,"Duplicate in other source",IF(SUMIFS('App Data'!$M$2:$M$1001,'App Data'!$L$2:$L$1001,SUBSTITUTE(SUBSTITUTE(SUBSTITUTE(L387,"~","~~"),"*","~*"),"?","~?"))&lt;&gt;1,"Other amount is invalid",IF(J387&lt;&gt;0,"Amount differs","Matched")))))))</x:f>
      </x:c>
      <x:c r="L387" t="str">
        <x:f>IF(COUNTA(A387:F387)=0,"",LEN(A387)&amp;":"&amp;A387&amp;LEN(B387)&amp;":"&amp;B387&amp;LEN(C387)&amp;":"&amp;C387&amp;LEN(D387)&amp;":"&amp;D387)</x:f>
      </x:c>
      <x:c r="M387" t="str">
        <x:f>IF(COUNTA(A387:F387)=0,"",IF(ISNUMBER(E387),1,0))</x:f>
      </x:c>
    </x:row>
    <x:row r="388">
      <x:c r="A388" s="11"/>
      <x:c r="B388" s="11"/>
      <x:c r="C388" s="11"/>
      <x:c r="D388" s="11"/>
      <x:c r="E388" s="12"/>
      <x:c r="F388" s="10"/>
      <x:c r="G388" s="2" t="str">
        <x:f>IF(COUNTA(A388:F388)=0,"",COUNTIFS('External Data'!$L$2:$L$1001,SUBSTITUTE(SUBSTITUTE(SUBSTITUTE(L388,"~","~~"),"*","~*"),"?","~?")))</x:f>
      </x:c>
      <x:c r="H388" s="2" t="str">
        <x:f>IF(COUNTA(A388:F388)=0,"",COUNTIFS('App Data'!$L$2:$L$1001,SUBSTITUTE(SUBSTITUTE(SUBSTITUTE(L388,"~","~~"),"*","~*"),"?","~?")))</x:f>
      </x:c>
      <x:c r="I388" s="13" t="str">
        <x:f>IF(OR(H388&lt;&gt;1,G388&lt;&gt;1),"",SUMIFS('App Data'!$E$2:$E$1001,'App Data'!$L$2:$L$1001,SUBSTITUTE(SUBSTITUTE(SUBSTITUTE(L388,"~","~~"),"*","~*"),"?","~?")))</x:f>
      </x:c>
      <x:c r="J388" s="13" t="str">
        <x:f>IF(OR(NOT(ISNUMBER(E388)),NOT(ISNUMBER(I388))),"",ROUND(E388-I388,2))</x:f>
      </x:c>
      <x:c r="K388" s="2" t="str">
        <x:f>IF(COUNTA(A388:F388)=0,"",IF(OR(A388="",B388="",C388="",D388="",NOT(ISNUMBER(E388))),"Missing / invalid input",IF(G388&gt;1,"Duplicate key in this source",IF(H388=0,"Missing in other source",IF(H388&gt;1,"Duplicate in other source",IF(SUMIFS('App Data'!$M$2:$M$1001,'App Data'!$L$2:$L$1001,SUBSTITUTE(SUBSTITUTE(SUBSTITUTE(L388,"~","~~"),"*","~*"),"?","~?"))&lt;&gt;1,"Other amount is invalid",IF(J388&lt;&gt;0,"Amount differs","Matched")))))))</x:f>
      </x:c>
      <x:c r="L388" t="str">
        <x:f>IF(COUNTA(A388:F388)=0,"",LEN(A388)&amp;":"&amp;A388&amp;LEN(B388)&amp;":"&amp;B388&amp;LEN(C388)&amp;":"&amp;C388&amp;LEN(D388)&amp;":"&amp;D388)</x:f>
      </x:c>
      <x:c r="M388" t="str">
        <x:f>IF(COUNTA(A388:F388)=0,"",IF(ISNUMBER(E388),1,0))</x:f>
      </x:c>
    </x:row>
    <x:row r="389">
      <x:c r="A389" s="11"/>
      <x:c r="B389" s="11"/>
      <x:c r="C389" s="11"/>
      <x:c r="D389" s="11"/>
      <x:c r="E389" s="12"/>
      <x:c r="F389" s="10"/>
      <x:c r="G389" s="2" t="str">
        <x:f>IF(COUNTA(A389:F389)=0,"",COUNTIFS('External Data'!$L$2:$L$1001,SUBSTITUTE(SUBSTITUTE(SUBSTITUTE(L389,"~","~~"),"*","~*"),"?","~?")))</x:f>
      </x:c>
      <x:c r="H389" s="2" t="str">
        <x:f>IF(COUNTA(A389:F389)=0,"",COUNTIFS('App Data'!$L$2:$L$1001,SUBSTITUTE(SUBSTITUTE(SUBSTITUTE(L389,"~","~~"),"*","~*"),"?","~?")))</x:f>
      </x:c>
      <x:c r="I389" s="13" t="str">
        <x:f>IF(OR(H389&lt;&gt;1,G389&lt;&gt;1),"",SUMIFS('App Data'!$E$2:$E$1001,'App Data'!$L$2:$L$1001,SUBSTITUTE(SUBSTITUTE(SUBSTITUTE(L389,"~","~~"),"*","~*"),"?","~?")))</x:f>
      </x:c>
      <x:c r="J389" s="13" t="str">
        <x:f>IF(OR(NOT(ISNUMBER(E389)),NOT(ISNUMBER(I389))),"",ROUND(E389-I389,2))</x:f>
      </x:c>
      <x:c r="K389" s="2" t="str">
        <x:f>IF(COUNTA(A389:F389)=0,"",IF(OR(A389="",B389="",C389="",D389="",NOT(ISNUMBER(E389))),"Missing / invalid input",IF(G389&gt;1,"Duplicate key in this source",IF(H389=0,"Missing in other source",IF(H389&gt;1,"Duplicate in other source",IF(SUMIFS('App Data'!$M$2:$M$1001,'App Data'!$L$2:$L$1001,SUBSTITUTE(SUBSTITUTE(SUBSTITUTE(L389,"~","~~"),"*","~*"),"?","~?"))&lt;&gt;1,"Other amount is invalid",IF(J389&lt;&gt;0,"Amount differs","Matched")))))))</x:f>
      </x:c>
      <x:c r="L389" t="str">
        <x:f>IF(COUNTA(A389:F389)=0,"",LEN(A389)&amp;":"&amp;A389&amp;LEN(B389)&amp;":"&amp;B389&amp;LEN(C389)&amp;":"&amp;C389&amp;LEN(D389)&amp;":"&amp;D389)</x:f>
      </x:c>
      <x:c r="M389" t="str">
        <x:f>IF(COUNTA(A389:F389)=0,"",IF(ISNUMBER(E389),1,0))</x:f>
      </x:c>
    </x:row>
    <x:row r="390">
      <x:c r="A390" s="11"/>
      <x:c r="B390" s="11"/>
      <x:c r="C390" s="11"/>
      <x:c r="D390" s="11"/>
      <x:c r="E390" s="12"/>
      <x:c r="F390" s="10"/>
      <x:c r="G390" s="2" t="str">
        <x:f>IF(COUNTA(A390:F390)=0,"",COUNTIFS('External Data'!$L$2:$L$1001,SUBSTITUTE(SUBSTITUTE(SUBSTITUTE(L390,"~","~~"),"*","~*"),"?","~?")))</x:f>
      </x:c>
      <x:c r="H390" s="2" t="str">
        <x:f>IF(COUNTA(A390:F390)=0,"",COUNTIFS('App Data'!$L$2:$L$1001,SUBSTITUTE(SUBSTITUTE(SUBSTITUTE(L390,"~","~~"),"*","~*"),"?","~?")))</x:f>
      </x:c>
      <x:c r="I390" s="13" t="str">
        <x:f>IF(OR(H390&lt;&gt;1,G390&lt;&gt;1),"",SUMIFS('App Data'!$E$2:$E$1001,'App Data'!$L$2:$L$1001,SUBSTITUTE(SUBSTITUTE(SUBSTITUTE(L390,"~","~~"),"*","~*"),"?","~?")))</x:f>
      </x:c>
      <x:c r="J390" s="13" t="str">
        <x:f>IF(OR(NOT(ISNUMBER(E390)),NOT(ISNUMBER(I390))),"",ROUND(E390-I390,2))</x:f>
      </x:c>
      <x:c r="K390" s="2" t="str">
        <x:f>IF(COUNTA(A390:F390)=0,"",IF(OR(A390="",B390="",C390="",D390="",NOT(ISNUMBER(E390))),"Missing / invalid input",IF(G390&gt;1,"Duplicate key in this source",IF(H390=0,"Missing in other source",IF(H390&gt;1,"Duplicate in other source",IF(SUMIFS('App Data'!$M$2:$M$1001,'App Data'!$L$2:$L$1001,SUBSTITUTE(SUBSTITUTE(SUBSTITUTE(L390,"~","~~"),"*","~*"),"?","~?"))&lt;&gt;1,"Other amount is invalid",IF(J390&lt;&gt;0,"Amount differs","Matched")))))))</x:f>
      </x:c>
      <x:c r="L390" t="str">
        <x:f>IF(COUNTA(A390:F390)=0,"",LEN(A390)&amp;":"&amp;A390&amp;LEN(B390)&amp;":"&amp;B390&amp;LEN(C390)&amp;":"&amp;C390&amp;LEN(D390)&amp;":"&amp;D390)</x:f>
      </x:c>
      <x:c r="M390" t="str">
        <x:f>IF(COUNTA(A390:F390)=0,"",IF(ISNUMBER(E390),1,0))</x:f>
      </x:c>
    </x:row>
    <x:row r="391">
      <x:c r="A391" s="11"/>
      <x:c r="B391" s="11"/>
      <x:c r="C391" s="11"/>
      <x:c r="D391" s="11"/>
      <x:c r="E391" s="12"/>
      <x:c r="F391" s="10"/>
      <x:c r="G391" s="2" t="str">
        <x:f>IF(COUNTA(A391:F391)=0,"",COUNTIFS('External Data'!$L$2:$L$1001,SUBSTITUTE(SUBSTITUTE(SUBSTITUTE(L391,"~","~~"),"*","~*"),"?","~?")))</x:f>
      </x:c>
      <x:c r="H391" s="2" t="str">
        <x:f>IF(COUNTA(A391:F391)=0,"",COUNTIFS('App Data'!$L$2:$L$1001,SUBSTITUTE(SUBSTITUTE(SUBSTITUTE(L391,"~","~~"),"*","~*"),"?","~?")))</x:f>
      </x:c>
      <x:c r="I391" s="13" t="str">
        <x:f>IF(OR(H391&lt;&gt;1,G391&lt;&gt;1),"",SUMIFS('App Data'!$E$2:$E$1001,'App Data'!$L$2:$L$1001,SUBSTITUTE(SUBSTITUTE(SUBSTITUTE(L391,"~","~~"),"*","~*"),"?","~?")))</x:f>
      </x:c>
      <x:c r="J391" s="13" t="str">
        <x:f>IF(OR(NOT(ISNUMBER(E391)),NOT(ISNUMBER(I391))),"",ROUND(E391-I391,2))</x:f>
      </x:c>
      <x:c r="K391" s="2" t="str">
        <x:f>IF(COUNTA(A391:F391)=0,"",IF(OR(A391="",B391="",C391="",D391="",NOT(ISNUMBER(E391))),"Missing / invalid input",IF(G391&gt;1,"Duplicate key in this source",IF(H391=0,"Missing in other source",IF(H391&gt;1,"Duplicate in other source",IF(SUMIFS('App Data'!$M$2:$M$1001,'App Data'!$L$2:$L$1001,SUBSTITUTE(SUBSTITUTE(SUBSTITUTE(L391,"~","~~"),"*","~*"),"?","~?"))&lt;&gt;1,"Other amount is invalid",IF(J391&lt;&gt;0,"Amount differs","Matched")))))))</x:f>
      </x:c>
      <x:c r="L391" t="str">
        <x:f>IF(COUNTA(A391:F391)=0,"",LEN(A391)&amp;":"&amp;A391&amp;LEN(B391)&amp;":"&amp;B391&amp;LEN(C391)&amp;":"&amp;C391&amp;LEN(D391)&amp;":"&amp;D391)</x:f>
      </x:c>
      <x:c r="M391" t="str">
        <x:f>IF(COUNTA(A391:F391)=0,"",IF(ISNUMBER(E391),1,0))</x:f>
      </x:c>
    </x:row>
    <x:row r="392">
      <x:c r="A392" s="11"/>
      <x:c r="B392" s="11"/>
      <x:c r="C392" s="11"/>
      <x:c r="D392" s="11"/>
      <x:c r="E392" s="12"/>
      <x:c r="F392" s="10"/>
      <x:c r="G392" s="2" t="str">
        <x:f>IF(COUNTA(A392:F392)=0,"",COUNTIFS('External Data'!$L$2:$L$1001,SUBSTITUTE(SUBSTITUTE(SUBSTITUTE(L392,"~","~~"),"*","~*"),"?","~?")))</x:f>
      </x:c>
      <x:c r="H392" s="2" t="str">
        <x:f>IF(COUNTA(A392:F392)=0,"",COUNTIFS('App Data'!$L$2:$L$1001,SUBSTITUTE(SUBSTITUTE(SUBSTITUTE(L392,"~","~~"),"*","~*"),"?","~?")))</x:f>
      </x:c>
      <x:c r="I392" s="13" t="str">
        <x:f>IF(OR(H392&lt;&gt;1,G392&lt;&gt;1),"",SUMIFS('App Data'!$E$2:$E$1001,'App Data'!$L$2:$L$1001,SUBSTITUTE(SUBSTITUTE(SUBSTITUTE(L392,"~","~~"),"*","~*"),"?","~?")))</x:f>
      </x:c>
      <x:c r="J392" s="13" t="str">
        <x:f>IF(OR(NOT(ISNUMBER(E392)),NOT(ISNUMBER(I392))),"",ROUND(E392-I392,2))</x:f>
      </x:c>
      <x:c r="K392" s="2" t="str">
        <x:f>IF(COUNTA(A392:F392)=0,"",IF(OR(A392="",B392="",C392="",D392="",NOT(ISNUMBER(E392))),"Missing / invalid input",IF(G392&gt;1,"Duplicate key in this source",IF(H392=0,"Missing in other source",IF(H392&gt;1,"Duplicate in other source",IF(SUMIFS('App Data'!$M$2:$M$1001,'App Data'!$L$2:$L$1001,SUBSTITUTE(SUBSTITUTE(SUBSTITUTE(L392,"~","~~"),"*","~*"),"?","~?"))&lt;&gt;1,"Other amount is invalid",IF(J392&lt;&gt;0,"Amount differs","Matched")))))))</x:f>
      </x:c>
      <x:c r="L392" t="str">
        <x:f>IF(COUNTA(A392:F392)=0,"",LEN(A392)&amp;":"&amp;A392&amp;LEN(B392)&amp;":"&amp;B392&amp;LEN(C392)&amp;":"&amp;C392&amp;LEN(D392)&amp;":"&amp;D392)</x:f>
      </x:c>
      <x:c r="M392" t="str">
        <x:f>IF(COUNTA(A392:F392)=0,"",IF(ISNUMBER(E392),1,0))</x:f>
      </x:c>
    </x:row>
    <x:row r="393">
      <x:c r="A393" s="11"/>
      <x:c r="B393" s="11"/>
      <x:c r="C393" s="11"/>
      <x:c r="D393" s="11"/>
      <x:c r="E393" s="12"/>
      <x:c r="F393" s="10"/>
      <x:c r="G393" s="2" t="str">
        <x:f>IF(COUNTA(A393:F393)=0,"",COUNTIFS('External Data'!$L$2:$L$1001,SUBSTITUTE(SUBSTITUTE(SUBSTITUTE(L393,"~","~~"),"*","~*"),"?","~?")))</x:f>
      </x:c>
      <x:c r="H393" s="2" t="str">
        <x:f>IF(COUNTA(A393:F393)=0,"",COUNTIFS('App Data'!$L$2:$L$1001,SUBSTITUTE(SUBSTITUTE(SUBSTITUTE(L393,"~","~~"),"*","~*"),"?","~?")))</x:f>
      </x:c>
      <x:c r="I393" s="13" t="str">
        <x:f>IF(OR(H393&lt;&gt;1,G393&lt;&gt;1),"",SUMIFS('App Data'!$E$2:$E$1001,'App Data'!$L$2:$L$1001,SUBSTITUTE(SUBSTITUTE(SUBSTITUTE(L393,"~","~~"),"*","~*"),"?","~?")))</x:f>
      </x:c>
      <x:c r="J393" s="13" t="str">
        <x:f>IF(OR(NOT(ISNUMBER(E393)),NOT(ISNUMBER(I393))),"",ROUND(E393-I393,2))</x:f>
      </x:c>
      <x:c r="K393" s="2" t="str">
        <x:f>IF(COUNTA(A393:F393)=0,"",IF(OR(A393="",B393="",C393="",D393="",NOT(ISNUMBER(E393))),"Missing / invalid input",IF(G393&gt;1,"Duplicate key in this source",IF(H393=0,"Missing in other source",IF(H393&gt;1,"Duplicate in other source",IF(SUMIFS('App Data'!$M$2:$M$1001,'App Data'!$L$2:$L$1001,SUBSTITUTE(SUBSTITUTE(SUBSTITUTE(L393,"~","~~"),"*","~*"),"?","~?"))&lt;&gt;1,"Other amount is invalid",IF(J393&lt;&gt;0,"Amount differs","Matched")))))))</x:f>
      </x:c>
      <x:c r="L393" t="str">
        <x:f>IF(COUNTA(A393:F393)=0,"",LEN(A393)&amp;":"&amp;A393&amp;LEN(B393)&amp;":"&amp;B393&amp;LEN(C393)&amp;":"&amp;C393&amp;LEN(D393)&amp;":"&amp;D393)</x:f>
      </x:c>
      <x:c r="M393" t="str">
        <x:f>IF(COUNTA(A393:F393)=0,"",IF(ISNUMBER(E393),1,0))</x:f>
      </x:c>
    </x:row>
    <x:row r="394">
      <x:c r="A394" s="11"/>
      <x:c r="B394" s="11"/>
      <x:c r="C394" s="11"/>
      <x:c r="D394" s="11"/>
      <x:c r="E394" s="12"/>
      <x:c r="F394" s="10"/>
      <x:c r="G394" s="2" t="str">
        <x:f>IF(COUNTA(A394:F394)=0,"",COUNTIFS('External Data'!$L$2:$L$1001,SUBSTITUTE(SUBSTITUTE(SUBSTITUTE(L394,"~","~~"),"*","~*"),"?","~?")))</x:f>
      </x:c>
      <x:c r="H394" s="2" t="str">
        <x:f>IF(COUNTA(A394:F394)=0,"",COUNTIFS('App Data'!$L$2:$L$1001,SUBSTITUTE(SUBSTITUTE(SUBSTITUTE(L394,"~","~~"),"*","~*"),"?","~?")))</x:f>
      </x:c>
      <x:c r="I394" s="13" t="str">
        <x:f>IF(OR(H394&lt;&gt;1,G394&lt;&gt;1),"",SUMIFS('App Data'!$E$2:$E$1001,'App Data'!$L$2:$L$1001,SUBSTITUTE(SUBSTITUTE(SUBSTITUTE(L394,"~","~~"),"*","~*"),"?","~?")))</x:f>
      </x:c>
      <x:c r="J394" s="13" t="str">
        <x:f>IF(OR(NOT(ISNUMBER(E394)),NOT(ISNUMBER(I394))),"",ROUND(E394-I394,2))</x:f>
      </x:c>
      <x:c r="K394" s="2" t="str">
        <x:f>IF(COUNTA(A394:F394)=0,"",IF(OR(A394="",B394="",C394="",D394="",NOT(ISNUMBER(E394))),"Missing / invalid input",IF(G394&gt;1,"Duplicate key in this source",IF(H394=0,"Missing in other source",IF(H394&gt;1,"Duplicate in other source",IF(SUMIFS('App Data'!$M$2:$M$1001,'App Data'!$L$2:$L$1001,SUBSTITUTE(SUBSTITUTE(SUBSTITUTE(L394,"~","~~"),"*","~*"),"?","~?"))&lt;&gt;1,"Other amount is invalid",IF(J394&lt;&gt;0,"Amount differs","Matched")))))))</x:f>
      </x:c>
      <x:c r="L394" t="str">
        <x:f>IF(COUNTA(A394:F394)=0,"",LEN(A394)&amp;":"&amp;A394&amp;LEN(B394)&amp;":"&amp;B394&amp;LEN(C394)&amp;":"&amp;C394&amp;LEN(D394)&amp;":"&amp;D394)</x:f>
      </x:c>
      <x:c r="M394" t="str">
        <x:f>IF(COUNTA(A394:F394)=0,"",IF(ISNUMBER(E394),1,0))</x:f>
      </x:c>
    </x:row>
    <x:row r="395">
      <x:c r="A395" s="11"/>
      <x:c r="B395" s="11"/>
      <x:c r="C395" s="11"/>
      <x:c r="D395" s="11"/>
      <x:c r="E395" s="12"/>
      <x:c r="F395" s="10"/>
      <x:c r="G395" s="2" t="str">
        <x:f>IF(COUNTA(A395:F395)=0,"",COUNTIFS('External Data'!$L$2:$L$1001,SUBSTITUTE(SUBSTITUTE(SUBSTITUTE(L395,"~","~~"),"*","~*"),"?","~?")))</x:f>
      </x:c>
      <x:c r="H395" s="2" t="str">
        <x:f>IF(COUNTA(A395:F395)=0,"",COUNTIFS('App Data'!$L$2:$L$1001,SUBSTITUTE(SUBSTITUTE(SUBSTITUTE(L395,"~","~~"),"*","~*"),"?","~?")))</x:f>
      </x:c>
      <x:c r="I395" s="13" t="str">
        <x:f>IF(OR(H395&lt;&gt;1,G395&lt;&gt;1),"",SUMIFS('App Data'!$E$2:$E$1001,'App Data'!$L$2:$L$1001,SUBSTITUTE(SUBSTITUTE(SUBSTITUTE(L395,"~","~~"),"*","~*"),"?","~?")))</x:f>
      </x:c>
      <x:c r="J395" s="13" t="str">
        <x:f>IF(OR(NOT(ISNUMBER(E395)),NOT(ISNUMBER(I395))),"",ROUND(E395-I395,2))</x:f>
      </x:c>
      <x:c r="K395" s="2" t="str">
        <x:f>IF(COUNTA(A395:F395)=0,"",IF(OR(A395="",B395="",C395="",D395="",NOT(ISNUMBER(E395))),"Missing / invalid input",IF(G395&gt;1,"Duplicate key in this source",IF(H395=0,"Missing in other source",IF(H395&gt;1,"Duplicate in other source",IF(SUMIFS('App Data'!$M$2:$M$1001,'App Data'!$L$2:$L$1001,SUBSTITUTE(SUBSTITUTE(SUBSTITUTE(L395,"~","~~"),"*","~*"),"?","~?"))&lt;&gt;1,"Other amount is invalid",IF(J395&lt;&gt;0,"Amount differs","Matched")))))))</x:f>
      </x:c>
      <x:c r="L395" t="str">
        <x:f>IF(COUNTA(A395:F395)=0,"",LEN(A395)&amp;":"&amp;A395&amp;LEN(B395)&amp;":"&amp;B395&amp;LEN(C395)&amp;":"&amp;C395&amp;LEN(D395)&amp;":"&amp;D395)</x:f>
      </x:c>
      <x:c r="M395" t="str">
        <x:f>IF(COUNTA(A395:F395)=0,"",IF(ISNUMBER(E395),1,0))</x:f>
      </x:c>
    </x:row>
    <x:row r="396">
      <x:c r="A396" s="11"/>
      <x:c r="B396" s="11"/>
      <x:c r="C396" s="11"/>
      <x:c r="D396" s="11"/>
      <x:c r="E396" s="12"/>
      <x:c r="F396" s="10"/>
      <x:c r="G396" s="2" t="str">
        <x:f>IF(COUNTA(A396:F396)=0,"",COUNTIFS('External Data'!$L$2:$L$1001,SUBSTITUTE(SUBSTITUTE(SUBSTITUTE(L396,"~","~~"),"*","~*"),"?","~?")))</x:f>
      </x:c>
      <x:c r="H396" s="2" t="str">
        <x:f>IF(COUNTA(A396:F396)=0,"",COUNTIFS('App Data'!$L$2:$L$1001,SUBSTITUTE(SUBSTITUTE(SUBSTITUTE(L396,"~","~~"),"*","~*"),"?","~?")))</x:f>
      </x:c>
      <x:c r="I396" s="13" t="str">
        <x:f>IF(OR(H396&lt;&gt;1,G396&lt;&gt;1),"",SUMIFS('App Data'!$E$2:$E$1001,'App Data'!$L$2:$L$1001,SUBSTITUTE(SUBSTITUTE(SUBSTITUTE(L396,"~","~~"),"*","~*"),"?","~?")))</x:f>
      </x:c>
      <x:c r="J396" s="13" t="str">
        <x:f>IF(OR(NOT(ISNUMBER(E396)),NOT(ISNUMBER(I396))),"",ROUND(E396-I396,2))</x:f>
      </x:c>
      <x:c r="K396" s="2" t="str">
        <x:f>IF(COUNTA(A396:F396)=0,"",IF(OR(A396="",B396="",C396="",D396="",NOT(ISNUMBER(E396))),"Missing / invalid input",IF(G396&gt;1,"Duplicate key in this source",IF(H396=0,"Missing in other source",IF(H396&gt;1,"Duplicate in other source",IF(SUMIFS('App Data'!$M$2:$M$1001,'App Data'!$L$2:$L$1001,SUBSTITUTE(SUBSTITUTE(SUBSTITUTE(L396,"~","~~"),"*","~*"),"?","~?"))&lt;&gt;1,"Other amount is invalid",IF(J396&lt;&gt;0,"Amount differs","Matched")))))))</x:f>
      </x:c>
      <x:c r="L396" t="str">
        <x:f>IF(COUNTA(A396:F396)=0,"",LEN(A396)&amp;":"&amp;A396&amp;LEN(B396)&amp;":"&amp;B396&amp;LEN(C396)&amp;":"&amp;C396&amp;LEN(D396)&amp;":"&amp;D396)</x:f>
      </x:c>
      <x:c r="M396" t="str">
        <x:f>IF(COUNTA(A396:F396)=0,"",IF(ISNUMBER(E396),1,0))</x:f>
      </x:c>
    </x:row>
    <x:row r="397">
      <x:c r="A397" s="11"/>
      <x:c r="B397" s="11"/>
      <x:c r="C397" s="11"/>
      <x:c r="D397" s="11"/>
      <x:c r="E397" s="12"/>
      <x:c r="F397" s="10"/>
      <x:c r="G397" s="2" t="str">
        <x:f>IF(COUNTA(A397:F397)=0,"",COUNTIFS('External Data'!$L$2:$L$1001,SUBSTITUTE(SUBSTITUTE(SUBSTITUTE(L397,"~","~~"),"*","~*"),"?","~?")))</x:f>
      </x:c>
      <x:c r="H397" s="2" t="str">
        <x:f>IF(COUNTA(A397:F397)=0,"",COUNTIFS('App Data'!$L$2:$L$1001,SUBSTITUTE(SUBSTITUTE(SUBSTITUTE(L397,"~","~~"),"*","~*"),"?","~?")))</x:f>
      </x:c>
      <x:c r="I397" s="13" t="str">
        <x:f>IF(OR(H397&lt;&gt;1,G397&lt;&gt;1),"",SUMIFS('App Data'!$E$2:$E$1001,'App Data'!$L$2:$L$1001,SUBSTITUTE(SUBSTITUTE(SUBSTITUTE(L397,"~","~~"),"*","~*"),"?","~?")))</x:f>
      </x:c>
      <x:c r="J397" s="13" t="str">
        <x:f>IF(OR(NOT(ISNUMBER(E397)),NOT(ISNUMBER(I397))),"",ROUND(E397-I397,2))</x:f>
      </x:c>
      <x:c r="K397" s="2" t="str">
        <x:f>IF(COUNTA(A397:F397)=0,"",IF(OR(A397="",B397="",C397="",D397="",NOT(ISNUMBER(E397))),"Missing / invalid input",IF(G397&gt;1,"Duplicate key in this source",IF(H397=0,"Missing in other source",IF(H397&gt;1,"Duplicate in other source",IF(SUMIFS('App Data'!$M$2:$M$1001,'App Data'!$L$2:$L$1001,SUBSTITUTE(SUBSTITUTE(SUBSTITUTE(L397,"~","~~"),"*","~*"),"?","~?"))&lt;&gt;1,"Other amount is invalid",IF(J397&lt;&gt;0,"Amount differs","Matched")))))))</x:f>
      </x:c>
      <x:c r="L397" t="str">
        <x:f>IF(COUNTA(A397:F397)=0,"",LEN(A397)&amp;":"&amp;A397&amp;LEN(B397)&amp;":"&amp;B397&amp;LEN(C397)&amp;":"&amp;C397&amp;LEN(D397)&amp;":"&amp;D397)</x:f>
      </x:c>
      <x:c r="M397" t="str">
        <x:f>IF(COUNTA(A397:F397)=0,"",IF(ISNUMBER(E397),1,0))</x:f>
      </x:c>
    </x:row>
    <x:row r="398">
      <x:c r="A398" s="11"/>
      <x:c r="B398" s="11"/>
      <x:c r="C398" s="11"/>
      <x:c r="D398" s="11"/>
      <x:c r="E398" s="12"/>
      <x:c r="F398" s="10"/>
      <x:c r="G398" s="2" t="str">
        <x:f>IF(COUNTA(A398:F398)=0,"",COUNTIFS('External Data'!$L$2:$L$1001,SUBSTITUTE(SUBSTITUTE(SUBSTITUTE(L398,"~","~~"),"*","~*"),"?","~?")))</x:f>
      </x:c>
      <x:c r="H398" s="2" t="str">
        <x:f>IF(COUNTA(A398:F398)=0,"",COUNTIFS('App Data'!$L$2:$L$1001,SUBSTITUTE(SUBSTITUTE(SUBSTITUTE(L398,"~","~~"),"*","~*"),"?","~?")))</x:f>
      </x:c>
      <x:c r="I398" s="13" t="str">
        <x:f>IF(OR(H398&lt;&gt;1,G398&lt;&gt;1),"",SUMIFS('App Data'!$E$2:$E$1001,'App Data'!$L$2:$L$1001,SUBSTITUTE(SUBSTITUTE(SUBSTITUTE(L398,"~","~~"),"*","~*"),"?","~?")))</x:f>
      </x:c>
      <x:c r="J398" s="13" t="str">
        <x:f>IF(OR(NOT(ISNUMBER(E398)),NOT(ISNUMBER(I398))),"",ROUND(E398-I398,2))</x:f>
      </x:c>
      <x:c r="K398" s="2" t="str">
        <x:f>IF(COUNTA(A398:F398)=0,"",IF(OR(A398="",B398="",C398="",D398="",NOT(ISNUMBER(E398))),"Missing / invalid input",IF(G398&gt;1,"Duplicate key in this source",IF(H398=0,"Missing in other source",IF(H398&gt;1,"Duplicate in other source",IF(SUMIFS('App Data'!$M$2:$M$1001,'App Data'!$L$2:$L$1001,SUBSTITUTE(SUBSTITUTE(SUBSTITUTE(L398,"~","~~"),"*","~*"),"?","~?"))&lt;&gt;1,"Other amount is invalid",IF(J398&lt;&gt;0,"Amount differs","Matched")))))))</x:f>
      </x:c>
      <x:c r="L398" t="str">
        <x:f>IF(COUNTA(A398:F398)=0,"",LEN(A398)&amp;":"&amp;A398&amp;LEN(B398)&amp;":"&amp;B398&amp;LEN(C398)&amp;":"&amp;C398&amp;LEN(D398)&amp;":"&amp;D398)</x:f>
      </x:c>
      <x:c r="M398" t="str">
        <x:f>IF(COUNTA(A398:F398)=0,"",IF(ISNUMBER(E398),1,0))</x:f>
      </x:c>
    </x:row>
    <x:row r="399">
      <x:c r="A399" s="11"/>
      <x:c r="B399" s="11"/>
      <x:c r="C399" s="11"/>
      <x:c r="D399" s="11"/>
      <x:c r="E399" s="12"/>
      <x:c r="F399" s="10"/>
      <x:c r="G399" s="2" t="str">
        <x:f>IF(COUNTA(A399:F399)=0,"",COUNTIFS('External Data'!$L$2:$L$1001,SUBSTITUTE(SUBSTITUTE(SUBSTITUTE(L399,"~","~~"),"*","~*"),"?","~?")))</x:f>
      </x:c>
      <x:c r="H399" s="2" t="str">
        <x:f>IF(COUNTA(A399:F399)=0,"",COUNTIFS('App Data'!$L$2:$L$1001,SUBSTITUTE(SUBSTITUTE(SUBSTITUTE(L399,"~","~~"),"*","~*"),"?","~?")))</x:f>
      </x:c>
      <x:c r="I399" s="13" t="str">
        <x:f>IF(OR(H399&lt;&gt;1,G399&lt;&gt;1),"",SUMIFS('App Data'!$E$2:$E$1001,'App Data'!$L$2:$L$1001,SUBSTITUTE(SUBSTITUTE(SUBSTITUTE(L399,"~","~~"),"*","~*"),"?","~?")))</x:f>
      </x:c>
      <x:c r="J399" s="13" t="str">
        <x:f>IF(OR(NOT(ISNUMBER(E399)),NOT(ISNUMBER(I399))),"",ROUND(E399-I399,2))</x:f>
      </x:c>
      <x:c r="K399" s="2" t="str">
        <x:f>IF(COUNTA(A399:F399)=0,"",IF(OR(A399="",B399="",C399="",D399="",NOT(ISNUMBER(E399))),"Missing / invalid input",IF(G399&gt;1,"Duplicate key in this source",IF(H399=0,"Missing in other source",IF(H399&gt;1,"Duplicate in other source",IF(SUMIFS('App Data'!$M$2:$M$1001,'App Data'!$L$2:$L$1001,SUBSTITUTE(SUBSTITUTE(SUBSTITUTE(L399,"~","~~"),"*","~*"),"?","~?"))&lt;&gt;1,"Other amount is invalid",IF(J399&lt;&gt;0,"Amount differs","Matched")))))))</x:f>
      </x:c>
      <x:c r="L399" t="str">
        <x:f>IF(COUNTA(A399:F399)=0,"",LEN(A399)&amp;":"&amp;A399&amp;LEN(B399)&amp;":"&amp;B399&amp;LEN(C399)&amp;":"&amp;C399&amp;LEN(D399)&amp;":"&amp;D399)</x:f>
      </x:c>
      <x:c r="M399" t="str">
        <x:f>IF(COUNTA(A399:F399)=0,"",IF(ISNUMBER(E399),1,0))</x:f>
      </x:c>
    </x:row>
    <x:row r="400">
      <x:c r="A400" s="11"/>
      <x:c r="B400" s="11"/>
      <x:c r="C400" s="11"/>
      <x:c r="D400" s="11"/>
      <x:c r="E400" s="12"/>
      <x:c r="F400" s="10"/>
      <x:c r="G400" s="2" t="str">
        <x:f>IF(COUNTA(A400:F400)=0,"",COUNTIFS('External Data'!$L$2:$L$1001,SUBSTITUTE(SUBSTITUTE(SUBSTITUTE(L400,"~","~~"),"*","~*"),"?","~?")))</x:f>
      </x:c>
      <x:c r="H400" s="2" t="str">
        <x:f>IF(COUNTA(A400:F400)=0,"",COUNTIFS('App Data'!$L$2:$L$1001,SUBSTITUTE(SUBSTITUTE(SUBSTITUTE(L400,"~","~~"),"*","~*"),"?","~?")))</x:f>
      </x:c>
      <x:c r="I400" s="13" t="str">
        <x:f>IF(OR(H400&lt;&gt;1,G400&lt;&gt;1),"",SUMIFS('App Data'!$E$2:$E$1001,'App Data'!$L$2:$L$1001,SUBSTITUTE(SUBSTITUTE(SUBSTITUTE(L400,"~","~~"),"*","~*"),"?","~?")))</x:f>
      </x:c>
      <x:c r="J400" s="13" t="str">
        <x:f>IF(OR(NOT(ISNUMBER(E400)),NOT(ISNUMBER(I400))),"",ROUND(E400-I400,2))</x:f>
      </x:c>
      <x:c r="K400" s="2" t="str">
        <x:f>IF(COUNTA(A400:F400)=0,"",IF(OR(A400="",B400="",C400="",D400="",NOT(ISNUMBER(E400))),"Missing / invalid input",IF(G400&gt;1,"Duplicate key in this source",IF(H400=0,"Missing in other source",IF(H400&gt;1,"Duplicate in other source",IF(SUMIFS('App Data'!$M$2:$M$1001,'App Data'!$L$2:$L$1001,SUBSTITUTE(SUBSTITUTE(SUBSTITUTE(L400,"~","~~"),"*","~*"),"?","~?"))&lt;&gt;1,"Other amount is invalid",IF(J400&lt;&gt;0,"Amount differs","Matched")))))))</x:f>
      </x:c>
      <x:c r="L400" t="str">
        <x:f>IF(COUNTA(A400:F400)=0,"",LEN(A400)&amp;":"&amp;A400&amp;LEN(B400)&amp;":"&amp;B400&amp;LEN(C400)&amp;":"&amp;C400&amp;LEN(D400)&amp;":"&amp;D400)</x:f>
      </x:c>
      <x:c r="M400" t="str">
        <x:f>IF(COUNTA(A400:F400)=0,"",IF(ISNUMBER(E400),1,0))</x:f>
      </x:c>
    </x:row>
    <x:row r="401">
      <x:c r="A401" s="11"/>
      <x:c r="B401" s="11"/>
      <x:c r="C401" s="11"/>
      <x:c r="D401" s="11"/>
      <x:c r="E401" s="12"/>
      <x:c r="F401" s="10"/>
      <x:c r="G401" s="2" t="str">
        <x:f>IF(COUNTA(A401:F401)=0,"",COUNTIFS('External Data'!$L$2:$L$1001,SUBSTITUTE(SUBSTITUTE(SUBSTITUTE(L401,"~","~~"),"*","~*"),"?","~?")))</x:f>
      </x:c>
      <x:c r="H401" s="2" t="str">
        <x:f>IF(COUNTA(A401:F401)=0,"",COUNTIFS('App Data'!$L$2:$L$1001,SUBSTITUTE(SUBSTITUTE(SUBSTITUTE(L401,"~","~~"),"*","~*"),"?","~?")))</x:f>
      </x:c>
      <x:c r="I401" s="13" t="str">
        <x:f>IF(OR(H401&lt;&gt;1,G401&lt;&gt;1),"",SUMIFS('App Data'!$E$2:$E$1001,'App Data'!$L$2:$L$1001,SUBSTITUTE(SUBSTITUTE(SUBSTITUTE(L401,"~","~~"),"*","~*"),"?","~?")))</x:f>
      </x:c>
      <x:c r="J401" s="13" t="str">
        <x:f>IF(OR(NOT(ISNUMBER(E401)),NOT(ISNUMBER(I401))),"",ROUND(E401-I401,2))</x:f>
      </x:c>
      <x:c r="K401" s="2" t="str">
        <x:f>IF(COUNTA(A401:F401)=0,"",IF(OR(A401="",B401="",C401="",D401="",NOT(ISNUMBER(E401))),"Missing / invalid input",IF(G401&gt;1,"Duplicate key in this source",IF(H401=0,"Missing in other source",IF(H401&gt;1,"Duplicate in other source",IF(SUMIFS('App Data'!$M$2:$M$1001,'App Data'!$L$2:$L$1001,SUBSTITUTE(SUBSTITUTE(SUBSTITUTE(L401,"~","~~"),"*","~*"),"?","~?"))&lt;&gt;1,"Other amount is invalid",IF(J401&lt;&gt;0,"Amount differs","Matched")))))))</x:f>
      </x:c>
      <x:c r="L401" t="str">
        <x:f>IF(COUNTA(A401:F401)=0,"",LEN(A401)&amp;":"&amp;A401&amp;LEN(B401)&amp;":"&amp;B401&amp;LEN(C401)&amp;":"&amp;C401&amp;LEN(D401)&amp;":"&amp;D401)</x:f>
      </x:c>
      <x:c r="M401" t="str">
        <x:f>IF(COUNTA(A401:F401)=0,"",IF(ISNUMBER(E401),1,0))</x:f>
      </x:c>
    </x:row>
    <x:row r="402">
      <x:c r="A402" s="11"/>
      <x:c r="B402" s="11"/>
      <x:c r="C402" s="11"/>
      <x:c r="D402" s="11"/>
      <x:c r="E402" s="12"/>
      <x:c r="F402" s="10"/>
      <x:c r="G402" s="2" t="str">
        <x:f>IF(COUNTA(A402:F402)=0,"",COUNTIFS('External Data'!$L$2:$L$1001,SUBSTITUTE(SUBSTITUTE(SUBSTITUTE(L402,"~","~~"),"*","~*"),"?","~?")))</x:f>
      </x:c>
      <x:c r="H402" s="2" t="str">
        <x:f>IF(COUNTA(A402:F402)=0,"",COUNTIFS('App Data'!$L$2:$L$1001,SUBSTITUTE(SUBSTITUTE(SUBSTITUTE(L402,"~","~~"),"*","~*"),"?","~?")))</x:f>
      </x:c>
      <x:c r="I402" s="13" t="str">
        <x:f>IF(OR(H402&lt;&gt;1,G402&lt;&gt;1),"",SUMIFS('App Data'!$E$2:$E$1001,'App Data'!$L$2:$L$1001,SUBSTITUTE(SUBSTITUTE(SUBSTITUTE(L402,"~","~~"),"*","~*"),"?","~?")))</x:f>
      </x:c>
      <x:c r="J402" s="13" t="str">
        <x:f>IF(OR(NOT(ISNUMBER(E402)),NOT(ISNUMBER(I402))),"",ROUND(E402-I402,2))</x:f>
      </x:c>
      <x:c r="K402" s="2" t="str">
        <x:f>IF(COUNTA(A402:F402)=0,"",IF(OR(A402="",B402="",C402="",D402="",NOT(ISNUMBER(E402))),"Missing / invalid input",IF(G402&gt;1,"Duplicate key in this source",IF(H402=0,"Missing in other source",IF(H402&gt;1,"Duplicate in other source",IF(SUMIFS('App Data'!$M$2:$M$1001,'App Data'!$L$2:$L$1001,SUBSTITUTE(SUBSTITUTE(SUBSTITUTE(L402,"~","~~"),"*","~*"),"?","~?"))&lt;&gt;1,"Other amount is invalid",IF(J402&lt;&gt;0,"Amount differs","Matched")))))))</x:f>
      </x:c>
      <x:c r="L402" t="str">
        <x:f>IF(COUNTA(A402:F402)=0,"",LEN(A402)&amp;":"&amp;A402&amp;LEN(B402)&amp;":"&amp;B402&amp;LEN(C402)&amp;":"&amp;C402&amp;LEN(D402)&amp;":"&amp;D402)</x:f>
      </x:c>
      <x:c r="M402" t="str">
        <x:f>IF(COUNTA(A402:F402)=0,"",IF(ISNUMBER(E402),1,0))</x:f>
      </x:c>
    </x:row>
    <x:row r="403">
      <x:c r="A403" s="11"/>
      <x:c r="B403" s="11"/>
      <x:c r="C403" s="11"/>
      <x:c r="D403" s="11"/>
      <x:c r="E403" s="12"/>
      <x:c r="F403" s="10"/>
      <x:c r="G403" s="2" t="str">
        <x:f>IF(COUNTA(A403:F403)=0,"",COUNTIFS('External Data'!$L$2:$L$1001,SUBSTITUTE(SUBSTITUTE(SUBSTITUTE(L403,"~","~~"),"*","~*"),"?","~?")))</x:f>
      </x:c>
      <x:c r="H403" s="2" t="str">
        <x:f>IF(COUNTA(A403:F403)=0,"",COUNTIFS('App Data'!$L$2:$L$1001,SUBSTITUTE(SUBSTITUTE(SUBSTITUTE(L403,"~","~~"),"*","~*"),"?","~?")))</x:f>
      </x:c>
      <x:c r="I403" s="13" t="str">
        <x:f>IF(OR(H403&lt;&gt;1,G403&lt;&gt;1),"",SUMIFS('App Data'!$E$2:$E$1001,'App Data'!$L$2:$L$1001,SUBSTITUTE(SUBSTITUTE(SUBSTITUTE(L403,"~","~~"),"*","~*"),"?","~?")))</x:f>
      </x:c>
      <x:c r="J403" s="13" t="str">
        <x:f>IF(OR(NOT(ISNUMBER(E403)),NOT(ISNUMBER(I403))),"",ROUND(E403-I403,2))</x:f>
      </x:c>
      <x:c r="K403" s="2" t="str">
        <x:f>IF(COUNTA(A403:F403)=0,"",IF(OR(A403="",B403="",C403="",D403="",NOT(ISNUMBER(E403))),"Missing / invalid input",IF(G403&gt;1,"Duplicate key in this source",IF(H403=0,"Missing in other source",IF(H403&gt;1,"Duplicate in other source",IF(SUMIFS('App Data'!$M$2:$M$1001,'App Data'!$L$2:$L$1001,SUBSTITUTE(SUBSTITUTE(SUBSTITUTE(L403,"~","~~"),"*","~*"),"?","~?"))&lt;&gt;1,"Other amount is invalid",IF(J403&lt;&gt;0,"Amount differs","Matched")))))))</x:f>
      </x:c>
      <x:c r="L403" t="str">
        <x:f>IF(COUNTA(A403:F403)=0,"",LEN(A403)&amp;":"&amp;A403&amp;LEN(B403)&amp;":"&amp;B403&amp;LEN(C403)&amp;":"&amp;C403&amp;LEN(D403)&amp;":"&amp;D403)</x:f>
      </x:c>
      <x:c r="M403" t="str">
        <x:f>IF(COUNTA(A403:F403)=0,"",IF(ISNUMBER(E403),1,0))</x:f>
      </x:c>
    </x:row>
    <x:row r="404">
      <x:c r="A404" s="11"/>
      <x:c r="B404" s="11"/>
      <x:c r="C404" s="11"/>
      <x:c r="D404" s="11"/>
      <x:c r="E404" s="12"/>
      <x:c r="F404" s="10"/>
      <x:c r="G404" s="2" t="str">
        <x:f>IF(COUNTA(A404:F404)=0,"",COUNTIFS('External Data'!$L$2:$L$1001,SUBSTITUTE(SUBSTITUTE(SUBSTITUTE(L404,"~","~~"),"*","~*"),"?","~?")))</x:f>
      </x:c>
      <x:c r="H404" s="2" t="str">
        <x:f>IF(COUNTA(A404:F404)=0,"",COUNTIFS('App Data'!$L$2:$L$1001,SUBSTITUTE(SUBSTITUTE(SUBSTITUTE(L404,"~","~~"),"*","~*"),"?","~?")))</x:f>
      </x:c>
      <x:c r="I404" s="13" t="str">
        <x:f>IF(OR(H404&lt;&gt;1,G404&lt;&gt;1),"",SUMIFS('App Data'!$E$2:$E$1001,'App Data'!$L$2:$L$1001,SUBSTITUTE(SUBSTITUTE(SUBSTITUTE(L404,"~","~~"),"*","~*"),"?","~?")))</x:f>
      </x:c>
      <x:c r="J404" s="13" t="str">
        <x:f>IF(OR(NOT(ISNUMBER(E404)),NOT(ISNUMBER(I404))),"",ROUND(E404-I404,2))</x:f>
      </x:c>
      <x:c r="K404" s="2" t="str">
        <x:f>IF(COUNTA(A404:F404)=0,"",IF(OR(A404="",B404="",C404="",D404="",NOT(ISNUMBER(E404))),"Missing / invalid input",IF(G404&gt;1,"Duplicate key in this source",IF(H404=0,"Missing in other source",IF(H404&gt;1,"Duplicate in other source",IF(SUMIFS('App Data'!$M$2:$M$1001,'App Data'!$L$2:$L$1001,SUBSTITUTE(SUBSTITUTE(SUBSTITUTE(L404,"~","~~"),"*","~*"),"?","~?"))&lt;&gt;1,"Other amount is invalid",IF(J404&lt;&gt;0,"Amount differs","Matched")))))))</x:f>
      </x:c>
      <x:c r="L404" t="str">
        <x:f>IF(COUNTA(A404:F404)=0,"",LEN(A404)&amp;":"&amp;A404&amp;LEN(B404)&amp;":"&amp;B404&amp;LEN(C404)&amp;":"&amp;C404&amp;LEN(D404)&amp;":"&amp;D404)</x:f>
      </x:c>
      <x:c r="M404" t="str">
        <x:f>IF(COUNTA(A404:F404)=0,"",IF(ISNUMBER(E404),1,0))</x:f>
      </x:c>
    </x:row>
    <x:row r="405">
      <x:c r="A405" s="11"/>
      <x:c r="B405" s="11"/>
      <x:c r="C405" s="11"/>
      <x:c r="D405" s="11"/>
      <x:c r="E405" s="12"/>
      <x:c r="F405" s="10"/>
      <x:c r="G405" s="2" t="str">
        <x:f>IF(COUNTA(A405:F405)=0,"",COUNTIFS('External Data'!$L$2:$L$1001,SUBSTITUTE(SUBSTITUTE(SUBSTITUTE(L405,"~","~~"),"*","~*"),"?","~?")))</x:f>
      </x:c>
      <x:c r="H405" s="2" t="str">
        <x:f>IF(COUNTA(A405:F405)=0,"",COUNTIFS('App Data'!$L$2:$L$1001,SUBSTITUTE(SUBSTITUTE(SUBSTITUTE(L405,"~","~~"),"*","~*"),"?","~?")))</x:f>
      </x:c>
      <x:c r="I405" s="13" t="str">
        <x:f>IF(OR(H405&lt;&gt;1,G405&lt;&gt;1),"",SUMIFS('App Data'!$E$2:$E$1001,'App Data'!$L$2:$L$1001,SUBSTITUTE(SUBSTITUTE(SUBSTITUTE(L405,"~","~~"),"*","~*"),"?","~?")))</x:f>
      </x:c>
      <x:c r="J405" s="13" t="str">
        <x:f>IF(OR(NOT(ISNUMBER(E405)),NOT(ISNUMBER(I405))),"",ROUND(E405-I405,2))</x:f>
      </x:c>
      <x:c r="K405" s="2" t="str">
        <x:f>IF(COUNTA(A405:F405)=0,"",IF(OR(A405="",B405="",C405="",D405="",NOT(ISNUMBER(E405))),"Missing / invalid input",IF(G405&gt;1,"Duplicate key in this source",IF(H405=0,"Missing in other source",IF(H405&gt;1,"Duplicate in other source",IF(SUMIFS('App Data'!$M$2:$M$1001,'App Data'!$L$2:$L$1001,SUBSTITUTE(SUBSTITUTE(SUBSTITUTE(L405,"~","~~"),"*","~*"),"?","~?"))&lt;&gt;1,"Other amount is invalid",IF(J405&lt;&gt;0,"Amount differs","Matched")))))))</x:f>
      </x:c>
      <x:c r="L405" t="str">
        <x:f>IF(COUNTA(A405:F405)=0,"",LEN(A405)&amp;":"&amp;A405&amp;LEN(B405)&amp;":"&amp;B405&amp;LEN(C405)&amp;":"&amp;C405&amp;LEN(D405)&amp;":"&amp;D405)</x:f>
      </x:c>
      <x:c r="M405" t="str">
        <x:f>IF(COUNTA(A405:F405)=0,"",IF(ISNUMBER(E405),1,0))</x:f>
      </x:c>
    </x:row>
    <x:row r="406">
      <x:c r="A406" s="11"/>
      <x:c r="B406" s="11"/>
      <x:c r="C406" s="11"/>
      <x:c r="D406" s="11"/>
      <x:c r="E406" s="12"/>
      <x:c r="F406" s="10"/>
      <x:c r="G406" s="2" t="str">
        <x:f>IF(COUNTA(A406:F406)=0,"",COUNTIFS('External Data'!$L$2:$L$1001,SUBSTITUTE(SUBSTITUTE(SUBSTITUTE(L406,"~","~~"),"*","~*"),"?","~?")))</x:f>
      </x:c>
      <x:c r="H406" s="2" t="str">
        <x:f>IF(COUNTA(A406:F406)=0,"",COUNTIFS('App Data'!$L$2:$L$1001,SUBSTITUTE(SUBSTITUTE(SUBSTITUTE(L406,"~","~~"),"*","~*"),"?","~?")))</x:f>
      </x:c>
      <x:c r="I406" s="13" t="str">
        <x:f>IF(OR(H406&lt;&gt;1,G406&lt;&gt;1),"",SUMIFS('App Data'!$E$2:$E$1001,'App Data'!$L$2:$L$1001,SUBSTITUTE(SUBSTITUTE(SUBSTITUTE(L406,"~","~~"),"*","~*"),"?","~?")))</x:f>
      </x:c>
      <x:c r="J406" s="13" t="str">
        <x:f>IF(OR(NOT(ISNUMBER(E406)),NOT(ISNUMBER(I406))),"",ROUND(E406-I406,2))</x:f>
      </x:c>
      <x:c r="K406" s="2" t="str">
        <x:f>IF(COUNTA(A406:F406)=0,"",IF(OR(A406="",B406="",C406="",D406="",NOT(ISNUMBER(E406))),"Missing / invalid input",IF(G406&gt;1,"Duplicate key in this source",IF(H406=0,"Missing in other source",IF(H406&gt;1,"Duplicate in other source",IF(SUMIFS('App Data'!$M$2:$M$1001,'App Data'!$L$2:$L$1001,SUBSTITUTE(SUBSTITUTE(SUBSTITUTE(L406,"~","~~"),"*","~*"),"?","~?"))&lt;&gt;1,"Other amount is invalid",IF(J406&lt;&gt;0,"Amount differs","Matched")))))))</x:f>
      </x:c>
      <x:c r="L406" t="str">
        <x:f>IF(COUNTA(A406:F406)=0,"",LEN(A406)&amp;":"&amp;A406&amp;LEN(B406)&amp;":"&amp;B406&amp;LEN(C406)&amp;":"&amp;C406&amp;LEN(D406)&amp;":"&amp;D406)</x:f>
      </x:c>
      <x:c r="M406" t="str">
        <x:f>IF(COUNTA(A406:F406)=0,"",IF(ISNUMBER(E406),1,0))</x:f>
      </x:c>
    </x:row>
    <x:row r="407">
      <x:c r="A407" s="11"/>
      <x:c r="B407" s="11"/>
      <x:c r="C407" s="11"/>
      <x:c r="D407" s="11"/>
      <x:c r="E407" s="12"/>
      <x:c r="F407" s="10"/>
      <x:c r="G407" s="2" t="str">
        <x:f>IF(COUNTA(A407:F407)=0,"",COUNTIFS('External Data'!$L$2:$L$1001,SUBSTITUTE(SUBSTITUTE(SUBSTITUTE(L407,"~","~~"),"*","~*"),"?","~?")))</x:f>
      </x:c>
      <x:c r="H407" s="2" t="str">
        <x:f>IF(COUNTA(A407:F407)=0,"",COUNTIFS('App Data'!$L$2:$L$1001,SUBSTITUTE(SUBSTITUTE(SUBSTITUTE(L407,"~","~~"),"*","~*"),"?","~?")))</x:f>
      </x:c>
      <x:c r="I407" s="13" t="str">
        <x:f>IF(OR(H407&lt;&gt;1,G407&lt;&gt;1),"",SUMIFS('App Data'!$E$2:$E$1001,'App Data'!$L$2:$L$1001,SUBSTITUTE(SUBSTITUTE(SUBSTITUTE(L407,"~","~~"),"*","~*"),"?","~?")))</x:f>
      </x:c>
      <x:c r="J407" s="13" t="str">
        <x:f>IF(OR(NOT(ISNUMBER(E407)),NOT(ISNUMBER(I407))),"",ROUND(E407-I407,2))</x:f>
      </x:c>
      <x:c r="K407" s="2" t="str">
        <x:f>IF(COUNTA(A407:F407)=0,"",IF(OR(A407="",B407="",C407="",D407="",NOT(ISNUMBER(E407))),"Missing / invalid input",IF(G407&gt;1,"Duplicate key in this source",IF(H407=0,"Missing in other source",IF(H407&gt;1,"Duplicate in other source",IF(SUMIFS('App Data'!$M$2:$M$1001,'App Data'!$L$2:$L$1001,SUBSTITUTE(SUBSTITUTE(SUBSTITUTE(L407,"~","~~"),"*","~*"),"?","~?"))&lt;&gt;1,"Other amount is invalid",IF(J407&lt;&gt;0,"Amount differs","Matched")))))))</x:f>
      </x:c>
      <x:c r="L407" t="str">
        <x:f>IF(COUNTA(A407:F407)=0,"",LEN(A407)&amp;":"&amp;A407&amp;LEN(B407)&amp;":"&amp;B407&amp;LEN(C407)&amp;":"&amp;C407&amp;LEN(D407)&amp;":"&amp;D407)</x:f>
      </x:c>
      <x:c r="M407" t="str">
        <x:f>IF(COUNTA(A407:F407)=0,"",IF(ISNUMBER(E407),1,0))</x:f>
      </x:c>
    </x:row>
    <x:row r="408">
      <x:c r="A408" s="11"/>
      <x:c r="B408" s="11"/>
      <x:c r="C408" s="11"/>
      <x:c r="D408" s="11"/>
      <x:c r="E408" s="12"/>
      <x:c r="F408" s="10"/>
      <x:c r="G408" s="2" t="str">
        <x:f>IF(COUNTA(A408:F408)=0,"",COUNTIFS('External Data'!$L$2:$L$1001,SUBSTITUTE(SUBSTITUTE(SUBSTITUTE(L408,"~","~~"),"*","~*"),"?","~?")))</x:f>
      </x:c>
      <x:c r="H408" s="2" t="str">
        <x:f>IF(COUNTA(A408:F408)=0,"",COUNTIFS('App Data'!$L$2:$L$1001,SUBSTITUTE(SUBSTITUTE(SUBSTITUTE(L408,"~","~~"),"*","~*"),"?","~?")))</x:f>
      </x:c>
      <x:c r="I408" s="13" t="str">
        <x:f>IF(OR(H408&lt;&gt;1,G408&lt;&gt;1),"",SUMIFS('App Data'!$E$2:$E$1001,'App Data'!$L$2:$L$1001,SUBSTITUTE(SUBSTITUTE(SUBSTITUTE(L408,"~","~~"),"*","~*"),"?","~?")))</x:f>
      </x:c>
      <x:c r="J408" s="13" t="str">
        <x:f>IF(OR(NOT(ISNUMBER(E408)),NOT(ISNUMBER(I408))),"",ROUND(E408-I408,2))</x:f>
      </x:c>
      <x:c r="K408" s="2" t="str">
        <x:f>IF(COUNTA(A408:F408)=0,"",IF(OR(A408="",B408="",C408="",D408="",NOT(ISNUMBER(E408))),"Missing / invalid input",IF(G408&gt;1,"Duplicate key in this source",IF(H408=0,"Missing in other source",IF(H408&gt;1,"Duplicate in other source",IF(SUMIFS('App Data'!$M$2:$M$1001,'App Data'!$L$2:$L$1001,SUBSTITUTE(SUBSTITUTE(SUBSTITUTE(L408,"~","~~"),"*","~*"),"?","~?"))&lt;&gt;1,"Other amount is invalid",IF(J408&lt;&gt;0,"Amount differs","Matched")))))))</x:f>
      </x:c>
      <x:c r="L408" t="str">
        <x:f>IF(COUNTA(A408:F408)=0,"",LEN(A408)&amp;":"&amp;A408&amp;LEN(B408)&amp;":"&amp;B408&amp;LEN(C408)&amp;":"&amp;C408&amp;LEN(D408)&amp;":"&amp;D408)</x:f>
      </x:c>
      <x:c r="M408" t="str">
        <x:f>IF(COUNTA(A408:F408)=0,"",IF(ISNUMBER(E408),1,0))</x:f>
      </x:c>
    </x:row>
    <x:row r="409">
      <x:c r="A409" s="11"/>
      <x:c r="B409" s="11"/>
      <x:c r="C409" s="11"/>
      <x:c r="D409" s="11"/>
      <x:c r="E409" s="12"/>
      <x:c r="F409" s="10"/>
      <x:c r="G409" s="2" t="str">
        <x:f>IF(COUNTA(A409:F409)=0,"",COUNTIFS('External Data'!$L$2:$L$1001,SUBSTITUTE(SUBSTITUTE(SUBSTITUTE(L409,"~","~~"),"*","~*"),"?","~?")))</x:f>
      </x:c>
      <x:c r="H409" s="2" t="str">
        <x:f>IF(COUNTA(A409:F409)=0,"",COUNTIFS('App Data'!$L$2:$L$1001,SUBSTITUTE(SUBSTITUTE(SUBSTITUTE(L409,"~","~~"),"*","~*"),"?","~?")))</x:f>
      </x:c>
      <x:c r="I409" s="13" t="str">
        <x:f>IF(OR(H409&lt;&gt;1,G409&lt;&gt;1),"",SUMIFS('App Data'!$E$2:$E$1001,'App Data'!$L$2:$L$1001,SUBSTITUTE(SUBSTITUTE(SUBSTITUTE(L409,"~","~~"),"*","~*"),"?","~?")))</x:f>
      </x:c>
      <x:c r="J409" s="13" t="str">
        <x:f>IF(OR(NOT(ISNUMBER(E409)),NOT(ISNUMBER(I409))),"",ROUND(E409-I409,2))</x:f>
      </x:c>
      <x:c r="K409" s="2" t="str">
        <x:f>IF(COUNTA(A409:F409)=0,"",IF(OR(A409="",B409="",C409="",D409="",NOT(ISNUMBER(E409))),"Missing / invalid input",IF(G409&gt;1,"Duplicate key in this source",IF(H409=0,"Missing in other source",IF(H409&gt;1,"Duplicate in other source",IF(SUMIFS('App Data'!$M$2:$M$1001,'App Data'!$L$2:$L$1001,SUBSTITUTE(SUBSTITUTE(SUBSTITUTE(L409,"~","~~"),"*","~*"),"?","~?"))&lt;&gt;1,"Other amount is invalid",IF(J409&lt;&gt;0,"Amount differs","Matched")))))))</x:f>
      </x:c>
      <x:c r="L409" t="str">
        <x:f>IF(COUNTA(A409:F409)=0,"",LEN(A409)&amp;":"&amp;A409&amp;LEN(B409)&amp;":"&amp;B409&amp;LEN(C409)&amp;":"&amp;C409&amp;LEN(D409)&amp;":"&amp;D409)</x:f>
      </x:c>
      <x:c r="M409" t="str">
        <x:f>IF(COUNTA(A409:F409)=0,"",IF(ISNUMBER(E409),1,0))</x:f>
      </x:c>
    </x:row>
    <x:row r="410">
      <x:c r="A410" s="11"/>
      <x:c r="B410" s="11"/>
      <x:c r="C410" s="11"/>
      <x:c r="D410" s="11"/>
      <x:c r="E410" s="12"/>
      <x:c r="F410" s="10"/>
      <x:c r="G410" s="2" t="str">
        <x:f>IF(COUNTA(A410:F410)=0,"",COUNTIFS('External Data'!$L$2:$L$1001,SUBSTITUTE(SUBSTITUTE(SUBSTITUTE(L410,"~","~~"),"*","~*"),"?","~?")))</x:f>
      </x:c>
      <x:c r="H410" s="2" t="str">
        <x:f>IF(COUNTA(A410:F410)=0,"",COUNTIFS('App Data'!$L$2:$L$1001,SUBSTITUTE(SUBSTITUTE(SUBSTITUTE(L410,"~","~~"),"*","~*"),"?","~?")))</x:f>
      </x:c>
      <x:c r="I410" s="13" t="str">
        <x:f>IF(OR(H410&lt;&gt;1,G410&lt;&gt;1),"",SUMIFS('App Data'!$E$2:$E$1001,'App Data'!$L$2:$L$1001,SUBSTITUTE(SUBSTITUTE(SUBSTITUTE(L410,"~","~~"),"*","~*"),"?","~?")))</x:f>
      </x:c>
      <x:c r="J410" s="13" t="str">
        <x:f>IF(OR(NOT(ISNUMBER(E410)),NOT(ISNUMBER(I410))),"",ROUND(E410-I410,2))</x:f>
      </x:c>
      <x:c r="K410" s="2" t="str">
        <x:f>IF(COUNTA(A410:F410)=0,"",IF(OR(A410="",B410="",C410="",D410="",NOT(ISNUMBER(E410))),"Missing / invalid input",IF(G410&gt;1,"Duplicate key in this source",IF(H410=0,"Missing in other source",IF(H410&gt;1,"Duplicate in other source",IF(SUMIFS('App Data'!$M$2:$M$1001,'App Data'!$L$2:$L$1001,SUBSTITUTE(SUBSTITUTE(SUBSTITUTE(L410,"~","~~"),"*","~*"),"?","~?"))&lt;&gt;1,"Other amount is invalid",IF(J410&lt;&gt;0,"Amount differs","Matched")))))))</x:f>
      </x:c>
      <x:c r="L410" t="str">
        <x:f>IF(COUNTA(A410:F410)=0,"",LEN(A410)&amp;":"&amp;A410&amp;LEN(B410)&amp;":"&amp;B410&amp;LEN(C410)&amp;":"&amp;C410&amp;LEN(D410)&amp;":"&amp;D410)</x:f>
      </x:c>
      <x:c r="M410" t="str">
        <x:f>IF(COUNTA(A410:F410)=0,"",IF(ISNUMBER(E410),1,0))</x:f>
      </x:c>
    </x:row>
    <x:row r="411">
      <x:c r="A411" s="11"/>
      <x:c r="B411" s="11"/>
      <x:c r="C411" s="11"/>
      <x:c r="D411" s="11"/>
      <x:c r="E411" s="12"/>
      <x:c r="F411" s="10"/>
      <x:c r="G411" s="2" t="str">
        <x:f>IF(COUNTA(A411:F411)=0,"",COUNTIFS('External Data'!$L$2:$L$1001,SUBSTITUTE(SUBSTITUTE(SUBSTITUTE(L411,"~","~~"),"*","~*"),"?","~?")))</x:f>
      </x:c>
      <x:c r="H411" s="2" t="str">
        <x:f>IF(COUNTA(A411:F411)=0,"",COUNTIFS('App Data'!$L$2:$L$1001,SUBSTITUTE(SUBSTITUTE(SUBSTITUTE(L411,"~","~~"),"*","~*"),"?","~?")))</x:f>
      </x:c>
      <x:c r="I411" s="13" t="str">
        <x:f>IF(OR(H411&lt;&gt;1,G411&lt;&gt;1),"",SUMIFS('App Data'!$E$2:$E$1001,'App Data'!$L$2:$L$1001,SUBSTITUTE(SUBSTITUTE(SUBSTITUTE(L411,"~","~~"),"*","~*"),"?","~?")))</x:f>
      </x:c>
      <x:c r="J411" s="13" t="str">
        <x:f>IF(OR(NOT(ISNUMBER(E411)),NOT(ISNUMBER(I411))),"",ROUND(E411-I411,2))</x:f>
      </x:c>
      <x:c r="K411" s="2" t="str">
        <x:f>IF(COUNTA(A411:F411)=0,"",IF(OR(A411="",B411="",C411="",D411="",NOT(ISNUMBER(E411))),"Missing / invalid input",IF(G411&gt;1,"Duplicate key in this source",IF(H411=0,"Missing in other source",IF(H411&gt;1,"Duplicate in other source",IF(SUMIFS('App Data'!$M$2:$M$1001,'App Data'!$L$2:$L$1001,SUBSTITUTE(SUBSTITUTE(SUBSTITUTE(L411,"~","~~"),"*","~*"),"?","~?"))&lt;&gt;1,"Other amount is invalid",IF(J411&lt;&gt;0,"Amount differs","Matched")))))))</x:f>
      </x:c>
      <x:c r="L411" t="str">
        <x:f>IF(COUNTA(A411:F411)=0,"",LEN(A411)&amp;":"&amp;A411&amp;LEN(B411)&amp;":"&amp;B411&amp;LEN(C411)&amp;":"&amp;C411&amp;LEN(D411)&amp;":"&amp;D411)</x:f>
      </x:c>
      <x:c r="M411" t="str">
        <x:f>IF(COUNTA(A411:F411)=0,"",IF(ISNUMBER(E411),1,0))</x:f>
      </x:c>
    </x:row>
    <x:row r="412">
      <x:c r="A412" s="11"/>
      <x:c r="B412" s="11"/>
      <x:c r="C412" s="11"/>
      <x:c r="D412" s="11"/>
      <x:c r="E412" s="12"/>
      <x:c r="F412" s="10"/>
      <x:c r="G412" s="2" t="str">
        <x:f>IF(COUNTA(A412:F412)=0,"",COUNTIFS('External Data'!$L$2:$L$1001,SUBSTITUTE(SUBSTITUTE(SUBSTITUTE(L412,"~","~~"),"*","~*"),"?","~?")))</x:f>
      </x:c>
      <x:c r="H412" s="2" t="str">
        <x:f>IF(COUNTA(A412:F412)=0,"",COUNTIFS('App Data'!$L$2:$L$1001,SUBSTITUTE(SUBSTITUTE(SUBSTITUTE(L412,"~","~~"),"*","~*"),"?","~?")))</x:f>
      </x:c>
      <x:c r="I412" s="13" t="str">
        <x:f>IF(OR(H412&lt;&gt;1,G412&lt;&gt;1),"",SUMIFS('App Data'!$E$2:$E$1001,'App Data'!$L$2:$L$1001,SUBSTITUTE(SUBSTITUTE(SUBSTITUTE(L412,"~","~~"),"*","~*"),"?","~?")))</x:f>
      </x:c>
      <x:c r="J412" s="13" t="str">
        <x:f>IF(OR(NOT(ISNUMBER(E412)),NOT(ISNUMBER(I412))),"",ROUND(E412-I412,2))</x:f>
      </x:c>
      <x:c r="K412" s="2" t="str">
        <x:f>IF(COUNTA(A412:F412)=0,"",IF(OR(A412="",B412="",C412="",D412="",NOT(ISNUMBER(E412))),"Missing / invalid input",IF(G412&gt;1,"Duplicate key in this source",IF(H412=0,"Missing in other source",IF(H412&gt;1,"Duplicate in other source",IF(SUMIFS('App Data'!$M$2:$M$1001,'App Data'!$L$2:$L$1001,SUBSTITUTE(SUBSTITUTE(SUBSTITUTE(L412,"~","~~"),"*","~*"),"?","~?"))&lt;&gt;1,"Other amount is invalid",IF(J412&lt;&gt;0,"Amount differs","Matched")))))))</x:f>
      </x:c>
      <x:c r="L412" t="str">
        <x:f>IF(COUNTA(A412:F412)=0,"",LEN(A412)&amp;":"&amp;A412&amp;LEN(B412)&amp;":"&amp;B412&amp;LEN(C412)&amp;":"&amp;C412&amp;LEN(D412)&amp;":"&amp;D412)</x:f>
      </x:c>
      <x:c r="M412" t="str">
        <x:f>IF(COUNTA(A412:F412)=0,"",IF(ISNUMBER(E412),1,0))</x:f>
      </x:c>
    </x:row>
    <x:row r="413">
      <x:c r="A413" s="11"/>
      <x:c r="B413" s="11"/>
      <x:c r="C413" s="11"/>
      <x:c r="D413" s="11"/>
      <x:c r="E413" s="12"/>
      <x:c r="F413" s="10"/>
      <x:c r="G413" s="2" t="str">
        <x:f>IF(COUNTA(A413:F413)=0,"",COUNTIFS('External Data'!$L$2:$L$1001,SUBSTITUTE(SUBSTITUTE(SUBSTITUTE(L413,"~","~~"),"*","~*"),"?","~?")))</x:f>
      </x:c>
      <x:c r="H413" s="2" t="str">
        <x:f>IF(COUNTA(A413:F413)=0,"",COUNTIFS('App Data'!$L$2:$L$1001,SUBSTITUTE(SUBSTITUTE(SUBSTITUTE(L413,"~","~~"),"*","~*"),"?","~?")))</x:f>
      </x:c>
      <x:c r="I413" s="13" t="str">
        <x:f>IF(OR(H413&lt;&gt;1,G413&lt;&gt;1),"",SUMIFS('App Data'!$E$2:$E$1001,'App Data'!$L$2:$L$1001,SUBSTITUTE(SUBSTITUTE(SUBSTITUTE(L413,"~","~~"),"*","~*"),"?","~?")))</x:f>
      </x:c>
      <x:c r="J413" s="13" t="str">
        <x:f>IF(OR(NOT(ISNUMBER(E413)),NOT(ISNUMBER(I413))),"",ROUND(E413-I413,2))</x:f>
      </x:c>
      <x:c r="K413" s="2" t="str">
        <x:f>IF(COUNTA(A413:F413)=0,"",IF(OR(A413="",B413="",C413="",D413="",NOT(ISNUMBER(E413))),"Missing / invalid input",IF(G413&gt;1,"Duplicate key in this source",IF(H413=0,"Missing in other source",IF(H413&gt;1,"Duplicate in other source",IF(SUMIFS('App Data'!$M$2:$M$1001,'App Data'!$L$2:$L$1001,SUBSTITUTE(SUBSTITUTE(SUBSTITUTE(L413,"~","~~"),"*","~*"),"?","~?"))&lt;&gt;1,"Other amount is invalid",IF(J413&lt;&gt;0,"Amount differs","Matched")))))))</x:f>
      </x:c>
      <x:c r="L413" t="str">
        <x:f>IF(COUNTA(A413:F413)=0,"",LEN(A413)&amp;":"&amp;A413&amp;LEN(B413)&amp;":"&amp;B413&amp;LEN(C413)&amp;":"&amp;C413&amp;LEN(D413)&amp;":"&amp;D413)</x:f>
      </x:c>
      <x:c r="M413" t="str">
        <x:f>IF(COUNTA(A413:F413)=0,"",IF(ISNUMBER(E413),1,0))</x:f>
      </x:c>
    </x:row>
    <x:row r="414">
      <x:c r="A414" s="11"/>
      <x:c r="B414" s="11"/>
      <x:c r="C414" s="11"/>
      <x:c r="D414" s="11"/>
      <x:c r="E414" s="12"/>
      <x:c r="F414" s="10"/>
      <x:c r="G414" s="2" t="str">
        <x:f>IF(COUNTA(A414:F414)=0,"",COUNTIFS('External Data'!$L$2:$L$1001,SUBSTITUTE(SUBSTITUTE(SUBSTITUTE(L414,"~","~~"),"*","~*"),"?","~?")))</x:f>
      </x:c>
      <x:c r="H414" s="2" t="str">
        <x:f>IF(COUNTA(A414:F414)=0,"",COUNTIFS('App Data'!$L$2:$L$1001,SUBSTITUTE(SUBSTITUTE(SUBSTITUTE(L414,"~","~~"),"*","~*"),"?","~?")))</x:f>
      </x:c>
      <x:c r="I414" s="13" t="str">
        <x:f>IF(OR(H414&lt;&gt;1,G414&lt;&gt;1),"",SUMIFS('App Data'!$E$2:$E$1001,'App Data'!$L$2:$L$1001,SUBSTITUTE(SUBSTITUTE(SUBSTITUTE(L414,"~","~~"),"*","~*"),"?","~?")))</x:f>
      </x:c>
      <x:c r="J414" s="13" t="str">
        <x:f>IF(OR(NOT(ISNUMBER(E414)),NOT(ISNUMBER(I414))),"",ROUND(E414-I414,2))</x:f>
      </x:c>
      <x:c r="K414" s="2" t="str">
        <x:f>IF(COUNTA(A414:F414)=0,"",IF(OR(A414="",B414="",C414="",D414="",NOT(ISNUMBER(E414))),"Missing / invalid input",IF(G414&gt;1,"Duplicate key in this source",IF(H414=0,"Missing in other source",IF(H414&gt;1,"Duplicate in other source",IF(SUMIFS('App Data'!$M$2:$M$1001,'App Data'!$L$2:$L$1001,SUBSTITUTE(SUBSTITUTE(SUBSTITUTE(L414,"~","~~"),"*","~*"),"?","~?"))&lt;&gt;1,"Other amount is invalid",IF(J414&lt;&gt;0,"Amount differs","Matched")))))))</x:f>
      </x:c>
      <x:c r="L414" t="str">
        <x:f>IF(COUNTA(A414:F414)=0,"",LEN(A414)&amp;":"&amp;A414&amp;LEN(B414)&amp;":"&amp;B414&amp;LEN(C414)&amp;":"&amp;C414&amp;LEN(D414)&amp;":"&amp;D414)</x:f>
      </x:c>
      <x:c r="M414" t="str">
        <x:f>IF(COUNTA(A414:F414)=0,"",IF(ISNUMBER(E414),1,0))</x:f>
      </x:c>
    </x:row>
    <x:row r="415">
      <x:c r="A415" s="11"/>
      <x:c r="B415" s="11"/>
      <x:c r="C415" s="11"/>
      <x:c r="D415" s="11"/>
      <x:c r="E415" s="12"/>
      <x:c r="F415" s="10"/>
      <x:c r="G415" s="2" t="str">
        <x:f>IF(COUNTA(A415:F415)=0,"",COUNTIFS('External Data'!$L$2:$L$1001,SUBSTITUTE(SUBSTITUTE(SUBSTITUTE(L415,"~","~~"),"*","~*"),"?","~?")))</x:f>
      </x:c>
      <x:c r="H415" s="2" t="str">
        <x:f>IF(COUNTA(A415:F415)=0,"",COUNTIFS('App Data'!$L$2:$L$1001,SUBSTITUTE(SUBSTITUTE(SUBSTITUTE(L415,"~","~~"),"*","~*"),"?","~?")))</x:f>
      </x:c>
      <x:c r="I415" s="13" t="str">
        <x:f>IF(OR(H415&lt;&gt;1,G415&lt;&gt;1),"",SUMIFS('App Data'!$E$2:$E$1001,'App Data'!$L$2:$L$1001,SUBSTITUTE(SUBSTITUTE(SUBSTITUTE(L415,"~","~~"),"*","~*"),"?","~?")))</x:f>
      </x:c>
      <x:c r="J415" s="13" t="str">
        <x:f>IF(OR(NOT(ISNUMBER(E415)),NOT(ISNUMBER(I415))),"",ROUND(E415-I415,2))</x:f>
      </x:c>
      <x:c r="K415" s="2" t="str">
        <x:f>IF(COUNTA(A415:F415)=0,"",IF(OR(A415="",B415="",C415="",D415="",NOT(ISNUMBER(E415))),"Missing / invalid input",IF(G415&gt;1,"Duplicate key in this source",IF(H415=0,"Missing in other source",IF(H415&gt;1,"Duplicate in other source",IF(SUMIFS('App Data'!$M$2:$M$1001,'App Data'!$L$2:$L$1001,SUBSTITUTE(SUBSTITUTE(SUBSTITUTE(L415,"~","~~"),"*","~*"),"?","~?"))&lt;&gt;1,"Other amount is invalid",IF(J415&lt;&gt;0,"Amount differs","Matched")))))))</x:f>
      </x:c>
      <x:c r="L415" t="str">
        <x:f>IF(COUNTA(A415:F415)=0,"",LEN(A415)&amp;":"&amp;A415&amp;LEN(B415)&amp;":"&amp;B415&amp;LEN(C415)&amp;":"&amp;C415&amp;LEN(D415)&amp;":"&amp;D415)</x:f>
      </x:c>
      <x:c r="M415" t="str">
        <x:f>IF(COUNTA(A415:F415)=0,"",IF(ISNUMBER(E415),1,0))</x:f>
      </x:c>
    </x:row>
    <x:row r="416">
      <x:c r="A416" s="11"/>
      <x:c r="B416" s="11"/>
      <x:c r="C416" s="11"/>
      <x:c r="D416" s="11"/>
      <x:c r="E416" s="12"/>
      <x:c r="F416" s="10"/>
      <x:c r="G416" s="2" t="str">
        <x:f>IF(COUNTA(A416:F416)=0,"",COUNTIFS('External Data'!$L$2:$L$1001,SUBSTITUTE(SUBSTITUTE(SUBSTITUTE(L416,"~","~~"),"*","~*"),"?","~?")))</x:f>
      </x:c>
      <x:c r="H416" s="2" t="str">
        <x:f>IF(COUNTA(A416:F416)=0,"",COUNTIFS('App Data'!$L$2:$L$1001,SUBSTITUTE(SUBSTITUTE(SUBSTITUTE(L416,"~","~~"),"*","~*"),"?","~?")))</x:f>
      </x:c>
      <x:c r="I416" s="13" t="str">
        <x:f>IF(OR(H416&lt;&gt;1,G416&lt;&gt;1),"",SUMIFS('App Data'!$E$2:$E$1001,'App Data'!$L$2:$L$1001,SUBSTITUTE(SUBSTITUTE(SUBSTITUTE(L416,"~","~~"),"*","~*"),"?","~?")))</x:f>
      </x:c>
      <x:c r="J416" s="13" t="str">
        <x:f>IF(OR(NOT(ISNUMBER(E416)),NOT(ISNUMBER(I416))),"",ROUND(E416-I416,2))</x:f>
      </x:c>
      <x:c r="K416" s="2" t="str">
        <x:f>IF(COUNTA(A416:F416)=0,"",IF(OR(A416="",B416="",C416="",D416="",NOT(ISNUMBER(E416))),"Missing / invalid input",IF(G416&gt;1,"Duplicate key in this source",IF(H416=0,"Missing in other source",IF(H416&gt;1,"Duplicate in other source",IF(SUMIFS('App Data'!$M$2:$M$1001,'App Data'!$L$2:$L$1001,SUBSTITUTE(SUBSTITUTE(SUBSTITUTE(L416,"~","~~"),"*","~*"),"?","~?"))&lt;&gt;1,"Other amount is invalid",IF(J416&lt;&gt;0,"Amount differs","Matched")))))))</x:f>
      </x:c>
      <x:c r="L416" t="str">
        <x:f>IF(COUNTA(A416:F416)=0,"",LEN(A416)&amp;":"&amp;A416&amp;LEN(B416)&amp;":"&amp;B416&amp;LEN(C416)&amp;":"&amp;C416&amp;LEN(D416)&amp;":"&amp;D416)</x:f>
      </x:c>
      <x:c r="M416" t="str">
        <x:f>IF(COUNTA(A416:F416)=0,"",IF(ISNUMBER(E416),1,0))</x:f>
      </x:c>
    </x:row>
    <x:row r="417">
      <x:c r="A417" s="11"/>
      <x:c r="B417" s="11"/>
      <x:c r="C417" s="11"/>
      <x:c r="D417" s="11"/>
      <x:c r="E417" s="12"/>
      <x:c r="F417" s="10"/>
      <x:c r="G417" s="2" t="str">
        <x:f>IF(COUNTA(A417:F417)=0,"",COUNTIFS('External Data'!$L$2:$L$1001,SUBSTITUTE(SUBSTITUTE(SUBSTITUTE(L417,"~","~~"),"*","~*"),"?","~?")))</x:f>
      </x:c>
      <x:c r="H417" s="2" t="str">
        <x:f>IF(COUNTA(A417:F417)=0,"",COUNTIFS('App Data'!$L$2:$L$1001,SUBSTITUTE(SUBSTITUTE(SUBSTITUTE(L417,"~","~~"),"*","~*"),"?","~?")))</x:f>
      </x:c>
      <x:c r="I417" s="13" t="str">
        <x:f>IF(OR(H417&lt;&gt;1,G417&lt;&gt;1),"",SUMIFS('App Data'!$E$2:$E$1001,'App Data'!$L$2:$L$1001,SUBSTITUTE(SUBSTITUTE(SUBSTITUTE(L417,"~","~~"),"*","~*"),"?","~?")))</x:f>
      </x:c>
      <x:c r="J417" s="13" t="str">
        <x:f>IF(OR(NOT(ISNUMBER(E417)),NOT(ISNUMBER(I417))),"",ROUND(E417-I417,2))</x:f>
      </x:c>
      <x:c r="K417" s="2" t="str">
        <x:f>IF(COUNTA(A417:F417)=0,"",IF(OR(A417="",B417="",C417="",D417="",NOT(ISNUMBER(E417))),"Missing / invalid input",IF(G417&gt;1,"Duplicate key in this source",IF(H417=0,"Missing in other source",IF(H417&gt;1,"Duplicate in other source",IF(SUMIFS('App Data'!$M$2:$M$1001,'App Data'!$L$2:$L$1001,SUBSTITUTE(SUBSTITUTE(SUBSTITUTE(L417,"~","~~"),"*","~*"),"?","~?"))&lt;&gt;1,"Other amount is invalid",IF(J417&lt;&gt;0,"Amount differs","Matched")))))))</x:f>
      </x:c>
      <x:c r="L417" t="str">
        <x:f>IF(COUNTA(A417:F417)=0,"",LEN(A417)&amp;":"&amp;A417&amp;LEN(B417)&amp;":"&amp;B417&amp;LEN(C417)&amp;":"&amp;C417&amp;LEN(D417)&amp;":"&amp;D417)</x:f>
      </x:c>
      <x:c r="M417" t="str">
        <x:f>IF(COUNTA(A417:F417)=0,"",IF(ISNUMBER(E417),1,0))</x:f>
      </x:c>
    </x:row>
    <x:row r="418">
      <x:c r="A418" s="11"/>
      <x:c r="B418" s="11"/>
      <x:c r="C418" s="11"/>
      <x:c r="D418" s="11"/>
      <x:c r="E418" s="12"/>
      <x:c r="F418" s="10"/>
      <x:c r="G418" s="2" t="str">
        <x:f>IF(COUNTA(A418:F418)=0,"",COUNTIFS('External Data'!$L$2:$L$1001,SUBSTITUTE(SUBSTITUTE(SUBSTITUTE(L418,"~","~~"),"*","~*"),"?","~?")))</x:f>
      </x:c>
      <x:c r="H418" s="2" t="str">
        <x:f>IF(COUNTA(A418:F418)=0,"",COUNTIFS('App Data'!$L$2:$L$1001,SUBSTITUTE(SUBSTITUTE(SUBSTITUTE(L418,"~","~~"),"*","~*"),"?","~?")))</x:f>
      </x:c>
      <x:c r="I418" s="13" t="str">
        <x:f>IF(OR(H418&lt;&gt;1,G418&lt;&gt;1),"",SUMIFS('App Data'!$E$2:$E$1001,'App Data'!$L$2:$L$1001,SUBSTITUTE(SUBSTITUTE(SUBSTITUTE(L418,"~","~~"),"*","~*"),"?","~?")))</x:f>
      </x:c>
      <x:c r="J418" s="13" t="str">
        <x:f>IF(OR(NOT(ISNUMBER(E418)),NOT(ISNUMBER(I418))),"",ROUND(E418-I418,2))</x:f>
      </x:c>
      <x:c r="K418" s="2" t="str">
        <x:f>IF(COUNTA(A418:F418)=0,"",IF(OR(A418="",B418="",C418="",D418="",NOT(ISNUMBER(E418))),"Missing / invalid input",IF(G418&gt;1,"Duplicate key in this source",IF(H418=0,"Missing in other source",IF(H418&gt;1,"Duplicate in other source",IF(SUMIFS('App Data'!$M$2:$M$1001,'App Data'!$L$2:$L$1001,SUBSTITUTE(SUBSTITUTE(SUBSTITUTE(L418,"~","~~"),"*","~*"),"?","~?"))&lt;&gt;1,"Other amount is invalid",IF(J418&lt;&gt;0,"Amount differs","Matched")))))))</x:f>
      </x:c>
      <x:c r="L418" t="str">
        <x:f>IF(COUNTA(A418:F418)=0,"",LEN(A418)&amp;":"&amp;A418&amp;LEN(B418)&amp;":"&amp;B418&amp;LEN(C418)&amp;":"&amp;C418&amp;LEN(D418)&amp;":"&amp;D418)</x:f>
      </x:c>
      <x:c r="M418" t="str">
        <x:f>IF(COUNTA(A418:F418)=0,"",IF(ISNUMBER(E418),1,0))</x:f>
      </x:c>
    </x:row>
    <x:row r="419">
      <x:c r="A419" s="11"/>
      <x:c r="B419" s="11"/>
      <x:c r="C419" s="11"/>
      <x:c r="D419" s="11"/>
      <x:c r="E419" s="12"/>
      <x:c r="F419" s="10"/>
      <x:c r="G419" s="2" t="str">
        <x:f>IF(COUNTA(A419:F419)=0,"",COUNTIFS('External Data'!$L$2:$L$1001,SUBSTITUTE(SUBSTITUTE(SUBSTITUTE(L419,"~","~~"),"*","~*"),"?","~?")))</x:f>
      </x:c>
      <x:c r="H419" s="2" t="str">
        <x:f>IF(COUNTA(A419:F419)=0,"",COUNTIFS('App Data'!$L$2:$L$1001,SUBSTITUTE(SUBSTITUTE(SUBSTITUTE(L419,"~","~~"),"*","~*"),"?","~?")))</x:f>
      </x:c>
      <x:c r="I419" s="13" t="str">
        <x:f>IF(OR(H419&lt;&gt;1,G419&lt;&gt;1),"",SUMIFS('App Data'!$E$2:$E$1001,'App Data'!$L$2:$L$1001,SUBSTITUTE(SUBSTITUTE(SUBSTITUTE(L419,"~","~~"),"*","~*"),"?","~?")))</x:f>
      </x:c>
      <x:c r="J419" s="13" t="str">
        <x:f>IF(OR(NOT(ISNUMBER(E419)),NOT(ISNUMBER(I419))),"",ROUND(E419-I419,2))</x:f>
      </x:c>
      <x:c r="K419" s="2" t="str">
        <x:f>IF(COUNTA(A419:F419)=0,"",IF(OR(A419="",B419="",C419="",D419="",NOT(ISNUMBER(E419))),"Missing / invalid input",IF(G419&gt;1,"Duplicate key in this source",IF(H419=0,"Missing in other source",IF(H419&gt;1,"Duplicate in other source",IF(SUMIFS('App Data'!$M$2:$M$1001,'App Data'!$L$2:$L$1001,SUBSTITUTE(SUBSTITUTE(SUBSTITUTE(L419,"~","~~"),"*","~*"),"?","~?"))&lt;&gt;1,"Other amount is invalid",IF(J419&lt;&gt;0,"Amount differs","Matched")))))))</x:f>
      </x:c>
      <x:c r="L419" t="str">
        <x:f>IF(COUNTA(A419:F419)=0,"",LEN(A419)&amp;":"&amp;A419&amp;LEN(B419)&amp;":"&amp;B419&amp;LEN(C419)&amp;":"&amp;C419&amp;LEN(D419)&amp;":"&amp;D419)</x:f>
      </x:c>
      <x:c r="M419" t="str">
        <x:f>IF(COUNTA(A419:F419)=0,"",IF(ISNUMBER(E419),1,0))</x:f>
      </x:c>
    </x:row>
    <x:row r="420">
      <x:c r="A420" s="11"/>
      <x:c r="B420" s="11"/>
      <x:c r="C420" s="11"/>
      <x:c r="D420" s="11"/>
      <x:c r="E420" s="12"/>
      <x:c r="F420" s="10"/>
      <x:c r="G420" s="2" t="str">
        <x:f>IF(COUNTA(A420:F420)=0,"",COUNTIFS('External Data'!$L$2:$L$1001,SUBSTITUTE(SUBSTITUTE(SUBSTITUTE(L420,"~","~~"),"*","~*"),"?","~?")))</x:f>
      </x:c>
      <x:c r="H420" s="2" t="str">
        <x:f>IF(COUNTA(A420:F420)=0,"",COUNTIFS('App Data'!$L$2:$L$1001,SUBSTITUTE(SUBSTITUTE(SUBSTITUTE(L420,"~","~~"),"*","~*"),"?","~?")))</x:f>
      </x:c>
      <x:c r="I420" s="13" t="str">
        <x:f>IF(OR(H420&lt;&gt;1,G420&lt;&gt;1),"",SUMIFS('App Data'!$E$2:$E$1001,'App Data'!$L$2:$L$1001,SUBSTITUTE(SUBSTITUTE(SUBSTITUTE(L420,"~","~~"),"*","~*"),"?","~?")))</x:f>
      </x:c>
      <x:c r="J420" s="13" t="str">
        <x:f>IF(OR(NOT(ISNUMBER(E420)),NOT(ISNUMBER(I420))),"",ROUND(E420-I420,2))</x:f>
      </x:c>
      <x:c r="K420" s="2" t="str">
        <x:f>IF(COUNTA(A420:F420)=0,"",IF(OR(A420="",B420="",C420="",D420="",NOT(ISNUMBER(E420))),"Missing / invalid input",IF(G420&gt;1,"Duplicate key in this source",IF(H420=0,"Missing in other source",IF(H420&gt;1,"Duplicate in other source",IF(SUMIFS('App Data'!$M$2:$M$1001,'App Data'!$L$2:$L$1001,SUBSTITUTE(SUBSTITUTE(SUBSTITUTE(L420,"~","~~"),"*","~*"),"?","~?"))&lt;&gt;1,"Other amount is invalid",IF(J420&lt;&gt;0,"Amount differs","Matched")))))))</x:f>
      </x:c>
      <x:c r="L420" t="str">
        <x:f>IF(COUNTA(A420:F420)=0,"",LEN(A420)&amp;":"&amp;A420&amp;LEN(B420)&amp;":"&amp;B420&amp;LEN(C420)&amp;":"&amp;C420&amp;LEN(D420)&amp;":"&amp;D420)</x:f>
      </x:c>
      <x:c r="M420" t="str">
        <x:f>IF(COUNTA(A420:F420)=0,"",IF(ISNUMBER(E420),1,0))</x:f>
      </x:c>
    </x:row>
    <x:row r="421">
      <x:c r="A421" s="11"/>
      <x:c r="B421" s="11"/>
      <x:c r="C421" s="11"/>
      <x:c r="D421" s="11"/>
      <x:c r="E421" s="12"/>
      <x:c r="F421" s="10"/>
      <x:c r="G421" s="2" t="str">
        <x:f>IF(COUNTA(A421:F421)=0,"",COUNTIFS('External Data'!$L$2:$L$1001,SUBSTITUTE(SUBSTITUTE(SUBSTITUTE(L421,"~","~~"),"*","~*"),"?","~?")))</x:f>
      </x:c>
      <x:c r="H421" s="2" t="str">
        <x:f>IF(COUNTA(A421:F421)=0,"",COUNTIFS('App Data'!$L$2:$L$1001,SUBSTITUTE(SUBSTITUTE(SUBSTITUTE(L421,"~","~~"),"*","~*"),"?","~?")))</x:f>
      </x:c>
      <x:c r="I421" s="13" t="str">
        <x:f>IF(OR(H421&lt;&gt;1,G421&lt;&gt;1),"",SUMIFS('App Data'!$E$2:$E$1001,'App Data'!$L$2:$L$1001,SUBSTITUTE(SUBSTITUTE(SUBSTITUTE(L421,"~","~~"),"*","~*"),"?","~?")))</x:f>
      </x:c>
      <x:c r="J421" s="13" t="str">
        <x:f>IF(OR(NOT(ISNUMBER(E421)),NOT(ISNUMBER(I421))),"",ROUND(E421-I421,2))</x:f>
      </x:c>
      <x:c r="K421" s="2" t="str">
        <x:f>IF(COUNTA(A421:F421)=0,"",IF(OR(A421="",B421="",C421="",D421="",NOT(ISNUMBER(E421))),"Missing / invalid input",IF(G421&gt;1,"Duplicate key in this source",IF(H421=0,"Missing in other source",IF(H421&gt;1,"Duplicate in other source",IF(SUMIFS('App Data'!$M$2:$M$1001,'App Data'!$L$2:$L$1001,SUBSTITUTE(SUBSTITUTE(SUBSTITUTE(L421,"~","~~"),"*","~*"),"?","~?"))&lt;&gt;1,"Other amount is invalid",IF(J421&lt;&gt;0,"Amount differs","Matched")))))))</x:f>
      </x:c>
      <x:c r="L421" t="str">
        <x:f>IF(COUNTA(A421:F421)=0,"",LEN(A421)&amp;":"&amp;A421&amp;LEN(B421)&amp;":"&amp;B421&amp;LEN(C421)&amp;":"&amp;C421&amp;LEN(D421)&amp;":"&amp;D421)</x:f>
      </x:c>
      <x:c r="M421" t="str">
        <x:f>IF(COUNTA(A421:F421)=0,"",IF(ISNUMBER(E421),1,0))</x:f>
      </x:c>
    </x:row>
    <x:row r="422">
      <x:c r="A422" s="11"/>
      <x:c r="B422" s="11"/>
      <x:c r="C422" s="11"/>
      <x:c r="D422" s="11"/>
      <x:c r="E422" s="12"/>
      <x:c r="F422" s="10"/>
      <x:c r="G422" s="2" t="str">
        <x:f>IF(COUNTA(A422:F422)=0,"",COUNTIFS('External Data'!$L$2:$L$1001,SUBSTITUTE(SUBSTITUTE(SUBSTITUTE(L422,"~","~~"),"*","~*"),"?","~?")))</x:f>
      </x:c>
      <x:c r="H422" s="2" t="str">
        <x:f>IF(COUNTA(A422:F422)=0,"",COUNTIFS('App Data'!$L$2:$L$1001,SUBSTITUTE(SUBSTITUTE(SUBSTITUTE(L422,"~","~~"),"*","~*"),"?","~?")))</x:f>
      </x:c>
      <x:c r="I422" s="13" t="str">
        <x:f>IF(OR(H422&lt;&gt;1,G422&lt;&gt;1),"",SUMIFS('App Data'!$E$2:$E$1001,'App Data'!$L$2:$L$1001,SUBSTITUTE(SUBSTITUTE(SUBSTITUTE(L422,"~","~~"),"*","~*"),"?","~?")))</x:f>
      </x:c>
      <x:c r="J422" s="13" t="str">
        <x:f>IF(OR(NOT(ISNUMBER(E422)),NOT(ISNUMBER(I422))),"",ROUND(E422-I422,2))</x:f>
      </x:c>
      <x:c r="K422" s="2" t="str">
        <x:f>IF(COUNTA(A422:F422)=0,"",IF(OR(A422="",B422="",C422="",D422="",NOT(ISNUMBER(E422))),"Missing / invalid input",IF(G422&gt;1,"Duplicate key in this source",IF(H422=0,"Missing in other source",IF(H422&gt;1,"Duplicate in other source",IF(SUMIFS('App Data'!$M$2:$M$1001,'App Data'!$L$2:$L$1001,SUBSTITUTE(SUBSTITUTE(SUBSTITUTE(L422,"~","~~"),"*","~*"),"?","~?"))&lt;&gt;1,"Other amount is invalid",IF(J422&lt;&gt;0,"Amount differs","Matched")))))))</x:f>
      </x:c>
      <x:c r="L422" t="str">
        <x:f>IF(COUNTA(A422:F422)=0,"",LEN(A422)&amp;":"&amp;A422&amp;LEN(B422)&amp;":"&amp;B422&amp;LEN(C422)&amp;":"&amp;C422&amp;LEN(D422)&amp;":"&amp;D422)</x:f>
      </x:c>
      <x:c r="M422" t="str">
        <x:f>IF(COUNTA(A422:F422)=0,"",IF(ISNUMBER(E422),1,0))</x:f>
      </x:c>
    </x:row>
    <x:row r="423">
      <x:c r="A423" s="11"/>
      <x:c r="B423" s="11"/>
      <x:c r="C423" s="11"/>
      <x:c r="D423" s="11"/>
      <x:c r="E423" s="12"/>
      <x:c r="F423" s="10"/>
      <x:c r="G423" s="2" t="str">
        <x:f>IF(COUNTA(A423:F423)=0,"",COUNTIFS('External Data'!$L$2:$L$1001,SUBSTITUTE(SUBSTITUTE(SUBSTITUTE(L423,"~","~~"),"*","~*"),"?","~?")))</x:f>
      </x:c>
      <x:c r="H423" s="2" t="str">
        <x:f>IF(COUNTA(A423:F423)=0,"",COUNTIFS('App Data'!$L$2:$L$1001,SUBSTITUTE(SUBSTITUTE(SUBSTITUTE(L423,"~","~~"),"*","~*"),"?","~?")))</x:f>
      </x:c>
      <x:c r="I423" s="13" t="str">
        <x:f>IF(OR(H423&lt;&gt;1,G423&lt;&gt;1),"",SUMIFS('App Data'!$E$2:$E$1001,'App Data'!$L$2:$L$1001,SUBSTITUTE(SUBSTITUTE(SUBSTITUTE(L423,"~","~~"),"*","~*"),"?","~?")))</x:f>
      </x:c>
      <x:c r="J423" s="13" t="str">
        <x:f>IF(OR(NOT(ISNUMBER(E423)),NOT(ISNUMBER(I423))),"",ROUND(E423-I423,2))</x:f>
      </x:c>
      <x:c r="K423" s="2" t="str">
        <x:f>IF(COUNTA(A423:F423)=0,"",IF(OR(A423="",B423="",C423="",D423="",NOT(ISNUMBER(E423))),"Missing / invalid input",IF(G423&gt;1,"Duplicate key in this source",IF(H423=0,"Missing in other source",IF(H423&gt;1,"Duplicate in other source",IF(SUMIFS('App Data'!$M$2:$M$1001,'App Data'!$L$2:$L$1001,SUBSTITUTE(SUBSTITUTE(SUBSTITUTE(L423,"~","~~"),"*","~*"),"?","~?"))&lt;&gt;1,"Other amount is invalid",IF(J423&lt;&gt;0,"Amount differs","Matched")))))))</x:f>
      </x:c>
      <x:c r="L423" t="str">
        <x:f>IF(COUNTA(A423:F423)=0,"",LEN(A423)&amp;":"&amp;A423&amp;LEN(B423)&amp;":"&amp;B423&amp;LEN(C423)&amp;":"&amp;C423&amp;LEN(D423)&amp;":"&amp;D423)</x:f>
      </x:c>
      <x:c r="M423" t="str">
        <x:f>IF(COUNTA(A423:F423)=0,"",IF(ISNUMBER(E423),1,0))</x:f>
      </x:c>
    </x:row>
    <x:row r="424">
      <x:c r="A424" s="11"/>
      <x:c r="B424" s="11"/>
      <x:c r="C424" s="11"/>
      <x:c r="D424" s="11"/>
      <x:c r="E424" s="12"/>
      <x:c r="F424" s="10"/>
      <x:c r="G424" s="2" t="str">
        <x:f>IF(COUNTA(A424:F424)=0,"",COUNTIFS('External Data'!$L$2:$L$1001,SUBSTITUTE(SUBSTITUTE(SUBSTITUTE(L424,"~","~~"),"*","~*"),"?","~?")))</x:f>
      </x:c>
      <x:c r="H424" s="2" t="str">
        <x:f>IF(COUNTA(A424:F424)=0,"",COUNTIFS('App Data'!$L$2:$L$1001,SUBSTITUTE(SUBSTITUTE(SUBSTITUTE(L424,"~","~~"),"*","~*"),"?","~?")))</x:f>
      </x:c>
      <x:c r="I424" s="13" t="str">
        <x:f>IF(OR(H424&lt;&gt;1,G424&lt;&gt;1),"",SUMIFS('App Data'!$E$2:$E$1001,'App Data'!$L$2:$L$1001,SUBSTITUTE(SUBSTITUTE(SUBSTITUTE(L424,"~","~~"),"*","~*"),"?","~?")))</x:f>
      </x:c>
      <x:c r="J424" s="13" t="str">
        <x:f>IF(OR(NOT(ISNUMBER(E424)),NOT(ISNUMBER(I424))),"",ROUND(E424-I424,2))</x:f>
      </x:c>
      <x:c r="K424" s="2" t="str">
        <x:f>IF(COUNTA(A424:F424)=0,"",IF(OR(A424="",B424="",C424="",D424="",NOT(ISNUMBER(E424))),"Missing / invalid input",IF(G424&gt;1,"Duplicate key in this source",IF(H424=0,"Missing in other source",IF(H424&gt;1,"Duplicate in other source",IF(SUMIFS('App Data'!$M$2:$M$1001,'App Data'!$L$2:$L$1001,SUBSTITUTE(SUBSTITUTE(SUBSTITUTE(L424,"~","~~"),"*","~*"),"?","~?"))&lt;&gt;1,"Other amount is invalid",IF(J424&lt;&gt;0,"Amount differs","Matched")))))))</x:f>
      </x:c>
      <x:c r="L424" t="str">
        <x:f>IF(COUNTA(A424:F424)=0,"",LEN(A424)&amp;":"&amp;A424&amp;LEN(B424)&amp;":"&amp;B424&amp;LEN(C424)&amp;":"&amp;C424&amp;LEN(D424)&amp;":"&amp;D424)</x:f>
      </x:c>
      <x:c r="M424" t="str">
        <x:f>IF(COUNTA(A424:F424)=0,"",IF(ISNUMBER(E424),1,0))</x:f>
      </x:c>
    </x:row>
    <x:row r="425">
      <x:c r="A425" s="11"/>
      <x:c r="B425" s="11"/>
      <x:c r="C425" s="11"/>
      <x:c r="D425" s="11"/>
      <x:c r="E425" s="12"/>
      <x:c r="F425" s="10"/>
      <x:c r="G425" s="2" t="str">
        <x:f>IF(COUNTA(A425:F425)=0,"",COUNTIFS('External Data'!$L$2:$L$1001,SUBSTITUTE(SUBSTITUTE(SUBSTITUTE(L425,"~","~~"),"*","~*"),"?","~?")))</x:f>
      </x:c>
      <x:c r="H425" s="2" t="str">
        <x:f>IF(COUNTA(A425:F425)=0,"",COUNTIFS('App Data'!$L$2:$L$1001,SUBSTITUTE(SUBSTITUTE(SUBSTITUTE(L425,"~","~~"),"*","~*"),"?","~?")))</x:f>
      </x:c>
      <x:c r="I425" s="13" t="str">
        <x:f>IF(OR(H425&lt;&gt;1,G425&lt;&gt;1),"",SUMIFS('App Data'!$E$2:$E$1001,'App Data'!$L$2:$L$1001,SUBSTITUTE(SUBSTITUTE(SUBSTITUTE(L425,"~","~~"),"*","~*"),"?","~?")))</x:f>
      </x:c>
      <x:c r="J425" s="13" t="str">
        <x:f>IF(OR(NOT(ISNUMBER(E425)),NOT(ISNUMBER(I425))),"",ROUND(E425-I425,2))</x:f>
      </x:c>
      <x:c r="K425" s="2" t="str">
        <x:f>IF(COUNTA(A425:F425)=0,"",IF(OR(A425="",B425="",C425="",D425="",NOT(ISNUMBER(E425))),"Missing / invalid input",IF(G425&gt;1,"Duplicate key in this source",IF(H425=0,"Missing in other source",IF(H425&gt;1,"Duplicate in other source",IF(SUMIFS('App Data'!$M$2:$M$1001,'App Data'!$L$2:$L$1001,SUBSTITUTE(SUBSTITUTE(SUBSTITUTE(L425,"~","~~"),"*","~*"),"?","~?"))&lt;&gt;1,"Other amount is invalid",IF(J425&lt;&gt;0,"Amount differs","Matched")))))))</x:f>
      </x:c>
      <x:c r="L425" t="str">
        <x:f>IF(COUNTA(A425:F425)=0,"",LEN(A425)&amp;":"&amp;A425&amp;LEN(B425)&amp;":"&amp;B425&amp;LEN(C425)&amp;":"&amp;C425&amp;LEN(D425)&amp;":"&amp;D425)</x:f>
      </x:c>
      <x:c r="M425" t="str">
        <x:f>IF(COUNTA(A425:F425)=0,"",IF(ISNUMBER(E425),1,0))</x:f>
      </x:c>
    </x:row>
    <x:row r="426">
      <x:c r="A426" s="11"/>
      <x:c r="B426" s="11"/>
      <x:c r="C426" s="11"/>
      <x:c r="D426" s="11"/>
      <x:c r="E426" s="12"/>
      <x:c r="F426" s="10"/>
      <x:c r="G426" s="2" t="str">
        <x:f>IF(COUNTA(A426:F426)=0,"",COUNTIFS('External Data'!$L$2:$L$1001,SUBSTITUTE(SUBSTITUTE(SUBSTITUTE(L426,"~","~~"),"*","~*"),"?","~?")))</x:f>
      </x:c>
      <x:c r="H426" s="2" t="str">
        <x:f>IF(COUNTA(A426:F426)=0,"",COUNTIFS('App Data'!$L$2:$L$1001,SUBSTITUTE(SUBSTITUTE(SUBSTITUTE(L426,"~","~~"),"*","~*"),"?","~?")))</x:f>
      </x:c>
      <x:c r="I426" s="13" t="str">
        <x:f>IF(OR(H426&lt;&gt;1,G426&lt;&gt;1),"",SUMIFS('App Data'!$E$2:$E$1001,'App Data'!$L$2:$L$1001,SUBSTITUTE(SUBSTITUTE(SUBSTITUTE(L426,"~","~~"),"*","~*"),"?","~?")))</x:f>
      </x:c>
      <x:c r="J426" s="13" t="str">
        <x:f>IF(OR(NOT(ISNUMBER(E426)),NOT(ISNUMBER(I426))),"",ROUND(E426-I426,2))</x:f>
      </x:c>
      <x:c r="K426" s="2" t="str">
        <x:f>IF(COUNTA(A426:F426)=0,"",IF(OR(A426="",B426="",C426="",D426="",NOT(ISNUMBER(E426))),"Missing / invalid input",IF(G426&gt;1,"Duplicate key in this source",IF(H426=0,"Missing in other source",IF(H426&gt;1,"Duplicate in other source",IF(SUMIFS('App Data'!$M$2:$M$1001,'App Data'!$L$2:$L$1001,SUBSTITUTE(SUBSTITUTE(SUBSTITUTE(L426,"~","~~"),"*","~*"),"?","~?"))&lt;&gt;1,"Other amount is invalid",IF(J426&lt;&gt;0,"Amount differs","Matched")))))))</x:f>
      </x:c>
      <x:c r="L426" t="str">
        <x:f>IF(COUNTA(A426:F426)=0,"",LEN(A426)&amp;":"&amp;A426&amp;LEN(B426)&amp;":"&amp;B426&amp;LEN(C426)&amp;":"&amp;C426&amp;LEN(D426)&amp;":"&amp;D426)</x:f>
      </x:c>
      <x:c r="M426" t="str">
        <x:f>IF(COUNTA(A426:F426)=0,"",IF(ISNUMBER(E426),1,0))</x:f>
      </x:c>
    </x:row>
    <x:row r="427">
      <x:c r="A427" s="11"/>
      <x:c r="B427" s="11"/>
      <x:c r="C427" s="11"/>
      <x:c r="D427" s="11"/>
      <x:c r="E427" s="12"/>
      <x:c r="F427" s="10"/>
      <x:c r="G427" s="2" t="str">
        <x:f>IF(COUNTA(A427:F427)=0,"",COUNTIFS('External Data'!$L$2:$L$1001,SUBSTITUTE(SUBSTITUTE(SUBSTITUTE(L427,"~","~~"),"*","~*"),"?","~?")))</x:f>
      </x:c>
      <x:c r="H427" s="2" t="str">
        <x:f>IF(COUNTA(A427:F427)=0,"",COUNTIFS('App Data'!$L$2:$L$1001,SUBSTITUTE(SUBSTITUTE(SUBSTITUTE(L427,"~","~~"),"*","~*"),"?","~?")))</x:f>
      </x:c>
      <x:c r="I427" s="13" t="str">
        <x:f>IF(OR(H427&lt;&gt;1,G427&lt;&gt;1),"",SUMIFS('App Data'!$E$2:$E$1001,'App Data'!$L$2:$L$1001,SUBSTITUTE(SUBSTITUTE(SUBSTITUTE(L427,"~","~~"),"*","~*"),"?","~?")))</x:f>
      </x:c>
      <x:c r="J427" s="13" t="str">
        <x:f>IF(OR(NOT(ISNUMBER(E427)),NOT(ISNUMBER(I427))),"",ROUND(E427-I427,2))</x:f>
      </x:c>
      <x:c r="K427" s="2" t="str">
        <x:f>IF(COUNTA(A427:F427)=0,"",IF(OR(A427="",B427="",C427="",D427="",NOT(ISNUMBER(E427))),"Missing / invalid input",IF(G427&gt;1,"Duplicate key in this source",IF(H427=0,"Missing in other source",IF(H427&gt;1,"Duplicate in other source",IF(SUMIFS('App Data'!$M$2:$M$1001,'App Data'!$L$2:$L$1001,SUBSTITUTE(SUBSTITUTE(SUBSTITUTE(L427,"~","~~"),"*","~*"),"?","~?"))&lt;&gt;1,"Other amount is invalid",IF(J427&lt;&gt;0,"Amount differs","Matched")))))))</x:f>
      </x:c>
      <x:c r="L427" t="str">
        <x:f>IF(COUNTA(A427:F427)=0,"",LEN(A427)&amp;":"&amp;A427&amp;LEN(B427)&amp;":"&amp;B427&amp;LEN(C427)&amp;":"&amp;C427&amp;LEN(D427)&amp;":"&amp;D427)</x:f>
      </x:c>
      <x:c r="M427" t="str">
        <x:f>IF(COUNTA(A427:F427)=0,"",IF(ISNUMBER(E427),1,0))</x:f>
      </x:c>
    </x:row>
    <x:row r="428">
      <x:c r="A428" s="11"/>
      <x:c r="B428" s="11"/>
      <x:c r="C428" s="11"/>
      <x:c r="D428" s="11"/>
      <x:c r="E428" s="12"/>
      <x:c r="F428" s="10"/>
      <x:c r="G428" s="2" t="str">
        <x:f>IF(COUNTA(A428:F428)=0,"",COUNTIFS('External Data'!$L$2:$L$1001,SUBSTITUTE(SUBSTITUTE(SUBSTITUTE(L428,"~","~~"),"*","~*"),"?","~?")))</x:f>
      </x:c>
      <x:c r="H428" s="2" t="str">
        <x:f>IF(COUNTA(A428:F428)=0,"",COUNTIFS('App Data'!$L$2:$L$1001,SUBSTITUTE(SUBSTITUTE(SUBSTITUTE(L428,"~","~~"),"*","~*"),"?","~?")))</x:f>
      </x:c>
      <x:c r="I428" s="13" t="str">
        <x:f>IF(OR(H428&lt;&gt;1,G428&lt;&gt;1),"",SUMIFS('App Data'!$E$2:$E$1001,'App Data'!$L$2:$L$1001,SUBSTITUTE(SUBSTITUTE(SUBSTITUTE(L428,"~","~~"),"*","~*"),"?","~?")))</x:f>
      </x:c>
      <x:c r="J428" s="13" t="str">
        <x:f>IF(OR(NOT(ISNUMBER(E428)),NOT(ISNUMBER(I428))),"",ROUND(E428-I428,2))</x:f>
      </x:c>
      <x:c r="K428" s="2" t="str">
        <x:f>IF(COUNTA(A428:F428)=0,"",IF(OR(A428="",B428="",C428="",D428="",NOT(ISNUMBER(E428))),"Missing / invalid input",IF(G428&gt;1,"Duplicate key in this source",IF(H428=0,"Missing in other source",IF(H428&gt;1,"Duplicate in other source",IF(SUMIFS('App Data'!$M$2:$M$1001,'App Data'!$L$2:$L$1001,SUBSTITUTE(SUBSTITUTE(SUBSTITUTE(L428,"~","~~"),"*","~*"),"?","~?"))&lt;&gt;1,"Other amount is invalid",IF(J428&lt;&gt;0,"Amount differs","Matched")))))))</x:f>
      </x:c>
      <x:c r="L428" t="str">
        <x:f>IF(COUNTA(A428:F428)=0,"",LEN(A428)&amp;":"&amp;A428&amp;LEN(B428)&amp;":"&amp;B428&amp;LEN(C428)&amp;":"&amp;C428&amp;LEN(D428)&amp;":"&amp;D428)</x:f>
      </x:c>
      <x:c r="M428" t="str">
        <x:f>IF(COUNTA(A428:F428)=0,"",IF(ISNUMBER(E428),1,0))</x:f>
      </x:c>
    </x:row>
    <x:row r="429">
      <x:c r="A429" s="11"/>
      <x:c r="B429" s="11"/>
      <x:c r="C429" s="11"/>
      <x:c r="D429" s="11"/>
      <x:c r="E429" s="12"/>
      <x:c r="F429" s="10"/>
      <x:c r="G429" s="2" t="str">
        <x:f>IF(COUNTA(A429:F429)=0,"",COUNTIFS('External Data'!$L$2:$L$1001,SUBSTITUTE(SUBSTITUTE(SUBSTITUTE(L429,"~","~~"),"*","~*"),"?","~?")))</x:f>
      </x:c>
      <x:c r="H429" s="2" t="str">
        <x:f>IF(COUNTA(A429:F429)=0,"",COUNTIFS('App Data'!$L$2:$L$1001,SUBSTITUTE(SUBSTITUTE(SUBSTITUTE(L429,"~","~~"),"*","~*"),"?","~?")))</x:f>
      </x:c>
      <x:c r="I429" s="13" t="str">
        <x:f>IF(OR(H429&lt;&gt;1,G429&lt;&gt;1),"",SUMIFS('App Data'!$E$2:$E$1001,'App Data'!$L$2:$L$1001,SUBSTITUTE(SUBSTITUTE(SUBSTITUTE(L429,"~","~~"),"*","~*"),"?","~?")))</x:f>
      </x:c>
      <x:c r="J429" s="13" t="str">
        <x:f>IF(OR(NOT(ISNUMBER(E429)),NOT(ISNUMBER(I429))),"",ROUND(E429-I429,2))</x:f>
      </x:c>
      <x:c r="K429" s="2" t="str">
        <x:f>IF(COUNTA(A429:F429)=0,"",IF(OR(A429="",B429="",C429="",D429="",NOT(ISNUMBER(E429))),"Missing / invalid input",IF(G429&gt;1,"Duplicate key in this source",IF(H429=0,"Missing in other source",IF(H429&gt;1,"Duplicate in other source",IF(SUMIFS('App Data'!$M$2:$M$1001,'App Data'!$L$2:$L$1001,SUBSTITUTE(SUBSTITUTE(SUBSTITUTE(L429,"~","~~"),"*","~*"),"?","~?"))&lt;&gt;1,"Other amount is invalid",IF(J429&lt;&gt;0,"Amount differs","Matched")))))))</x:f>
      </x:c>
      <x:c r="L429" t="str">
        <x:f>IF(COUNTA(A429:F429)=0,"",LEN(A429)&amp;":"&amp;A429&amp;LEN(B429)&amp;":"&amp;B429&amp;LEN(C429)&amp;":"&amp;C429&amp;LEN(D429)&amp;":"&amp;D429)</x:f>
      </x:c>
      <x:c r="M429" t="str">
        <x:f>IF(COUNTA(A429:F429)=0,"",IF(ISNUMBER(E429),1,0))</x:f>
      </x:c>
    </x:row>
    <x:row r="430">
      <x:c r="A430" s="11"/>
      <x:c r="B430" s="11"/>
      <x:c r="C430" s="11"/>
      <x:c r="D430" s="11"/>
      <x:c r="E430" s="12"/>
      <x:c r="F430" s="10"/>
      <x:c r="G430" s="2" t="str">
        <x:f>IF(COUNTA(A430:F430)=0,"",COUNTIFS('External Data'!$L$2:$L$1001,SUBSTITUTE(SUBSTITUTE(SUBSTITUTE(L430,"~","~~"),"*","~*"),"?","~?")))</x:f>
      </x:c>
      <x:c r="H430" s="2" t="str">
        <x:f>IF(COUNTA(A430:F430)=0,"",COUNTIFS('App Data'!$L$2:$L$1001,SUBSTITUTE(SUBSTITUTE(SUBSTITUTE(L430,"~","~~"),"*","~*"),"?","~?")))</x:f>
      </x:c>
      <x:c r="I430" s="13" t="str">
        <x:f>IF(OR(H430&lt;&gt;1,G430&lt;&gt;1),"",SUMIFS('App Data'!$E$2:$E$1001,'App Data'!$L$2:$L$1001,SUBSTITUTE(SUBSTITUTE(SUBSTITUTE(L430,"~","~~"),"*","~*"),"?","~?")))</x:f>
      </x:c>
      <x:c r="J430" s="13" t="str">
        <x:f>IF(OR(NOT(ISNUMBER(E430)),NOT(ISNUMBER(I430))),"",ROUND(E430-I430,2))</x:f>
      </x:c>
      <x:c r="K430" s="2" t="str">
        <x:f>IF(COUNTA(A430:F430)=0,"",IF(OR(A430="",B430="",C430="",D430="",NOT(ISNUMBER(E430))),"Missing / invalid input",IF(G430&gt;1,"Duplicate key in this source",IF(H430=0,"Missing in other source",IF(H430&gt;1,"Duplicate in other source",IF(SUMIFS('App Data'!$M$2:$M$1001,'App Data'!$L$2:$L$1001,SUBSTITUTE(SUBSTITUTE(SUBSTITUTE(L430,"~","~~"),"*","~*"),"?","~?"))&lt;&gt;1,"Other amount is invalid",IF(J430&lt;&gt;0,"Amount differs","Matched")))))))</x:f>
      </x:c>
      <x:c r="L430" t="str">
        <x:f>IF(COUNTA(A430:F430)=0,"",LEN(A430)&amp;":"&amp;A430&amp;LEN(B430)&amp;":"&amp;B430&amp;LEN(C430)&amp;":"&amp;C430&amp;LEN(D430)&amp;":"&amp;D430)</x:f>
      </x:c>
      <x:c r="M430" t="str">
        <x:f>IF(COUNTA(A430:F430)=0,"",IF(ISNUMBER(E430),1,0))</x:f>
      </x:c>
    </x:row>
    <x:row r="431">
      <x:c r="A431" s="11"/>
      <x:c r="B431" s="11"/>
      <x:c r="C431" s="11"/>
      <x:c r="D431" s="11"/>
      <x:c r="E431" s="12"/>
      <x:c r="F431" s="10"/>
      <x:c r="G431" s="2" t="str">
        <x:f>IF(COUNTA(A431:F431)=0,"",COUNTIFS('External Data'!$L$2:$L$1001,SUBSTITUTE(SUBSTITUTE(SUBSTITUTE(L431,"~","~~"),"*","~*"),"?","~?")))</x:f>
      </x:c>
      <x:c r="H431" s="2" t="str">
        <x:f>IF(COUNTA(A431:F431)=0,"",COUNTIFS('App Data'!$L$2:$L$1001,SUBSTITUTE(SUBSTITUTE(SUBSTITUTE(L431,"~","~~"),"*","~*"),"?","~?")))</x:f>
      </x:c>
      <x:c r="I431" s="13" t="str">
        <x:f>IF(OR(H431&lt;&gt;1,G431&lt;&gt;1),"",SUMIFS('App Data'!$E$2:$E$1001,'App Data'!$L$2:$L$1001,SUBSTITUTE(SUBSTITUTE(SUBSTITUTE(L431,"~","~~"),"*","~*"),"?","~?")))</x:f>
      </x:c>
      <x:c r="J431" s="13" t="str">
        <x:f>IF(OR(NOT(ISNUMBER(E431)),NOT(ISNUMBER(I431))),"",ROUND(E431-I431,2))</x:f>
      </x:c>
      <x:c r="K431" s="2" t="str">
        <x:f>IF(COUNTA(A431:F431)=0,"",IF(OR(A431="",B431="",C431="",D431="",NOT(ISNUMBER(E431))),"Missing / invalid input",IF(G431&gt;1,"Duplicate key in this source",IF(H431=0,"Missing in other source",IF(H431&gt;1,"Duplicate in other source",IF(SUMIFS('App Data'!$M$2:$M$1001,'App Data'!$L$2:$L$1001,SUBSTITUTE(SUBSTITUTE(SUBSTITUTE(L431,"~","~~"),"*","~*"),"?","~?"))&lt;&gt;1,"Other amount is invalid",IF(J431&lt;&gt;0,"Amount differs","Matched")))))))</x:f>
      </x:c>
      <x:c r="L431" t="str">
        <x:f>IF(COUNTA(A431:F431)=0,"",LEN(A431)&amp;":"&amp;A431&amp;LEN(B431)&amp;":"&amp;B431&amp;LEN(C431)&amp;":"&amp;C431&amp;LEN(D431)&amp;":"&amp;D431)</x:f>
      </x:c>
      <x:c r="M431" t="str">
        <x:f>IF(COUNTA(A431:F431)=0,"",IF(ISNUMBER(E431),1,0))</x:f>
      </x:c>
    </x:row>
    <x:row r="432">
      <x:c r="A432" s="11"/>
      <x:c r="B432" s="11"/>
      <x:c r="C432" s="11"/>
      <x:c r="D432" s="11"/>
      <x:c r="E432" s="12"/>
      <x:c r="F432" s="10"/>
      <x:c r="G432" s="2" t="str">
        <x:f>IF(COUNTA(A432:F432)=0,"",COUNTIFS('External Data'!$L$2:$L$1001,SUBSTITUTE(SUBSTITUTE(SUBSTITUTE(L432,"~","~~"),"*","~*"),"?","~?")))</x:f>
      </x:c>
      <x:c r="H432" s="2" t="str">
        <x:f>IF(COUNTA(A432:F432)=0,"",COUNTIFS('App Data'!$L$2:$L$1001,SUBSTITUTE(SUBSTITUTE(SUBSTITUTE(L432,"~","~~"),"*","~*"),"?","~?")))</x:f>
      </x:c>
      <x:c r="I432" s="13" t="str">
        <x:f>IF(OR(H432&lt;&gt;1,G432&lt;&gt;1),"",SUMIFS('App Data'!$E$2:$E$1001,'App Data'!$L$2:$L$1001,SUBSTITUTE(SUBSTITUTE(SUBSTITUTE(L432,"~","~~"),"*","~*"),"?","~?")))</x:f>
      </x:c>
      <x:c r="J432" s="13" t="str">
        <x:f>IF(OR(NOT(ISNUMBER(E432)),NOT(ISNUMBER(I432))),"",ROUND(E432-I432,2))</x:f>
      </x:c>
      <x:c r="K432" s="2" t="str">
        <x:f>IF(COUNTA(A432:F432)=0,"",IF(OR(A432="",B432="",C432="",D432="",NOT(ISNUMBER(E432))),"Missing / invalid input",IF(G432&gt;1,"Duplicate key in this source",IF(H432=0,"Missing in other source",IF(H432&gt;1,"Duplicate in other source",IF(SUMIFS('App Data'!$M$2:$M$1001,'App Data'!$L$2:$L$1001,SUBSTITUTE(SUBSTITUTE(SUBSTITUTE(L432,"~","~~"),"*","~*"),"?","~?"))&lt;&gt;1,"Other amount is invalid",IF(J432&lt;&gt;0,"Amount differs","Matched")))))))</x:f>
      </x:c>
      <x:c r="L432" t="str">
        <x:f>IF(COUNTA(A432:F432)=0,"",LEN(A432)&amp;":"&amp;A432&amp;LEN(B432)&amp;":"&amp;B432&amp;LEN(C432)&amp;":"&amp;C432&amp;LEN(D432)&amp;":"&amp;D432)</x:f>
      </x:c>
      <x:c r="M432" t="str">
        <x:f>IF(COUNTA(A432:F432)=0,"",IF(ISNUMBER(E432),1,0))</x:f>
      </x:c>
    </x:row>
    <x:row r="433">
      <x:c r="A433" s="11"/>
      <x:c r="B433" s="11"/>
      <x:c r="C433" s="11"/>
      <x:c r="D433" s="11"/>
      <x:c r="E433" s="12"/>
      <x:c r="F433" s="10"/>
      <x:c r="G433" s="2" t="str">
        <x:f>IF(COUNTA(A433:F433)=0,"",COUNTIFS('External Data'!$L$2:$L$1001,SUBSTITUTE(SUBSTITUTE(SUBSTITUTE(L433,"~","~~"),"*","~*"),"?","~?")))</x:f>
      </x:c>
      <x:c r="H433" s="2" t="str">
        <x:f>IF(COUNTA(A433:F433)=0,"",COUNTIFS('App Data'!$L$2:$L$1001,SUBSTITUTE(SUBSTITUTE(SUBSTITUTE(L433,"~","~~"),"*","~*"),"?","~?")))</x:f>
      </x:c>
      <x:c r="I433" s="13" t="str">
        <x:f>IF(OR(H433&lt;&gt;1,G433&lt;&gt;1),"",SUMIFS('App Data'!$E$2:$E$1001,'App Data'!$L$2:$L$1001,SUBSTITUTE(SUBSTITUTE(SUBSTITUTE(L433,"~","~~"),"*","~*"),"?","~?")))</x:f>
      </x:c>
      <x:c r="J433" s="13" t="str">
        <x:f>IF(OR(NOT(ISNUMBER(E433)),NOT(ISNUMBER(I433))),"",ROUND(E433-I433,2))</x:f>
      </x:c>
      <x:c r="K433" s="2" t="str">
        <x:f>IF(COUNTA(A433:F433)=0,"",IF(OR(A433="",B433="",C433="",D433="",NOT(ISNUMBER(E433))),"Missing / invalid input",IF(G433&gt;1,"Duplicate key in this source",IF(H433=0,"Missing in other source",IF(H433&gt;1,"Duplicate in other source",IF(SUMIFS('App Data'!$M$2:$M$1001,'App Data'!$L$2:$L$1001,SUBSTITUTE(SUBSTITUTE(SUBSTITUTE(L433,"~","~~"),"*","~*"),"?","~?"))&lt;&gt;1,"Other amount is invalid",IF(J433&lt;&gt;0,"Amount differs","Matched")))))))</x:f>
      </x:c>
      <x:c r="L433" t="str">
        <x:f>IF(COUNTA(A433:F433)=0,"",LEN(A433)&amp;":"&amp;A433&amp;LEN(B433)&amp;":"&amp;B433&amp;LEN(C433)&amp;":"&amp;C433&amp;LEN(D433)&amp;":"&amp;D433)</x:f>
      </x:c>
      <x:c r="M433" t="str">
        <x:f>IF(COUNTA(A433:F433)=0,"",IF(ISNUMBER(E433),1,0))</x:f>
      </x:c>
    </x:row>
    <x:row r="434">
      <x:c r="A434" s="11"/>
      <x:c r="B434" s="11"/>
      <x:c r="C434" s="11"/>
      <x:c r="D434" s="11"/>
      <x:c r="E434" s="12"/>
      <x:c r="F434" s="10"/>
      <x:c r="G434" s="2" t="str">
        <x:f>IF(COUNTA(A434:F434)=0,"",COUNTIFS('External Data'!$L$2:$L$1001,SUBSTITUTE(SUBSTITUTE(SUBSTITUTE(L434,"~","~~"),"*","~*"),"?","~?")))</x:f>
      </x:c>
      <x:c r="H434" s="2" t="str">
        <x:f>IF(COUNTA(A434:F434)=0,"",COUNTIFS('App Data'!$L$2:$L$1001,SUBSTITUTE(SUBSTITUTE(SUBSTITUTE(L434,"~","~~"),"*","~*"),"?","~?")))</x:f>
      </x:c>
      <x:c r="I434" s="13" t="str">
        <x:f>IF(OR(H434&lt;&gt;1,G434&lt;&gt;1),"",SUMIFS('App Data'!$E$2:$E$1001,'App Data'!$L$2:$L$1001,SUBSTITUTE(SUBSTITUTE(SUBSTITUTE(L434,"~","~~"),"*","~*"),"?","~?")))</x:f>
      </x:c>
      <x:c r="J434" s="13" t="str">
        <x:f>IF(OR(NOT(ISNUMBER(E434)),NOT(ISNUMBER(I434))),"",ROUND(E434-I434,2))</x:f>
      </x:c>
      <x:c r="K434" s="2" t="str">
        <x:f>IF(COUNTA(A434:F434)=0,"",IF(OR(A434="",B434="",C434="",D434="",NOT(ISNUMBER(E434))),"Missing / invalid input",IF(G434&gt;1,"Duplicate key in this source",IF(H434=0,"Missing in other source",IF(H434&gt;1,"Duplicate in other source",IF(SUMIFS('App Data'!$M$2:$M$1001,'App Data'!$L$2:$L$1001,SUBSTITUTE(SUBSTITUTE(SUBSTITUTE(L434,"~","~~"),"*","~*"),"?","~?"))&lt;&gt;1,"Other amount is invalid",IF(J434&lt;&gt;0,"Amount differs","Matched")))))))</x:f>
      </x:c>
      <x:c r="L434" t="str">
        <x:f>IF(COUNTA(A434:F434)=0,"",LEN(A434)&amp;":"&amp;A434&amp;LEN(B434)&amp;":"&amp;B434&amp;LEN(C434)&amp;":"&amp;C434&amp;LEN(D434)&amp;":"&amp;D434)</x:f>
      </x:c>
      <x:c r="M434" t="str">
        <x:f>IF(COUNTA(A434:F434)=0,"",IF(ISNUMBER(E434),1,0))</x:f>
      </x:c>
    </x:row>
    <x:row r="435">
      <x:c r="A435" s="11"/>
      <x:c r="B435" s="11"/>
      <x:c r="C435" s="11"/>
      <x:c r="D435" s="11"/>
      <x:c r="E435" s="12"/>
      <x:c r="F435" s="10"/>
      <x:c r="G435" s="2" t="str">
        <x:f>IF(COUNTA(A435:F435)=0,"",COUNTIFS('External Data'!$L$2:$L$1001,SUBSTITUTE(SUBSTITUTE(SUBSTITUTE(L435,"~","~~"),"*","~*"),"?","~?")))</x:f>
      </x:c>
      <x:c r="H435" s="2" t="str">
        <x:f>IF(COUNTA(A435:F435)=0,"",COUNTIFS('App Data'!$L$2:$L$1001,SUBSTITUTE(SUBSTITUTE(SUBSTITUTE(L435,"~","~~"),"*","~*"),"?","~?")))</x:f>
      </x:c>
      <x:c r="I435" s="13" t="str">
        <x:f>IF(OR(H435&lt;&gt;1,G435&lt;&gt;1),"",SUMIFS('App Data'!$E$2:$E$1001,'App Data'!$L$2:$L$1001,SUBSTITUTE(SUBSTITUTE(SUBSTITUTE(L435,"~","~~"),"*","~*"),"?","~?")))</x:f>
      </x:c>
      <x:c r="J435" s="13" t="str">
        <x:f>IF(OR(NOT(ISNUMBER(E435)),NOT(ISNUMBER(I435))),"",ROUND(E435-I435,2))</x:f>
      </x:c>
      <x:c r="K435" s="2" t="str">
        <x:f>IF(COUNTA(A435:F435)=0,"",IF(OR(A435="",B435="",C435="",D435="",NOT(ISNUMBER(E435))),"Missing / invalid input",IF(G435&gt;1,"Duplicate key in this source",IF(H435=0,"Missing in other source",IF(H435&gt;1,"Duplicate in other source",IF(SUMIFS('App Data'!$M$2:$M$1001,'App Data'!$L$2:$L$1001,SUBSTITUTE(SUBSTITUTE(SUBSTITUTE(L435,"~","~~"),"*","~*"),"?","~?"))&lt;&gt;1,"Other amount is invalid",IF(J435&lt;&gt;0,"Amount differs","Matched")))))))</x:f>
      </x:c>
      <x:c r="L435" t="str">
        <x:f>IF(COUNTA(A435:F435)=0,"",LEN(A435)&amp;":"&amp;A435&amp;LEN(B435)&amp;":"&amp;B435&amp;LEN(C435)&amp;":"&amp;C435&amp;LEN(D435)&amp;":"&amp;D435)</x:f>
      </x:c>
      <x:c r="M435" t="str">
        <x:f>IF(COUNTA(A435:F435)=0,"",IF(ISNUMBER(E435),1,0))</x:f>
      </x:c>
    </x:row>
    <x:row r="436">
      <x:c r="A436" s="11"/>
      <x:c r="B436" s="11"/>
      <x:c r="C436" s="11"/>
      <x:c r="D436" s="11"/>
      <x:c r="E436" s="12"/>
      <x:c r="F436" s="10"/>
      <x:c r="G436" s="2" t="str">
        <x:f>IF(COUNTA(A436:F436)=0,"",COUNTIFS('External Data'!$L$2:$L$1001,SUBSTITUTE(SUBSTITUTE(SUBSTITUTE(L436,"~","~~"),"*","~*"),"?","~?")))</x:f>
      </x:c>
      <x:c r="H436" s="2" t="str">
        <x:f>IF(COUNTA(A436:F436)=0,"",COUNTIFS('App Data'!$L$2:$L$1001,SUBSTITUTE(SUBSTITUTE(SUBSTITUTE(L436,"~","~~"),"*","~*"),"?","~?")))</x:f>
      </x:c>
      <x:c r="I436" s="13" t="str">
        <x:f>IF(OR(H436&lt;&gt;1,G436&lt;&gt;1),"",SUMIFS('App Data'!$E$2:$E$1001,'App Data'!$L$2:$L$1001,SUBSTITUTE(SUBSTITUTE(SUBSTITUTE(L436,"~","~~"),"*","~*"),"?","~?")))</x:f>
      </x:c>
      <x:c r="J436" s="13" t="str">
        <x:f>IF(OR(NOT(ISNUMBER(E436)),NOT(ISNUMBER(I436))),"",ROUND(E436-I436,2))</x:f>
      </x:c>
      <x:c r="K436" s="2" t="str">
        <x:f>IF(COUNTA(A436:F436)=0,"",IF(OR(A436="",B436="",C436="",D436="",NOT(ISNUMBER(E436))),"Missing / invalid input",IF(G436&gt;1,"Duplicate key in this source",IF(H436=0,"Missing in other source",IF(H436&gt;1,"Duplicate in other source",IF(SUMIFS('App Data'!$M$2:$M$1001,'App Data'!$L$2:$L$1001,SUBSTITUTE(SUBSTITUTE(SUBSTITUTE(L436,"~","~~"),"*","~*"),"?","~?"))&lt;&gt;1,"Other amount is invalid",IF(J436&lt;&gt;0,"Amount differs","Matched")))))))</x:f>
      </x:c>
      <x:c r="L436" t="str">
        <x:f>IF(COUNTA(A436:F436)=0,"",LEN(A436)&amp;":"&amp;A436&amp;LEN(B436)&amp;":"&amp;B436&amp;LEN(C436)&amp;":"&amp;C436&amp;LEN(D436)&amp;":"&amp;D436)</x:f>
      </x:c>
      <x:c r="M436" t="str">
        <x:f>IF(COUNTA(A436:F436)=0,"",IF(ISNUMBER(E436),1,0))</x:f>
      </x:c>
    </x:row>
    <x:row r="437">
      <x:c r="A437" s="11"/>
      <x:c r="B437" s="11"/>
      <x:c r="C437" s="11"/>
      <x:c r="D437" s="11"/>
      <x:c r="E437" s="12"/>
      <x:c r="F437" s="10"/>
      <x:c r="G437" s="2" t="str">
        <x:f>IF(COUNTA(A437:F437)=0,"",COUNTIFS('External Data'!$L$2:$L$1001,SUBSTITUTE(SUBSTITUTE(SUBSTITUTE(L437,"~","~~"),"*","~*"),"?","~?")))</x:f>
      </x:c>
      <x:c r="H437" s="2" t="str">
        <x:f>IF(COUNTA(A437:F437)=0,"",COUNTIFS('App Data'!$L$2:$L$1001,SUBSTITUTE(SUBSTITUTE(SUBSTITUTE(L437,"~","~~"),"*","~*"),"?","~?")))</x:f>
      </x:c>
      <x:c r="I437" s="13" t="str">
        <x:f>IF(OR(H437&lt;&gt;1,G437&lt;&gt;1),"",SUMIFS('App Data'!$E$2:$E$1001,'App Data'!$L$2:$L$1001,SUBSTITUTE(SUBSTITUTE(SUBSTITUTE(L437,"~","~~"),"*","~*"),"?","~?")))</x:f>
      </x:c>
      <x:c r="J437" s="13" t="str">
        <x:f>IF(OR(NOT(ISNUMBER(E437)),NOT(ISNUMBER(I437))),"",ROUND(E437-I437,2))</x:f>
      </x:c>
      <x:c r="K437" s="2" t="str">
        <x:f>IF(COUNTA(A437:F437)=0,"",IF(OR(A437="",B437="",C437="",D437="",NOT(ISNUMBER(E437))),"Missing / invalid input",IF(G437&gt;1,"Duplicate key in this source",IF(H437=0,"Missing in other source",IF(H437&gt;1,"Duplicate in other source",IF(SUMIFS('App Data'!$M$2:$M$1001,'App Data'!$L$2:$L$1001,SUBSTITUTE(SUBSTITUTE(SUBSTITUTE(L437,"~","~~"),"*","~*"),"?","~?"))&lt;&gt;1,"Other amount is invalid",IF(J437&lt;&gt;0,"Amount differs","Matched")))))))</x:f>
      </x:c>
      <x:c r="L437" t="str">
        <x:f>IF(COUNTA(A437:F437)=0,"",LEN(A437)&amp;":"&amp;A437&amp;LEN(B437)&amp;":"&amp;B437&amp;LEN(C437)&amp;":"&amp;C437&amp;LEN(D437)&amp;":"&amp;D437)</x:f>
      </x:c>
      <x:c r="M437" t="str">
        <x:f>IF(COUNTA(A437:F437)=0,"",IF(ISNUMBER(E437),1,0))</x:f>
      </x:c>
    </x:row>
    <x:row r="438">
      <x:c r="A438" s="11"/>
      <x:c r="B438" s="11"/>
      <x:c r="C438" s="11"/>
      <x:c r="D438" s="11"/>
      <x:c r="E438" s="12"/>
      <x:c r="F438" s="10"/>
      <x:c r="G438" s="2" t="str">
        <x:f>IF(COUNTA(A438:F438)=0,"",COUNTIFS('External Data'!$L$2:$L$1001,SUBSTITUTE(SUBSTITUTE(SUBSTITUTE(L438,"~","~~"),"*","~*"),"?","~?")))</x:f>
      </x:c>
      <x:c r="H438" s="2" t="str">
        <x:f>IF(COUNTA(A438:F438)=0,"",COUNTIFS('App Data'!$L$2:$L$1001,SUBSTITUTE(SUBSTITUTE(SUBSTITUTE(L438,"~","~~"),"*","~*"),"?","~?")))</x:f>
      </x:c>
      <x:c r="I438" s="13" t="str">
        <x:f>IF(OR(H438&lt;&gt;1,G438&lt;&gt;1),"",SUMIFS('App Data'!$E$2:$E$1001,'App Data'!$L$2:$L$1001,SUBSTITUTE(SUBSTITUTE(SUBSTITUTE(L438,"~","~~"),"*","~*"),"?","~?")))</x:f>
      </x:c>
      <x:c r="J438" s="13" t="str">
        <x:f>IF(OR(NOT(ISNUMBER(E438)),NOT(ISNUMBER(I438))),"",ROUND(E438-I438,2))</x:f>
      </x:c>
      <x:c r="K438" s="2" t="str">
        <x:f>IF(COUNTA(A438:F438)=0,"",IF(OR(A438="",B438="",C438="",D438="",NOT(ISNUMBER(E438))),"Missing / invalid input",IF(G438&gt;1,"Duplicate key in this source",IF(H438=0,"Missing in other source",IF(H438&gt;1,"Duplicate in other source",IF(SUMIFS('App Data'!$M$2:$M$1001,'App Data'!$L$2:$L$1001,SUBSTITUTE(SUBSTITUTE(SUBSTITUTE(L438,"~","~~"),"*","~*"),"?","~?"))&lt;&gt;1,"Other amount is invalid",IF(J438&lt;&gt;0,"Amount differs","Matched")))))))</x:f>
      </x:c>
      <x:c r="L438" t="str">
        <x:f>IF(COUNTA(A438:F438)=0,"",LEN(A438)&amp;":"&amp;A438&amp;LEN(B438)&amp;":"&amp;B438&amp;LEN(C438)&amp;":"&amp;C438&amp;LEN(D438)&amp;":"&amp;D438)</x:f>
      </x:c>
      <x:c r="M438" t="str">
        <x:f>IF(COUNTA(A438:F438)=0,"",IF(ISNUMBER(E438),1,0))</x:f>
      </x:c>
    </x:row>
    <x:row r="439">
      <x:c r="A439" s="11"/>
      <x:c r="B439" s="11"/>
      <x:c r="C439" s="11"/>
      <x:c r="D439" s="11"/>
      <x:c r="E439" s="12"/>
      <x:c r="F439" s="10"/>
      <x:c r="G439" s="2" t="str">
        <x:f>IF(COUNTA(A439:F439)=0,"",COUNTIFS('External Data'!$L$2:$L$1001,SUBSTITUTE(SUBSTITUTE(SUBSTITUTE(L439,"~","~~"),"*","~*"),"?","~?")))</x:f>
      </x:c>
      <x:c r="H439" s="2" t="str">
        <x:f>IF(COUNTA(A439:F439)=0,"",COUNTIFS('App Data'!$L$2:$L$1001,SUBSTITUTE(SUBSTITUTE(SUBSTITUTE(L439,"~","~~"),"*","~*"),"?","~?")))</x:f>
      </x:c>
      <x:c r="I439" s="13" t="str">
        <x:f>IF(OR(H439&lt;&gt;1,G439&lt;&gt;1),"",SUMIFS('App Data'!$E$2:$E$1001,'App Data'!$L$2:$L$1001,SUBSTITUTE(SUBSTITUTE(SUBSTITUTE(L439,"~","~~"),"*","~*"),"?","~?")))</x:f>
      </x:c>
      <x:c r="J439" s="13" t="str">
        <x:f>IF(OR(NOT(ISNUMBER(E439)),NOT(ISNUMBER(I439))),"",ROUND(E439-I439,2))</x:f>
      </x:c>
      <x:c r="K439" s="2" t="str">
        <x:f>IF(COUNTA(A439:F439)=0,"",IF(OR(A439="",B439="",C439="",D439="",NOT(ISNUMBER(E439))),"Missing / invalid input",IF(G439&gt;1,"Duplicate key in this source",IF(H439=0,"Missing in other source",IF(H439&gt;1,"Duplicate in other source",IF(SUMIFS('App Data'!$M$2:$M$1001,'App Data'!$L$2:$L$1001,SUBSTITUTE(SUBSTITUTE(SUBSTITUTE(L439,"~","~~"),"*","~*"),"?","~?"))&lt;&gt;1,"Other amount is invalid",IF(J439&lt;&gt;0,"Amount differs","Matched")))))))</x:f>
      </x:c>
      <x:c r="L439" t="str">
        <x:f>IF(COUNTA(A439:F439)=0,"",LEN(A439)&amp;":"&amp;A439&amp;LEN(B439)&amp;":"&amp;B439&amp;LEN(C439)&amp;":"&amp;C439&amp;LEN(D439)&amp;":"&amp;D439)</x:f>
      </x:c>
      <x:c r="M439" t="str">
        <x:f>IF(COUNTA(A439:F439)=0,"",IF(ISNUMBER(E439),1,0))</x:f>
      </x:c>
    </x:row>
    <x:row r="440">
      <x:c r="A440" s="11"/>
      <x:c r="B440" s="11"/>
      <x:c r="C440" s="11"/>
      <x:c r="D440" s="11"/>
      <x:c r="E440" s="12"/>
      <x:c r="F440" s="10"/>
      <x:c r="G440" s="2" t="str">
        <x:f>IF(COUNTA(A440:F440)=0,"",COUNTIFS('External Data'!$L$2:$L$1001,SUBSTITUTE(SUBSTITUTE(SUBSTITUTE(L440,"~","~~"),"*","~*"),"?","~?")))</x:f>
      </x:c>
      <x:c r="H440" s="2" t="str">
        <x:f>IF(COUNTA(A440:F440)=0,"",COUNTIFS('App Data'!$L$2:$L$1001,SUBSTITUTE(SUBSTITUTE(SUBSTITUTE(L440,"~","~~"),"*","~*"),"?","~?")))</x:f>
      </x:c>
      <x:c r="I440" s="13" t="str">
        <x:f>IF(OR(H440&lt;&gt;1,G440&lt;&gt;1),"",SUMIFS('App Data'!$E$2:$E$1001,'App Data'!$L$2:$L$1001,SUBSTITUTE(SUBSTITUTE(SUBSTITUTE(L440,"~","~~"),"*","~*"),"?","~?")))</x:f>
      </x:c>
      <x:c r="J440" s="13" t="str">
        <x:f>IF(OR(NOT(ISNUMBER(E440)),NOT(ISNUMBER(I440))),"",ROUND(E440-I440,2))</x:f>
      </x:c>
      <x:c r="K440" s="2" t="str">
        <x:f>IF(COUNTA(A440:F440)=0,"",IF(OR(A440="",B440="",C440="",D440="",NOT(ISNUMBER(E440))),"Missing / invalid input",IF(G440&gt;1,"Duplicate key in this source",IF(H440=0,"Missing in other source",IF(H440&gt;1,"Duplicate in other source",IF(SUMIFS('App Data'!$M$2:$M$1001,'App Data'!$L$2:$L$1001,SUBSTITUTE(SUBSTITUTE(SUBSTITUTE(L440,"~","~~"),"*","~*"),"?","~?"))&lt;&gt;1,"Other amount is invalid",IF(J440&lt;&gt;0,"Amount differs","Matched")))))))</x:f>
      </x:c>
      <x:c r="L440" t="str">
        <x:f>IF(COUNTA(A440:F440)=0,"",LEN(A440)&amp;":"&amp;A440&amp;LEN(B440)&amp;":"&amp;B440&amp;LEN(C440)&amp;":"&amp;C440&amp;LEN(D440)&amp;":"&amp;D440)</x:f>
      </x:c>
      <x:c r="M440" t="str">
        <x:f>IF(COUNTA(A440:F440)=0,"",IF(ISNUMBER(E440),1,0))</x:f>
      </x:c>
    </x:row>
    <x:row r="441">
      <x:c r="A441" s="11"/>
      <x:c r="B441" s="11"/>
      <x:c r="C441" s="11"/>
      <x:c r="D441" s="11"/>
      <x:c r="E441" s="12"/>
      <x:c r="F441" s="10"/>
      <x:c r="G441" s="2" t="str">
        <x:f>IF(COUNTA(A441:F441)=0,"",COUNTIFS('External Data'!$L$2:$L$1001,SUBSTITUTE(SUBSTITUTE(SUBSTITUTE(L441,"~","~~"),"*","~*"),"?","~?")))</x:f>
      </x:c>
      <x:c r="H441" s="2" t="str">
        <x:f>IF(COUNTA(A441:F441)=0,"",COUNTIFS('App Data'!$L$2:$L$1001,SUBSTITUTE(SUBSTITUTE(SUBSTITUTE(L441,"~","~~"),"*","~*"),"?","~?")))</x:f>
      </x:c>
      <x:c r="I441" s="13" t="str">
        <x:f>IF(OR(H441&lt;&gt;1,G441&lt;&gt;1),"",SUMIFS('App Data'!$E$2:$E$1001,'App Data'!$L$2:$L$1001,SUBSTITUTE(SUBSTITUTE(SUBSTITUTE(L441,"~","~~"),"*","~*"),"?","~?")))</x:f>
      </x:c>
      <x:c r="J441" s="13" t="str">
        <x:f>IF(OR(NOT(ISNUMBER(E441)),NOT(ISNUMBER(I441))),"",ROUND(E441-I441,2))</x:f>
      </x:c>
      <x:c r="K441" s="2" t="str">
        <x:f>IF(COUNTA(A441:F441)=0,"",IF(OR(A441="",B441="",C441="",D441="",NOT(ISNUMBER(E441))),"Missing / invalid input",IF(G441&gt;1,"Duplicate key in this source",IF(H441=0,"Missing in other source",IF(H441&gt;1,"Duplicate in other source",IF(SUMIFS('App Data'!$M$2:$M$1001,'App Data'!$L$2:$L$1001,SUBSTITUTE(SUBSTITUTE(SUBSTITUTE(L441,"~","~~"),"*","~*"),"?","~?"))&lt;&gt;1,"Other amount is invalid",IF(J441&lt;&gt;0,"Amount differs","Matched")))))))</x:f>
      </x:c>
      <x:c r="L441" t="str">
        <x:f>IF(COUNTA(A441:F441)=0,"",LEN(A441)&amp;":"&amp;A441&amp;LEN(B441)&amp;":"&amp;B441&amp;LEN(C441)&amp;":"&amp;C441&amp;LEN(D441)&amp;":"&amp;D441)</x:f>
      </x:c>
      <x:c r="M441" t="str">
        <x:f>IF(COUNTA(A441:F441)=0,"",IF(ISNUMBER(E441),1,0))</x:f>
      </x:c>
    </x:row>
    <x:row r="442">
      <x:c r="A442" s="11"/>
      <x:c r="B442" s="11"/>
      <x:c r="C442" s="11"/>
      <x:c r="D442" s="11"/>
      <x:c r="E442" s="12"/>
      <x:c r="F442" s="10"/>
      <x:c r="G442" s="2" t="str">
        <x:f>IF(COUNTA(A442:F442)=0,"",COUNTIFS('External Data'!$L$2:$L$1001,SUBSTITUTE(SUBSTITUTE(SUBSTITUTE(L442,"~","~~"),"*","~*"),"?","~?")))</x:f>
      </x:c>
      <x:c r="H442" s="2" t="str">
        <x:f>IF(COUNTA(A442:F442)=0,"",COUNTIFS('App Data'!$L$2:$L$1001,SUBSTITUTE(SUBSTITUTE(SUBSTITUTE(L442,"~","~~"),"*","~*"),"?","~?")))</x:f>
      </x:c>
      <x:c r="I442" s="13" t="str">
        <x:f>IF(OR(H442&lt;&gt;1,G442&lt;&gt;1),"",SUMIFS('App Data'!$E$2:$E$1001,'App Data'!$L$2:$L$1001,SUBSTITUTE(SUBSTITUTE(SUBSTITUTE(L442,"~","~~"),"*","~*"),"?","~?")))</x:f>
      </x:c>
      <x:c r="J442" s="13" t="str">
        <x:f>IF(OR(NOT(ISNUMBER(E442)),NOT(ISNUMBER(I442))),"",ROUND(E442-I442,2))</x:f>
      </x:c>
      <x:c r="K442" s="2" t="str">
        <x:f>IF(COUNTA(A442:F442)=0,"",IF(OR(A442="",B442="",C442="",D442="",NOT(ISNUMBER(E442))),"Missing / invalid input",IF(G442&gt;1,"Duplicate key in this source",IF(H442=0,"Missing in other source",IF(H442&gt;1,"Duplicate in other source",IF(SUMIFS('App Data'!$M$2:$M$1001,'App Data'!$L$2:$L$1001,SUBSTITUTE(SUBSTITUTE(SUBSTITUTE(L442,"~","~~"),"*","~*"),"?","~?"))&lt;&gt;1,"Other amount is invalid",IF(J442&lt;&gt;0,"Amount differs","Matched")))))))</x:f>
      </x:c>
      <x:c r="L442" t="str">
        <x:f>IF(COUNTA(A442:F442)=0,"",LEN(A442)&amp;":"&amp;A442&amp;LEN(B442)&amp;":"&amp;B442&amp;LEN(C442)&amp;":"&amp;C442&amp;LEN(D442)&amp;":"&amp;D442)</x:f>
      </x:c>
      <x:c r="M442" t="str">
        <x:f>IF(COUNTA(A442:F442)=0,"",IF(ISNUMBER(E442),1,0))</x:f>
      </x:c>
    </x:row>
    <x:row r="443">
      <x:c r="A443" s="11"/>
      <x:c r="B443" s="11"/>
      <x:c r="C443" s="11"/>
      <x:c r="D443" s="11"/>
      <x:c r="E443" s="12"/>
      <x:c r="F443" s="10"/>
      <x:c r="G443" s="2" t="str">
        <x:f>IF(COUNTA(A443:F443)=0,"",COUNTIFS('External Data'!$L$2:$L$1001,SUBSTITUTE(SUBSTITUTE(SUBSTITUTE(L443,"~","~~"),"*","~*"),"?","~?")))</x:f>
      </x:c>
      <x:c r="H443" s="2" t="str">
        <x:f>IF(COUNTA(A443:F443)=0,"",COUNTIFS('App Data'!$L$2:$L$1001,SUBSTITUTE(SUBSTITUTE(SUBSTITUTE(L443,"~","~~"),"*","~*"),"?","~?")))</x:f>
      </x:c>
      <x:c r="I443" s="13" t="str">
        <x:f>IF(OR(H443&lt;&gt;1,G443&lt;&gt;1),"",SUMIFS('App Data'!$E$2:$E$1001,'App Data'!$L$2:$L$1001,SUBSTITUTE(SUBSTITUTE(SUBSTITUTE(L443,"~","~~"),"*","~*"),"?","~?")))</x:f>
      </x:c>
      <x:c r="J443" s="13" t="str">
        <x:f>IF(OR(NOT(ISNUMBER(E443)),NOT(ISNUMBER(I443))),"",ROUND(E443-I443,2))</x:f>
      </x:c>
      <x:c r="K443" s="2" t="str">
        <x:f>IF(COUNTA(A443:F443)=0,"",IF(OR(A443="",B443="",C443="",D443="",NOT(ISNUMBER(E443))),"Missing / invalid input",IF(G443&gt;1,"Duplicate key in this source",IF(H443=0,"Missing in other source",IF(H443&gt;1,"Duplicate in other source",IF(SUMIFS('App Data'!$M$2:$M$1001,'App Data'!$L$2:$L$1001,SUBSTITUTE(SUBSTITUTE(SUBSTITUTE(L443,"~","~~"),"*","~*"),"?","~?"))&lt;&gt;1,"Other amount is invalid",IF(J443&lt;&gt;0,"Amount differs","Matched")))))))</x:f>
      </x:c>
      <x:c r="L443" t="str">
        <x:f>IF(COUNTA(A443:F443)=0,"",LEN(A443)&amp;":"&amp;A443&amp;LEN(B443)&amp;":"&amp;B443&amp;LEN(C443)&amp;":"&amp;C443&amp;LEN(D443)&amp;":"&amp;D443)</x:f>
      </x:c>
      <x:c r="M443" t="str">
        <x:f>IF(COUNTA(A443:F443)=0,"",IF(ISNUMBER(E443),1,0))</x:f>
      </x:c>
    </x:row>
    <x:row r="444">
      <x:c r="A444" s="11"/>
      <x:c r="B444" s="11"/>
      <x:c r="C444" s="11"/>
      <x:c r="D444" s="11"/>
      <x:c r="E444" s="12"/>
      <x:c r="F444" s="10"/>
      <x:c r="G444" s="2" t="str">
        <x:f>IF(COUNTA(A444:F444)=0,"",COUNTIFS('External Data'!$L$2:$L$1001,SUBSTITUTE(SUBSTITUTE(SUBSTITUTE(L444,"~","~~"),"*","~*"),"?","~?")))</x:f>
      </x:c>
      <x:c r="H444" s="2" t="str">
        <x:f>IF(COUNTA(A444:F444)=0,"",COUNTIFS('App Data'!$L$2:$L$1001,SUBSTITUTE(SUBSTITUTE(SUBSTITUTE(L444,"~","~~"),"*","~*"),"?","~?")))</x:f>
      </x:c>
      <x:c r="I444" s="13" t="str">
        <x:f>IF(OR(H444&lt;&gt;1,G444&lt;&gt;1),"",SUMIFS('App Data'!$E$2:$E$1001,'App Data'!$L$2:$L$1001,SUBSTITUTE(SUBSTITUTE(SUBSTITUTE(L444,"~","~~"),"*","~*"),"?","~?")))</x:f>
      </x:c>
      <x:c r="J444" s="13" t="str">
        <x:f>IF(OR(NOT(ISNUMBER(E444)),NOT(ISNUMBER(I444))),"",ROUND(E444-I444,2))</x:f>
      </x:c>
      <x:c r="K444" s="2" t="str">
        <x:f>IF(COUNTA(A444:F444)=0,"",IF(OR(A444="",B444="",C444="",D444="",NOT(ISNUMBER(E444))),"Missing / invalid input",IF(G444&gt;1,"Duplicate key in this source",IF(H444=0,"Missing in other source",IF(H444&gt;1,"Duplicate in other source",IF(SUMIFS('App Data'!$M$2:$M$1001,'App Data'!$L$2:$L$1001,SUBSTITUTE(SUBSTITUTE(SUBSTITUTE(L444,"~","~~"),"*","~*"),"?","~?"))&lt;&gt;1,"Other amount is invalid",IF(J444&lt;&gt;0,"Amount differs","Matched")))))))</x:f>
      </x:c>
      <x:c r="L444" t="str">
        <x:f>IF(COUNTA(A444:F444)=0,"",LEN(A444)&amp;":"&amp;A444&amp;LEN(B444)&amp;":"&amp;B444&amp;LEN(C444)&amp;":"&amp;C444&amp;LEN(D444)&amp;":"&amp;D444)</x:f>
      </x:c>
      <x:c r="M444" t="str">
        <x:f>IF(COUNTA(A444:F444)=0,"",IF(ISNUMBER(E444),1,0))</x:f>
      </x:c>
    </x:row>
    <x:row r="445">
      <x:c r="A445" s="11"/>
      <x:c r="B445" s="11"/>
      <x:c r="C445" s="11"/>
      <x:c r="D445" s="11"/>
      <x:c r="E445" s="12"/>
      <x:c r="F445" s="10"/>
      <x:c r="G445" s="2" t="str">
        <x:f>IF(COUNTA(A445:F445)=0,"",COUNTIFS('External Data'!$L$2:$L$1001,SUBSTITUTE(SUBSTITUTE(SUBSTITUTE(L445,"~","~~"),"*","~*"),"?","~?")))</x:f>
      </x:c>
      <x:c r="H445" s="2" t="str">
        <x:f>IF(COUNTA(A445:F445)=0,"",COUNTIFS('App Data'!$L$2:$L$1001,SUBSTITUTE(SUBSTITUTE(SUBSTITUTE(L445,"~","~~"),"*","~*"),"?","~?")))</x:f>
      </x:c>
      <x:c r="I445" s="13" t="str">
        <x:f>IF(OR(H445&lt;&gt;1,G445&lt;&gt;1),"",SUMIFS('App Data'!$E$2:$E$1001,'App Data'!$L$2:$L$1001,SUBSTITUTE(SUBSTITUTE(SUBSTITUTE(L445,"~","~~"),"*","~*"),"?","~?")))</x:f>
      </x:c>
      <x:c r="J445" s="13" t="str">
        <x:f>IF(OR(NOT(ISNUMBER(E445)),NOT(ISNUMBER(I445))),"",ROUND(E445-I445,2))</x:f>
      </x:c>
      <x:c r="K445" s="2" t="str">
        <x:f>IF(COUNTA(A445:F445)=0,"",IF(OR(A445="",B445="",C445="",D445="",NOT(ISNUMBER(E445))),"Missing / invalid input",IF(G445&gt;1,"Duplicate key in this source",IF(H445=0,"Missing in other source",IF(H445&gt;1,"Duplicate in other source",IF(SUMIFS('App Data'!$M$2:$M$1001,'App Data'!$L$2:$L$1001,SUBSTITUTE(SUBSTITUTE(SUBSTITUTE(L445,"~","~~"),"*","~*"),"?","~?"))&lt;&gt;1,"Other amount is invalid",IF(J445&lt;&gt;0,"Amount differs","Matched")))))))</x:f>
      </x:c>
      <x:c r="L445" t="str">
        <x:f>IF(COUNTA(A445:F445)=0,"",LEN(A445)&amp;":"&amp;A445&amp;LEN(B445)&amp;":"&amp;B445&amp;LEN(C445)&amp;":"&amp;C445&amp;LEN(D445)&amp;":"&amp;D445)</x:f>
      </x:c>
      <x:c r="M445" t="str">
        <x:f>IF(COUNTA(A445:F445)=0,"",IF(ISNUMBER(E445),1,0))</x:f>
      </x:c>
    </x:row>
    <x:row r="446">
      <x:c r="A446" s="11"/>
      <x:c r="B446" s="11"/>
      <x:c r="C446" s="11"/>
      <x:c r="D446" s="11"/>
      <x:c r="E446" s="12"/>
      <x:c r="F446" s="10"/>
      <x:c r="G446" s="2" t="str">
        <x:f>IF(COUNTA(A446:F446)=0,"",COUNTIFS('External Data'!$L$2:$L$1001,SUBSTITUTE(SUBSTITUTE(SUBSTITUTE(L446,"~","~~"),"*","~*"),"?","~?")))</x:f>
      </x:c>
      <x:c r="H446" s="2" t="str">
        <x:f>IF(COUNTA(A446:F446)=0,"",COUNTIFS('App Data'!$L$2:$L$1001,SUBSTITUTE(SUBSTITUTE(SUBSTITUTE(L446,"~","~~"),"*","~*"),"?","~?")))</x:f>
      </x:c>
      <x:c r="I446" s="13" t="str">
        <x:f>IF(OR(H446&lt;&gt;1,G446&lt;&gt;1),"",SUMIFS('App Data'!$E$2:$E$1001,'App Data'!$L$2:$L$1001,SUBSTITUTE(SUBSTITUTE(SUBSTITUTE(L446,"~","~~"),"*","~*"),"?","~?")))</x:f>
      </x:c>
      <x:c r="J446" s="13" t="str">
        <x:f>IF(OR(NOT(ISNUMBER(E446)),NOT(ISNUMBER(I446))),"",ROUND(E446-I446,2))</x:f>
      </x:c>
      <x:c r="K446" s="2" t="str">
        <x:f>IF(COUNTA(A446:F446)=0,"",IF(OR(A446="",B446="",C446="",D446="",NOT(ISNUMBER(E446))),"Missing / invalid input",IF(G446&gt;1,"Duplicate key in this source",IF(H446=0,"Missing in other source",IF(H446&gt;1,"Duplicate in other source",IF(SUMIFS('App Data'!$M$2:$M$1001,'App Data'!$L$2:$L$1001,SUBSTITUTE(SUBSTITUTE(SUBSTITUTE(L446,"~","~~"),"*","~*"),"?","~?"))&lt;&gt;1,"Other amount is invalid",IF(J446&lt;&gt;0,"Amount differs","Matched")))))))</x:f>
      </x:c>
      <x:c r="L446" t="str">
        <x:f>IF(COUNTA(A446:F446)=0,"",LEN(A446)&amp;":"&amp;A446&amp;LEN(B446)&amp;":"&amp;B446&amp;LEN(C446)&amp;":"&amp;C446&amp;LEN(D446)&amp;":"&amp;D446)</x:f>
      </x:c>
      <x:c r="M446" t="str">
        <x:f>IF(COUNTA(A446:F446)=0,"",IF(ISNUMBER(E446),1,0))</x:f>
      </x:c>
    </x:row>
    <x:row r="447">
      <x:c r="A447" s="11"/>
      <x:c r="B447" s="11"/>
      <x:c r="C447" s="11"/>
      <x:c r="D447" s="11"/>
      <x:c r="E447" s="12"/>
      <x:c r="F447" s="10"/>
      <x:c r="G447" s="2" t="str">
        <x:f>IF(COUNTA(A447:F447)=0,"",COUNTIFS('External Data'!$L$2:$L$1001,SUBSTITUTE(SUBSTITUTE(SUBSTITUTE(L447,"~","~~"),"*","~*"),"?","~?")))</x:f>
      </x:c>
      <x:c r="H447" s="2" t="str">
        <x:f>IF(COUNTA(A447:F447)=0,"",COUNTIFS('App Data'!$L$2:$L$1001,SUBSTITUTE(SUBSTITUTE(SUBSTITUTE(L447,"~","~~"),"*","~*"),"?","~?")))</x:f>
      </x:c>
      <x:c r="I447" s="13" t="str">
        <x:f>IF(OR(H447&lt;&gt;1,G447&lt;&gt;1),"",SUMIFS('App Data'!$E$2:$E$1001,'App Data'!$L$2:$L$1001,SUBSTITUTE(SUBSTITUTE(SUBSTITUTE(L447,"~","~~"),"*","~*"),"?","~?")))</x:f>
      </x:c>
      <x:c r="J447" s="13" t="str">
        <x:f>IF(OR(NOT(ISNUMBER(E447)),NOT(ISNUMBER(I447))),"",ROUND(E447-I447,2))</x:f>
      </x:c>
      <x:c r="K447" s="2" t="str">
        <x:f>IF(COUNTA(A447:F447)=0,"",IF(OR(A447="",B447="",C447="",D447="",NOT(ISNUMBER(E447))),"Missing / invalid input",IF(G447&gt;1,"Duplicate key in this source",IF(H447=0,"Missing in other source",IF(H447&gt;1,"Duplicate in other source",IF(SUMIFS('App Data'!$M$2:$M$1001,'App Data'!$L$2:$L$1001,SUBSTITUTE(SUBSTITUTE(SUBSTITUTE(L447,"~","~~"),"*","~*"),"?","~?"))&lt;&gt;1,"Other amount is invalid",IF(J447&lt;&gt;0,"Amount differs","Matched")))))))</x:f>
      </x:c>
      <x:c r="L447" t="str">
        <x:f>IF(COUNTA(A447:F447)=0,"",LEN(A447)&amp;":"&amp;A447&amp;LEN(B447)&amp;":"&amp;B447&amp;LEN(C447)&amp;":"&amp;C447&amp;LEN(D447)&amp;":"&amp;D447)</x:f>
      </x:c>
      <x:c r="M447" t="str">
        <x:f>IF(COUNTA(A447:F447)=0,"",IF(ISNUMBER(E447),1,0))</x:f>
      </x:c>
    </x:row>
    <x:row r="448">
      <x:c r="A448" s="11"/>
      <x:c r="B448" s="11"/>
      <x:c r="C448" s="11"/>
      <x:c r="D448" s="11"/>
      <x:c r="E448" s="12"/>
      <x:c r="F448" s="10"/>
      <x:c r="G448" s="2" t="str">
        <x:f>IF(COUNTA(A448:F448)=0,"",COUNTIFS('External Data'!$L$2:$L$1001,SUBSTITUTE(SUBSTITUTE(SUBSTITUTE(L448,"~","~~"),"*","~*"),"?","~?")))</x:f>
      </x:c>
      <x:c r="H448" s="2" t="str">
        <x:f>IF(COUNTA(A448:F448)=0,"",COUNTIFS('App Data'!$L$2:$L$1001,SUBSTITUTE(SUBSTITUTE(SUBSTITUTE(L448,"~","~~"),"*","~*"),"?","~?")))</x:f>
      </x:c>
      <x:c r="I448" s="13" t="str">
        <x:f>IF(OR(H448&lt;&gt;1,G448&lt;&gt;1),"",SUMIFS('App Data'!$E$2:$E$1001,'App Data'!$L$2:$L$1001,SUBSTITUTE(SUBSTITUTE(SUBSTITUTE(L448,"~","~~"),"*","~*"),"?","~?")))</x:f>
      </x:c>
      <x:c r="J448" s="13" t="str">
        <x:f>IF(OR(NOT(ISNUMBER(E448)),NOT(ISNUMBER(I448))),"",ROUND(E448-I448,2))</x:f>
      </x:c>
      <x:c r="K448" s="2" t="str">
        <x:f>IF(COUNTA(A448:F448)=0,"",IF(OR(A448="",B448="",C448="",D448="",NOT(ISNUMBER(E448))),"Missing / invalid input",IF(G448&gt;1,"Duplicate key in this source",IF(H448=0,"Missing in other source",IF(H448&gt;1,"Duplicate in other source",IF(SUMIFS('App Data'!$M$2:$M$1001,'App Data'!$L$2:$L$1001,SUBSTITUTE(SUBSTITUTE(SUBSTITUTE(L448,"~","~~"),"*","~*"),"?","~?"))&lt;&gt;1,"Other amount is invalid",IF(J448&lt;&gt;0,"Amount differs","Matched")))))))</x:f>
      </x:c>
      <x:c r="L448" t="str">
        <x:f>IF(COUNTA(A448:F448)=0,"",LEN(A448)&amp;":"&amp;A448&amp;LEN(B448)&amp;":"&amp;B448&amp;LEN(C448)&amp;":"&amp;C448&amp;LEN(D448)&amp;":"&amp;D448)</x:f>
      </x:c>
      <x:c r="M448" t="str">
        <x:f>IF(COUNTA(A448:F448)=0,"",IF(ISNUMBER(E448),1,0))</x:f>
      </x:c>
    </x:row>
    <x:row r="449">
      <x:c r="A449" s="11"/>
      <x:c r="B449" s="11"/>
      <x:c r="C449" s="11"/>
      <x:c r="D449" s="11"/>
      <x:c r="E449" s="12"/>
      <x:c r="F449" s="10"/>
      <x:c r="G449" s="2" t="str">
        <x:f>IF(COUNTA(A449:F449)=0,"",COUNTIFS('External Data'!$L$2:$L$1001,SUBSTITUTE(SUBSTITUTE(SUBSTITUTE(L449,"~","~~"),"*","~*"),"?","~?")))</x:f>
      </x:c>
      <x:c r="H449" s="2" t="str">
        <x:f>IF(COUNTA(A449:F449)=0,"",COUNTIFS('App Data'!$L$2:$L$1001,SUBSTITUTE(SUBSTITUTE(SUBSTITUTE(L449,"~","~~"),"*","~*"),"?","~?")))</x:f>
      </x:c>
      <x:c r="I449" s="13" t="str">
        <x:f>IF(OR(H449&lt;&gt;1,G449&lt;&gt;1),"",SUMIFS('App Data'!$E$2:$E$1001,'App Data'!$L$2:$L$1001,SUBSTITUTE(SUBSTITUTE(SUBSTITUTE(L449,"~","~~"),"*","~*"),"?","~?")))</x:f>
      </x:c>
      <x:c r="J449" s="13" t="str">
        <x:f>IF(OR(NOT(ISNUMBER(E449)),NOT(ISNUMBER(I449))),"",ROUND(E449-I449,2))</x:f>
      </x:c>
      <x:c r="K449" s="2" t="str">
        <x:f>IF(COUNTA(A449:F449)=0,"",IF(OR(A449="",B449="",C449="",D449="",NOT(ISNUMBER(E449))),"Missing / invalid input",IF(G449&gt;1,"Duplicate key in this source",IF(H449=0,"Missing in other source",IF(H449&gt;1,"Duplicate in other source",IF(SUMIFS('App Data'!$M$2:$M$1001,'App Data'!$L$2:$L$1001,SUBSTITUTE(SUBSTITUTE(SUBSTITUTE(L449,"~","~~"),"*","~*"),"?","~?"))&lt;&gt;1,"Other amount is invalid",IF(J449&lt;&gt;0,"Amount differs","Matched")))))))</x:f>
      </x:c>
      <x:c r="L449" t="str">
        <x:f>IF(COUNTA(A449:F449)=0,"",LEN(A449)&amp;":"&amp;A449&amp;LEN(B449)&amp;":"&amp;B449&amp;LEN(C449)&amp;":"&amp;C449&amp;LEN(D449)&amp;":"&amp;D449)</x:f>
      </x:c>
      <x:c r="M449" t="str">
        <x:f>IF(COUNTA(A449:F449)=0,"",IF(ISNUMBER(E449),1,0))</x:f>
      </x:c>
    </x:row>
    <x:row r="450">
      <x:c r="A450" s="11"/>
      <x:c r="B450" s="11"/>
      <x:c r="C450" s="11"/>
      <x:c r="D450" s="11"/>
      <x:c r="E450" s="12"/>
      <x:c r="F450" s="10"/>
      <x:c r="G450" s="2" t="str">
        <x:f>IF(COUNTA(A450:F450)=0,"",COUNTIFS('External Data'!$L$2:$L$1001,SUBSTITUTE(SUBSTITUTE(SUBSTITUTE(L450,"~","~~"),"*","~*"),"?","~?")))</x:f>
      </x:c>
      <x:c r="H450" s="2" t="str">
        <x:f>IF(COUNTA(A450:F450)=0,"",COUNTIFS('App Data'!$L$2:$L$1001,SUBSTITUTE(SUBSTITUTE(SUBSTITUTE(L450,"~","~~"),"*","~*"),"?","~?")))</x:f>
      </x:c>
      <x:c r="I450" s="13" t="str">
        <x:f>IF(OR(H450&lt;&gt;1,G450&lt;&gt;1),"",SUMIFS('App Data'!$E$2:$E$1001,'App Data'!$L$2:$L$1001,SUBSTITUTE(SUBSTITUTE(SUBSTITUTE(L450,"~","~~"),"*","~*"),"?","~?")))</x:f>
      </x:c>
      <x:c r="J450" s="13" t="str">
        <x:f>IF(OR(NOT(ISNUMBER(E450)),NOT(ISNUMBER(I450))),"",ROUND(E450-I450,2))</x:f>
      </x:c>
      <x:c r="K450" s="2" t="str">
        <x:f>IF(COUNTA(A450:F450)=0,"",IF(OR(A450="",B450="",C450="",D450="",NOT(ISNUMBER(E450))),"Missing / invalid input",IF(G450&gt;1,"Duplicate key in this source",IF(H450=0,"Missing in other source",IF(H450&gt;1,"Duplicate in other source",IF(SUMIFS('App Data'!$M$2:$M$1001,'App Data'!$L$2:$L$1001,SUBSTITUTE(SUBSTITUTE(SUBSTITUTE(L450,"~","~~"),"*","~*"),"?","~?"))&lt;&gt;1,"Other amount is invalid",IF(J450&lt;&gt;0,"Amount differs","Matched")))))))</x:f>
      </x:c>
      <x:c r="L450" t="str">
        <x:f>IF(COUNTA(A450:F450)=0,"",LEN(A450)&amp;":"&amp;A450&amp;LEN(B450)&amp;":"&amp;B450&amp;LEN(C450)&amp;":"&amp;C450&amp;LEN(D450)&amp;":"&amp;D450)</x:f>
      </x:c>
      <x:c r="M450" t="str">
        <x:f>IF(COUNTA(A450:F450)=0,"",IF(ISNUMBER(E450),1,0))</x:f>
      </x:c>
    </x:row>
    <x:row r="451">
      <x:c r="A451" s="11"/>
      <x:c r="B451" s="11"/>
      <x:c r="C451" s="11"/>
      <x:c r="D451" s="11"/>
      <x:c r="E451" s="12"/>
      <x:c r="F451" s="10"/>
      <x:c r="G451" s="2" t="str">
        <x:f>IF(COUNTA(A451:F451)=0,"",COUNTIFS('External Data'!$L$2:$L$1001,SUBSTITUTE(SUBSTITUTE(SUBSTITUTE(L451,"~","~~"),"*","~*"),"?","~?")))</x:f>
      </x:c>
      <x:c r="H451" s="2" t="str">
        <x:f>IF(COUNTA(A451:F451)=0,"",COUNTIFS('App Data'!$L$2:$L$1001,SUBSTITUTE(SUBSTITUTE(SUBSTITUTE(L451,"~","~~"),"*","~*"),"?","~?")))</x:f>
      </x:c>
      <x:c r="I451" s="13" t="str">
        <x:f>IF(OR(H451&lt;&gt;1,G451&lt;&gt;1),"",SUMIFS('App Data'!$E$2:$E$1001,'App Data'!$L$2:$L$1001,SUBSTITUTE(SUBSTITUTE(SUBSTITUTE(L451,"~","~~"),"*","~*"),"?","~?")))</x:f>
      </x:c>
      <x:c r="J451" s="13" t="str">
        <x:f>IF(OR(NOT(ISNUMBER(E451)),NOT(ISNUMBER(I451))),"",ROUND(E451-I451,2))</x:f>
      </x:c>
      <x:c r="K451" s="2" t="str">
        <x:f>IF(COUNTA(A451:F451)=0,"",IF(OR(A451="",B451="",C451="",D451="",NOT(ISNUMBER(E451))),"Missing / invalid input",IF(G451&gt;1,"Duplicate key in this source",IF(H451=0,"Missing in other source",IF(H451&gt;1,"Duplicate in other source",IF(SUMIFS('App Data'!$M$2:$M$1001,'App Data'!$L$2:$L$1001,SUBSTITUTE(SUBSTITUTE(SUBSTITUTE(L451,"~","~~"),"*","~*"),"?","~?"))&lt;&gt;1,"Other amount is invalid",IF(J451&lt;&gt;0,"Amount differs","Matched")))))))</x:f>
      </x:c>
      <x:c r="L451" t="str">
        <x:f>IF(COUNTA(A451:F451)=0,"",LEN(A451)&amp;":"&amp;A451&amp;LEN(B451)&amp;":"&amp;B451&amp;LEN(C451)&amp;":"&amp;C451&amp;LEN(D451)&amp;":"&amp;D451)</x:f>
      </x:c>
      <x:c r="M451" t="str">
        <x:f>IF(COUNTA(A451:F451)=0,"",IF(ISNUMBER(E451),1,0))</x:f>
      </x:c>
    </x:row>
    <x:row r="452">
      <x:c r="A452" s="11"/>
      <x:c r="B452" s="11"/>
      <x:c r="C452" s="11"/>
      <x:c r="D452" s="11"/>
      <x:c r="E452" s="12"/>
      <x:c r="F452" s="10"/>
      <x:c r="G452" s="2" t="str">
        <x:f>IF(COUNTA(A452:F452)=0,"",COUNTIFS('External Data'!$L$2:$L$1001,SUBSTITUTE(SUBSTITUTE(SUBSTITUTE(L452,"~","~~"),"*","~*"),"?","~?")))</x:f>
      </x:c>
      <x:c r="H452" s="2" t="str">
        <x:f>IF(COUNTA(A452:F452)=0,"",COUNTIFS('App Data'!$L$2:$L$1001,SUBSTITUTE(SUBSTITUTE(SUBSTITUTE(L452,"~","~~"),"*","~*"),"?","~?")))</x:f>
      </x:c>
      <x:c r="I452" s="13" t="str">
        <x:f>IF(OR(H452&lt;&gt;1,G452&lt;&gt;1),"",SUMIFS('App Data'!$E$2:$E$1001,'App Data'!$L$2:$L$1001,SUBSTITUTE(SUBSTITUTE(SUBSTITUTE(L452,"~","~~"),"*","~*"),"?","~?")))</x:f>
      </x:c>
      <x:c r="J452" s="13" t="str">
        <x:f>IF(OR(NOT(ISNUMBER(E452)),NOT(ISNUMBER(I452))),"",ROUND(E452-I452,2))</x:f>
      </x:c>
      <x:c r="K452" s="2" t="str">
        <x:f>IF(COUNTA(A452:F452)=0,"",IF(OR(A452="",B452="",C452="",D452="",NOT(ISNUMBER(E452))),"Missing / invalid input",IF(G452&gt;1,"Duplicate key in this source",IF(H452=0,"Missing in other source",IF(H452&gt;1,"Duplicate in other source",IF(SUMIFS('App Data'!$M$2:$M$1001,'App Data'!$L$2:$L$1001,SUBSTITUTE(SUBSTITUTE(SUBSTITUTE(L452,"~","~~"),"*","~*"),"?","~?"))&lt;&gt;1,"Other amount is invalid",IF(J452&lt;&gt;0,"Amount differs","Matched")))))))</x:f>
      </x:c>
      <x:c r="L452" t="str">
        <x:f>IF(COUNTA(A452:F452)=0,"",LEN(A452)&amp;":"&amp;A452&amp;LEN(B452)&amp;":"&amp;B452&amp;LEN(C452)&amp;":"&amp;C452&amp;LEN(D452)&amp;":"&amp;D452)</x:f>
      </x:c>
      <x:c r="M452" t="str">
        <x:f>IF(COUNTA(A452:F452)=0,"",IF(ISNUMBER(E452),1,0))</x:f>
      </x:c>
    </x:row>
    <x:row r="453">
      <x:c r="A453" s="11"/>
      <x:c r="B453" s="11"/>
      <x:c r="C453" s="11"/>
      <x:c r="D453" s="11"/>
      <x:c r="E453" s="12"/>
      <x:c r="F453" s="10"/>
      <x:c r="G453" s="2" t="str">
        <x:f>IF(COUNTA(A453:F453)=0,"",COUNTIFS('External Data'!$L$2:$L$1001,SUBSTITUTE(SUBSTITUTE(SUBSTITUTE(L453,"~","~~"),"*","~*"),"?","~?")))</x:f>
      </x:c>
      <x:c r="H453" s="2" t="str">
        <x:f>IF(COUNTA(A453:F453)=0,"",COUNTIFS('App Data'!$L$2:$L$1001,SUBSTITUTE(SUBSTITUTE(SUBSTITUTE(L453,"~","~~"),"*","~*"),"?","~?")))</x:f>
      </x:c>
      <x:c r="I453" s="13" t="str">
        <x:f>IF(OR(H453&lt;&gt;1,G453&lt;&gt;1),"",SUMIFS('App Data'!$E$2:$E$1001,'App Data'!$L$2:$L$1001,SUBSTITUTE(SUBSTITUTE(SUBSTITUTE(L453,"~","~~"),"*","~*"),"?","~?")))</x:f>
      </x:c>
      <x:c r="J453" s="13" t="str">
        <x:f>IF(OR(NOT(ISNUMBER(E453)),NOT(ISNUMBER(I453))),"",ROUND(E453-I453,2))</x:f>
      </x:c>
      <x:c r="K453" s="2" t="str">
        <x:f>IF(COUNTA(A453:F453)=0,"",IF(OR(A453="",B453="",C453="",D453="",NOT(ISNUMBER(E453))),"Missing / invalid input",IF(G453&gt;1,"Duplicate key in this source",IF(H453=0,"Missing in other source",IF(H453&gt;1,"Duplicate in other source",IF(SUMIFS('App Data'!$M$2:$M$1001,'App Data'!$L$2:$L$1001,SUBSTITUTE(SUBSTITUTE(SUBSTITUTE(L453,"~","~~"),"*","~*"),"?","~?"))&lt;&gt;1,"Other amount is invalid",IF(J453&lt;&gt;0,"Amount differs","Matched")))))))</x:f>
      </x:c>
      <x:c r="L453" t="str">
        <x:f>IF(COUNTA(A453:F453)=0,"",LEN(A453)&amp;":"&amp;A453&amp;LEN(B453)&amp;":"&amp;B453&amp;LEN(C453)&amp;":"&amp;C453&amp;LEN(D453)&amp;":"&amp;D453)</x:f>
      </x:c>
      <x:c r="M453" t="str">
        <x:f>IF(COUNTA(A453:F453)=0,"",IF(ISNUMBER(E453),1,0))</x:f>
      </x:c>
    </x:row>
    <x:row r="454">
      <x:c r="A454" s="11"/>
      <x:c r="B454" s="11"/>
      <x:c r="C454" s="11"/>
      <x:c r="D454" s="11"/>
      <x:c r="E454" s="12"/>
      <x:c r="F454" s="10"/>
      <x:c r="G454" s="2" t="str">
        <x:f>IF(COUNTA(A454:F454)=0,"",COUNTIFS('External Data'!$L$2:$L$1001,SUBSTITUTE(SUBSTITUTE(SUBSTITUTE(L454,"~","~~"),"*","~*"),"?","~?")))</x:f>
      </x:c>
      <x:c r="H454" s="2" t="str">
        <x:f>IF(COUNTA(A454:F454)=0,"",COUNTIFS('App Data'!$L$2:$L$1001,SUBSTITUTE(SUBSTITUTE(SUBSTITUTE(L454,"~","~~"),"*","~*"),"?","~?")))</x:f>
      </x:c>
      <x:c r="I454" s="13" t="str">
        <x:f>IF(OR(H454&lt;&gt;1,G454&lt;&gt;1),"",SUMIFS('App Data'!$E$2:$E$1001,'App Data'!$L$2:$L$1001,SUBSTITUTE(SUBSTITUTE(SUBSTITUTE(L454,"~","~~"),"*","~*"),"?","~?")))</x:f>
      </x:c>
      <x:c r="J454" s="13" t="str">
        <x:f>IF(OR(NOT(ISNUMBER(E454)),NOT(ISNUMBER(I454))),"",ROUND(E454-I454,2))</x:f>
      </x:c>
      <x:c r="K454" s="2" t="str">
        <x:f>IF(COUNTA(A454:F454)=0,"",IF(OR(A454="",B454="",C454="",D454="",NOT(ISNUMBER(E454))),"Missing / invalid input",IF(G454&gt;1,"Duplicate key in this source",IF(H454=0,"Missing in other source",IF(H454&gt;1,"Duplicate in other source",IF(SUMIFS('App Data'!$M$2:$M$1001,'App Data'!$L$2:$L$1001,SUBSTITUTE(SUBSTITUTE(SUBSTITUTE(L454,"~","~~"),"*","~*"),"?","~?"))&lt;&gt;1,"Other amount is invalid",IF(J454&lt;&gt;0,"Amount differs","Matched")))))))</x:f>
      </x:c>
      <x:c r="L454" t="str">
        <x:f>IF(COUNTA(A454:F454)=0,"",LEN(A454)&amp;":"&amp;A454&amp;LEN(B454)&amp;":"&amp;B454&amp;LEN(C454)&amp;":"&amp;C454&amp;LEN(D454)&amp;":"&amp;D454)</x:f>
      </x:c>
      <x:c r="M454" t="str">
        <x:f>IF(COUNTA(A454:F454)=0,"",IF(ISNUMBER(E454),1,0))</x:f>
      </x:c>
    </x:row>
    <x:row r="455">
      <x:c r="A455" s="11"/>
      <x:c r="B455" s="11"/>
      <x:c r="C455" s="11"/>
      <x:c r="D455" s="11"/>
      <x:c r="E455" s="12"/>
      <x:c r="F455" s="10"/>
      <x:c r="G455" s="2" t="str">
        <x:f>IF(COUNTA(A455:F455)=0,"",COUNTIFS('External Data'!$L$2:$L$1001,SUBSTITUTE(SUBSTITUTE(SUBSTITUTE(L455,"~","~~"),"*","~*"),"?","~?")))</x:f>
      </x:c>
      <x:c r="H455" s="2" t="str">
        <x:f>IF(COUNTA(A455:F455)=0,"",COUNTIFS('App Data'!$L$2:$L$1001,SUBSTITUTE(SUBSTITUTE(SUBSTITUTE(L455,"~","~~"),"*","~*"),"?","~?")))</x:f>
      </x:c>
      <x:c r="I455" s="13" t="str">
        <x:f>IF(OR(H455&lt;&gt;1,G455&lt;&gt;1),"",SUMIFS('App Data'!$E$2:$E$1001,'App Data'!$L$2:$L$1001,SUBSTITUTE(SUBSTITUTE(SUBSTITUTE(L455,"~","~~"),"*","~*"),"?","~?")))</x:f>
      </x:c>
      <x:c r="J455" s="13" t="str">
        <x:f>IF(OR(NOT(ISNUMBER(E455)),NOT(ISNUMBER(I455))),"",ROUND(E455-I455,2))</x:f>
      </x:c>
      <x:c r="K455" s="2" t="str">
        <x:f>IF(COUNTA(A455:F455)=0,"",IF(OR(A455="",B455="",C455="",D455="",NOT(ISNUMBER(E455))),"Missing / invalid input",IF(G455&gt;1,"Duplicate key in this source",IF(H455=0,"Missing in other source",IF(H455&gt;1,"Duplicate in other source",IF(SUMIFS('App Data'!$M$2:$M$1001,'App Data'!$L$2:$L$1001,SUBSTITUTE(SUBSTITUTE(SUBSTITUTE(L455,"~","~~"),"*","~*"),"?","~?"))&lt;&gt;1,"Other amount is invalid",IF(J455&lt;&gt;0,"Amount differs","Matched")))))))</x:f>
      </x:c>
      <x:c r="L455" t="str">
        <x:f>IF(COUNTA(A455:F455)=0,"",LEN(A455)&amp;":"&amp;A455&amp;LEN(B455)&amp;":"&amp;B455&amp;LEN(C455)&amp;":"&amp;C455&amp;LEN(D455)&amp;":"&amp;D455)</x:f>
      </x:c>
      <x:c r="M455" t="str">
        <x:f>IF(COUNTA(A455:F455)=0,"",IF(ISNUMBER(E455),1,0))</x:f>
      </x:c>
    </x:row>
    <x:row r="456">
      <x:c r="A456" s="11"/>
      <x:c r="B456" s="11"/>
      <x:c r="C456" s="11"/>
      <x:c r="D456" s="11"/>
      <x:c r="E456" s="12"/>
      <x:c r="F456" s="10"/>
      <x:c r="G456" s="2" t="str">
        <x:f>IF(COUNTA(A456:F456)=0,"",COUNTIFS('External Data'!$L$2:$L$1001,SUBSTITUTE(SUBSTITUTE(SUBSTITUTE(L456,"~","~~"),"*","~*"),"?","~?")))</x:f>
      </x:c>
      <x:c r="H456" s="2" t="str">
        <x:f>IF(COUNTA(A456:F456)=0,"",COUNTIFS('App Data'!$L$2:$L$1001,SUBSTITUTE(SUBSTITUTE(SUBSTITUTE(L456,"~","~~"),"*","~*"),"?","~?")))</x:f>
      </x:c>
      <x:c r="I456" s="13" t="str">
        <x:f>IF(OR(H456&lt;&gt;1,G456&lt;&gt;1),"",SUMIFS('App Data'!$E$2:$E$1001,'App Data'!$L$2:$L$1001,SUBSTITUTE(SUBSTITUTE(SUBSTITUTE(L456,"~","~~"),"*","~*"),"?","~?")))</x:f>
      </x:c>
      <x:c r="J456" s="13" t="str">
        <x:f>IF(OR(NOT(ISNUMBER(E456)),NOT(ISNUMBER(I456))),"",ROUND(E456-I456,2))</x:f>
      </x:c>
      <x:c r="K456" s="2" t="str">
        <x:f>IF(COUNTA(A456:F456)=0,"",IF(OR(A456="",B456="",C456="",D456="",NOT(ISNUMBER(E456))),"Missing / invalid input",IF(G456&gt;1,"Duplicate key in this source",IF(H456=0,"Missing in other source",IF(H456&gt;1,"Duplicate in other source",IF(SUMIFS('App Data'!$M$2:$M$1001,'App Data'!$L$2:$L$1001,SUBSTITUTE(SUBSTITUTE(SUBSTITUTE(L456,"~","~~"),"*","~*"),"?","~?"))&lt;&gt;1,"Other amount is invalid",IF(J456&lt;&gt;0,"Amount differs","Matched")))))))</x:f>
      </x:c>
      <x:c r="L456" t="str">
        <x:f>IF(COUNTA(A456:F456)=0,"",LEN(A456)&amp;":"&amp;A456&amp;LEN(B456)&amp;":"&amp;B456&amp;LEN(C456)&amp;":"&amp;C456&amp;LEN(D456)&amp;":"&amp;D456)</x:f>
      </x:c>
      <x:c r="M456" t="str">
        <x:f>IF(COUNTA(A456:F456)=0,"",IF(ISNUMBER(E456),1,0))</x:f>
      </x:c>
    </x:row>
    <x:row r="457">
      <x:c r="A457" s="11"/>
      <x:c r="B457" s="11"/>
      <x:c r="C457" s="11"/>
      <x:c r="D457" s="11"/>
      <x:c r="E457" s="12"/>
      <x:c r="F457" s="10"/>
      <x:c r="G457" s="2" t="str">
        <x:f>IF(COUNTA(A457:F457)=0,"",COUNTIFS('External Data'!$L$2:$L$1001,SUBSTITUTE(SUBSTITUTE(SUBSTITUTE(L457,"~","~~"),"*","~*"),"?","~?")))</x:f>
      </x:c>
      <x:c r="H457" s="2" t="str">
        <x:f>IF(COUNTA(A457:F457)=0,"",COUNTIFS('App Data'!$L$2:$L$1001,SUBSTITUTE(SUBSTITUTE(SUBSTITUTE(L457,"~","~~"),"*","~*"),"?","~?")))</x:f>
      </x:c>
      <x:c r="I457" s="13" t="str">
        <x:f>IF(OR(H457&lt;&gt;1,G457&lt;&gt;1),"",SUMIFS('App Data'!$E$2:$E$1001,'App Data'!$L$2:$L$1001,SUBSTITUTE(SUBSTITUTE(SUBSTITUTE(L457,"~","~~"),"*","~*"),"?","~?")))</x:f>
      </x:c>
      <x:c r="J457" s="13" t="str">
        <x:f>IF(OR(NOT(ISNUMBER(E457)),NOT(ISNUMBER(I457))),"",ROUND(E457-I457,2))</x:f>
      </x:c>
      <x:c r="K457" s="2" t="str">
        <x:f>IF(COUNTA(A457:F457)=0,"",IF(OR(A457="",B457="",C457="",D457="",NOT(ISNUMBER(E457))),"Missing / invalid input",IF(G457&gt;1,"Duplicate key in this source",IF(H457=0,"Missing in other source",IF(H457&gt;1,"Duplicate in other source",IF(SUMIFS('App Data'!$M$2:$M$1001,'App Data'!$L$2:$L$1001,SUBSTITUTE(SUBSTITUTE(SUBSTITUTE(L457,"~","~~"),"*","~*"),"?","~?"))&lt;&gt;1,"Other amount is invalid",IF(J457&lt;&gt;0,"Amount differs","Matched")))))))</x:f>
      </x:c>
      <x:c r="L457" t="str">
        <x:f>IF(COUNTA(A457:F457)=0,"",LEN(A457)&amp;":"&amp;A457&amp;LEN(B457)&amp;":"&amp;B457&amp;LEN(C457)&amp;":"&amp;C457&amp;LEN(D457)&amp;":"&amp;D457)</x:f>
      </x:c>
      <x:c r="M457" t="str">
        <x:f>IF(COUNTA(A457:F457)=0,"",IF(ISNUMBER(E457),1,0))</x:f>
      </x:c>
    </x:row>
    <x:row r="458">
      <x:c r="A458" s="11"/>
      <x:c r="B458" s="11"/>
      <x:c r="C458" s="11"/>
      <x:c r="D458" s="11"/>
      <x:c r="E458" s="12"/>
      <x:c r="F458" s="10"/>
      <x:c r="G458" s="2" t="str">
        <x:f>IF(COUNTA(A458:F458)=0,"",COUNTIFS('External Data'!$L$2:$L$1001,SUBSTITUTE(SUBSTITUTE(SUBSTITUTE(L458,"~","~~"),"*","~*"),"?","~?")))</x:f>
      </x:c>
      <x:c r="H458" s="2" t="str">
        <x:f>IF(COUNTA(A458:F458)=0,"",COUNTIFS('App Data'!$L$2:$L$1001,SUBSTITUTE(SUBSTITUTE(SUBSTITUTE(L458,"~","~~"),"*","~*"),"?","~?")))</x:f>
      </x:c>
      <x:c r="I458" s="13" t="str">
        <x:f>IF(OR(H458&lt;&gt;1,G458&lt;&gt;1),"",SUMIFS('App Data'!$E$2:$E$1001,'App Data'!$L$2:$L$1001,SUBSTITUTE(SUBSTITUTE(SUBSTITUTE(L458,"~","~~"),"*","~*"),"?","~?")))</x:f>
      </x:c>
      <x:c r="J458" s="13" t="str">
        <x:f>IF(OR(NOT(ISNUMBER(E458)),NOT(ISNUMBER(I458))),"",ROUND(E458-I458,2))</x:f>
      </x:c>
      <x:c r="K458" s="2" t="str">
        <x:f>IF(COUNTA(A458:F458)=0,"",IF(OR(A458="",B458="",C458="",D458="",NOT(ISNUMBER(E458))),"Missing / invalid input",IF(G458&gt;1,"Duplicate key in this source",IF(H458=0,"Missing in other source",IF(H458&gt;1,"Duplicate in other source",IF(SUMIFS('App Data'!$M$2:$M$1001,'App Data'!$L$2:$L$1001,SUBSTITUTE(SUBSTITUTE(SUBSTITUTE(L458,"~","~~"),"*","~*"),"?","~?"))&lt;&gt;1,"Other amount is invalid",IF(J458&lt;&gt;0,"Amount differs","Matched")))))))</x:f>
      </x:c>
      <x:c r="L458" t="str">
        <x:f>IF(COUNTA(A458:F458)=0,"",LEN(A458)&amp;":"&amp;A458&amp;LEN(B458)&amp;":"&amp;B458&amp;LEN(C458)&amp;":"&amp;C458&amp;LEN(D458)&amp;":"&amp;D458)</x:f>
      </x:c>
      <x:c r="M458" t="str">
        <x:f>IF(COUNTA(A458:F458)=0,"",IF(ISNUMBER(E458),1,0))</x:f>
      </x:c>
    </x:row>
    <x:row r="459">
      <x:c r="A459" s="11"/>
      <x:c r="B459" s="11"/>
      <x:c r="C459" s="11"/>
      <x:c r="D459" s="11"/>
      <x:c r="E459" s="12"/>
      <x:c r="F459" s="10"/>
      <x:c r="G459" s="2" t="str">
        <x:f>IF(COUNTA(A459:F459)=0,"",COUNTIFS('External Data'!$L$2:$L$1001,SUBSTITUTE(SUBSTITUTE(SUBSTITUTE(L459,"~","~~"),"*","~*"),"?","~?")))</x:f>
      </x:c>
      <x:c r="H459" s="2" t="str">
        <x:f>IF(COUNTA(A459:F459)=0,"",COUNTIFS('App Data'!$L$2:$L$1001,SUBSTITUTE(SUBSTITUTE(SUBSTITUTE(L459,"~","~~"),"*","~*"),"?","~?")))</x:f>
      </x:c>
      <x:c r="I459" s="13" t="str">
        <x:f>IF(OR(H459&lt;&gt;1,G459&lt;&gt;1),"",SUMIFS('App Data'!$E$2:$E$1001,'App Data'!$L$2:$L$1001,SUBSTITUTE(SUBSTITUTE(SUBSTITUTE(L459,"~","~~"),"*","~*"),"?","~?")))</x:f>
      </x:c>
      <x:c r="J459" s="13" t="str">
        <x:f>IF(OR(NOT(ISNUMBER(E459)),NOT(ISNUMBER(I459))),"",ROUND(E459-I459,2))</x:f>
      </x:c>
      <x:c r="K459" s="2" t="str">
        <x:f>IF(COUNTA(A459:F459)=0,"",IF(OR(A459="",B459="",C459="",D459="",NOT(ISNUMBER(E459))),"Missing / invalid input",IF(G459&gt;1,"Duplicate key in this source",IF(H459=0,"Missing in other source",IF(H459&gt;1,"Duplicate in other source",IF(SUMIFS('App Data'!$M$2:$M$1001,'App Data'!$L$2:$L$1001,SUBSTITUTE(SUBSTITUTE(SUBSTITUTE(L459,"~","~~"),"*","~*"),"?","~?"))&lt;&gt;1,"Other amount is invalid",IF(J459&lt;&gt;0,"Amount differs","Matched")))))))</x:f>
      </x:c>
      <x:c r="L459" t="str">
        <x:f>IF(COUNTA(A459:F459)=0,"",LEN(A459)&amp;":"&amp;A459&amp;LEN(B459)&amp;":"&amp;B459&amp;LEN(C459)&amp;":"&amp;C459&amp;LEN(D459)&amp;":"&amp;D459)</x:f>
      </x:c>
      <x:c r="M459" t="str">
        <x:f>IF(COUNTA(A459:F459)=0,"",IF(ISNUMBER(E459),1,0))</x:f>
      </x:c>
    </x:row>
    <x:row r="460">
      <x:c r="A460" s="11"/>
      <x:c r="B460" s="11"/>
      <x:c r="C460" s="11"/>
      <x:c r="D460" s="11"/>
      <x:c r="E460" s="12"/>
      <x:c r="F460" s="10"/>
      <x:c r="G460" s="2" t="str">
        <x:f>IF(COUNTA(A460:F460)=0,"",COUNTIFS('External Data'!$L$2:$L$1001,SUBSTITUTE(SUBSTITUTE(SUBSTITUTE(L460,"~","~~"),"*","~*"),"?","~?")))</x:f>
      </x:c>
      <x:c r="H460" s="2" t="str">
        <x:f>IF(COUNTA(A460:F460)=0,"",COUNTIFS('App Data'!$L$2:$L$1001,SUBSTITUTE(SUBSTITUTE(SUBSTITUTE(L460,"~","~~"),"*","~*"),"?","~?")))</x:f>
      </x:c>
      <x:c r="I460" s="13" t="str">
        <x:f>IF(OR(H460&lt;&gt;1,G460&lt;&gt;1),"",SUMIFS('App Data'!$E$2:$E$1001,'App Data'!$L$2:$L$1001,SUBSTITUTE(SUBSTITUTE(SUBSTITUTE(L460,"~","~~"),"*","~*"),"?","~?")))</x:f>
      </x:c>
      <x:c r="J460" s="13" t="str">
        <x:f>IF(OR(NOT(ISNUMBER(E460)),NOT(ISNUMBER(I460))),"",ROUND(E460-I460,2))</x:f>
      </x:c>
      <x:c r="K460" s="2" t="str">
        <x:f>IF(COUNTA(A460:F460)=0,"",IF(OR(A460="",B460="",C460="",D460="",NOT(ISNUMBER(E460))),"Missing / invalid input",IF(G460&gt;1,"Duplicate key in this source",IF(H460=0,"Missing in other source",IF(H460&gt;1,"Duplicate in other source",IF(SUMIFS('App Data'!$M$2:$M$1001,'App Data'!$L$2:$L$1001,SUBSTITUTE(SUBSTITUTE(SUBSTITUTE(L460,"~","~~"),"*","~*"),"?","~?"))&lt;&gt;1,"Other amount is invalid",IF(J460&lt;&gt;0,"Amount differs","Matched")))))))</x:f>
      </x:c>
      <x:c r="L460" t="str">
        <x:f>IF(COUNTA(A460:F460)=0,"",LEN(A460)&amp;":"&amp;A460&amp;LEN(B460)&amp;":"&amp;B460&amp;LEN(C460)&amp;":"&amp;C460&amp;LEN(D460)&amp;":"&amp;D460)</x:f>
      </x:c>
      <x:c r="M460" t="str">
        <x:f>IF(COUNTA(A460:F460)=0,"",IF(ISNUMBER(E460),1,0))</x:f>
      </x:c>
    </x:row>
    <x:row r="461">
      <x:c r="A461" s="11"/>
      <x:c r="B461" s="11"/>
      <x:c r="C461" s="11"/>
      <x:c r="D461" s="11"/>
      <x:c r="E461" s="12"/>
      <x:c r="F461" s="10"/>
      <x:c r="G461" s="2" t="str">
        <x:f>IF(COUNTA(A461:F461)=0,"",COUNTIFS('External Data'!$L$2:$L$1001,SUBSTITUTE(SUBSTITUTE(SUBSTITUTE(L461,"~","~~"),"*","~*"),"?","~?")))</x:f>
      </x:c>
      <x:c r="H461" s="2" t="str">
        <x:f>IF(COUNTA(A461:F461)=0,"",COUNTIFS('App Data'!$L$2:$L$1001,SUBSTITUTE(SUBSTITUTE(SUBSTITUTE(L461,"~","~~"),"*","~*"),"?","~?")))</x:f>
      </x:c>
      <x:c r="I461" s="13" t="str">
        <x:f>IF(OR(H461&lt;&gt;1,G461&lt;&gt;1),"",SUMIFS('App Data'!$E$2:$E$1001,'App Data'!$L$2:$L$1001,SUBSTITUTE(SUBSTITUTE(SUBSTITUTE(L461,"~","~~"),"*","~*"),"?","~?")))</x:f>
      </x:c>
      <x:c r="J461" s="13" t="str">
        <x:f>IF(OR(NOT(ISNUMBER(E461)),NOT(ISNUMBER(I461))),"",ROUND(E461-I461,2))</x:f>
      </x:c>
      <x:c r="K461" s="2" t="str">
        <x:f>IF(COUNTA(A461:F461)=0,"",IF(OR(A461="",B461="",C461="",D461="",NOT(ISNUMBER(E461))),"Missing / invalid input",IF(G461&gt;1,"Duplicate key in this source",IF(H461=0,"Missing in other source",IF(H461&gt;1,"Duplicate in other source",IF(SUMIFS('App Data'!$M$2:$M$1001,'App Data'!$L$2:$L$1001,SUBSTITUTE(SUBSTITUTE(SUBSTITUTE(L461,"~","~~"),"*","~*"),"?","~?"))&lt;&gt;1,"Other amount is invalid",IF(J461&lt;&gt;0,"Amount differs","Matched")))))))</x:f>
      </x:c>
      <x:c r="L461" t="str">
        <x:f>IF(COUNTA(A461:F461)=0,"",LEN(A461)&amp;":"&amp;A461&amp;LEN(B461)&amp;":"&amp;B461&amp;LEN(C461)&amp;":"&amp;C461&amp;LEN(D461)&amp;":"&amp;D461)</x:f>
      </x:c>
      <x:c r="M461" t="str">
        <x:f>IF(COUNTA(A461:F461)=0,"",IF(ISNUMBER(E461),1,0))</x:f>
      </x:c>
    </x:row>
    <x:row r="462">
      <x:c r="A462" s="11"/>
      <x:c r="B462" s="11"/>
      <x:c r="C462" s="11"/>
      <x:c r="D462" s="11"/>
      <x:c r="E462" s="12"/>
      <x:c r="F462" s="10"/>
      <x:c r="G462" s="2" t="str">
        <x:f>IF(COUNTA(A462:F462)=0,"",COUNTIFS('External Data'!$L$2:$L$1001,SUBSTITUTE(SUBSTITUTE(SUBSTITUTE(L462,"~","~~"),"*","~*"),"?","~?")))</x:f>
      </x:c>
      <x:c r="H462" s="2" t="str">
        <x:f>IF(COUNTA(A462:F462)=0,"",COUNTIFS('App Data'!$L$2:$L$1001,SUBSTITUTE(SUBSTITUTE(SUBSTITUTE(L462,"~","~~"),"*","~*"),"?","~?")))</x:f>
      </x:c>
      <x:c r="I462" s="13" t="str">
        <x:f>IF(OR(H462&lt;&gt;1,G462&lt;&gt;1),"",SUMIFS('App Data'!$E$2:$E$1001,'App Data'!$L$2:$L$1001,SUBSTITUTE(SUBSTITUTE(SUBSTITUTE(L462,"~","~~"),"*","~*"),"?","~?")))</x:f>
      </x:c>
      <x:c r="J462" s="13" t="str">
        <x:f>IF(OR(NOT(ISNUMBER(E462)),NOT(ISNUMBER(I462))),"",ROUND(E462-I462,2))</x:f>
      </x:c>
      <x:c r="K462" s="2" t="str">
        <x:f>IF(COUNTA(A462:F462)=0,"",IF(OR(A462="",B462="",C462="",D462="",NOT(ISNUMBER(E462))),"Missing / invalid input",IF(G462&gt;1,"Duplicate key in this source",IF(H462=0,"Missing in other source",IF(H462&gt;1,"Duplicate in other source",IF(SUMIFS('App Data'!$M$2:$M$1001,'App Data'!$L$2:$L$1001,SUBSTITUTE(SUBSTITUTE(SUBSTITUTE(L462,"~","~~"),"*","~*"),"?","~?"))&lt;&gt;1,"Other amount is invalid",IF(J462&lt;&gt;0,"Amount differs","Matched")))))))</x:f>
      </x:c>
      <x:c r="L462" t="str">
        <x:f>IF(COUNTA(A462:F462)=0,"",LEN(A462)&amp;":"&amp;A462&amp;LEN(B462)&amp;":"&amp;B462&amp;LEN(C462)&amp;":"&amp;C462&amp;LEN(D462)&amp;":"&amp;D462)</x:f>
      </x:c>
      <x:c r="M462" t="str">
        <x:f>IF(COUNTA(A462:F462)=0,"",IF(ISNUMBER(E462),1,0))</x:f>
      </x:c>
    </x:row>
    <x:row r="463">
      <x:c r="A463" s="11"/>
      <x:c r="B463" s="11"/>
      <x:c r="C463" s="11"/>
      <x:c r="D463" s="11"/>
      <x:c r="E463" s="12"/>
      <x:c r="F463" s="10"/>
      <x:c r="G463" s="2" t="str">
        <x:f>IF(COUNTA(A463:F463)=0,"",COUNTIFS('External Data'!$L$2:$L$1001,SUBSTITUTE(SUBSTITUTE(SUBSTITUTE(L463,"~","~~"),"*","~*"),"?","~?")))</x:f>
      </x:c>
      <x:c r="H463" s="2" t="str">
        <x:f>IF(COUNTA(A463:F463)=0,"",COUNTIFS('App Data'!$L$2:$L$1001,SUBSTITUTE(SUBSTITUTE(SUBSTITUTE(L463,"~","~~"),"*","~*"),"?","~?")))</x:f>
      </x:c>
      <x:c r="I463" s="13" t="str">
        <x:f>IF(OR(H463&lt;&gt;1,G463&lt;&gt;1),"",SUMIFS('App Data'!$E$2:$E$1001,'App Data'!$L$2:$L$1001,SUBSTITUTE(SUBSTITUTE(SUBSTITUTE(L463,"~","~~"),"*","~*"),"?","~?")))</x:f>
      </x:c>
      <x:c r="J463" s="13" t="str">
        <x:f>IF(OR(NOT(ISNUMBER(E463)),NOT(ISNUMBER(I463))),"",ROUND(E463-I463,2))</x:f>
      </x:c>
      <x:c r="K463" s="2" t="str">
        <x:f>IF(COUNTA(A463:F463)=0,"",IF(OR(A463="",B463="",C463="",D463="",NOT(ISNUMBER(E463))),"Missing / invalid input",IF(G463&gt;1,"Duplicate key in this source",IF(H463=0,"Missing in other source",IF(H463&gt;1,"Duplicate in other source",IF(SUMIFS('App Data'!$M$2:$M$1001,'App Data'!$L$2:$L$1001,SUBSTITUTE(SUBSTITUTE(SUBSTITUTE(L463,"~","~~"),"*","~*"),"?","~?"))&lt;&gt;1,"Other amount is invalid",IF(J463&lt;&gt;0,"Amount differs","Matched")))))))</x:f>
      </x:c>
      <x:c r="L463" t="str">
        <x:f>IF(COUNTA(A463:F463)=0,"",LEN(A463)&amp;":"&amp;A463&amp;LEN(B463)&amp;":"&amp;B463&amp;LEN(C463)&amp;":"&amp;C463&amp;LEN(D463)&amp;":"&amp;D463)</x:f>
      </x:c>
      <x:c r="M463" t="str">
        <x:f>IF(COUNTA(A463:F463)=0,"",IF(ISNUMBER(E463),1,0))</x:f>
      </x:c>
    </x:row>
    <x:row r="464">
      <x:c r="A464" s="11"/>
      <x:c r="B464" s="11"/>
      <x:c r="C464" s="11"/>
      <x:c r="D464" s="11"/>
      <x:c r="E464" s="12"/>
      <x:c r="F464" s="10"/>
      <x:c r="G464" s="2" t="str">
        <x:f>IF(COUNTA(A464:F464)=0,"",COUNTIFS('External Data'!$L$2:$L$1001,SUBSTITUTE(SUBSTITUTE(SUBSTITUTE(L464,"~","~~"),"*","~*"),"?","~?")))</x:f>
      </x:c>
      <x:c r="H464" s="2" t="str">
        <x:f>IF(COUNTA(A464:F464)=0,"",COUNTIFS('App Data'!$L$2:$L$1001,SUBSTITUTE(SUBSTITUTE(SUBSTITUTE(L464,"~","~~"),"*","~*"),"?","~?")))</x:f>
      </x:c>
      <x:c r="I464" s="13" t="str">
        <x:f>IF(OR(H464&lt;&gt;1,G464&lt;&gt;1),"",SUMIFS('App Data'!$E$2:$E$1001,'App Data'!$L$2:$L$1001,SUBSTITUTE(SUBSTITUTE(SUBSTITUTE(L464,"~","~~"),"*","~*"),"?","~?")))</x:f>
      </x:c>
      <x:c r="J464" s="13" t="str">
        <x:f>IF(OR(NOT(ISNUMBER(E464)),NOT(ISNUMBER(I464))),"",ROUND(E464-I464,2))</x:f>
      </x:c>
      <x:c r="K464" s="2" t="str">
        <x:f>IF(COUNTA(A464:F464)=0,"",IF(OR(A464="",B464="",C464="",D464="",NOT(ISNUMBER(E464))),"Missing / invalid input",IF(G464&gt;1,"Duplicate key in this source",IF(H464=0,"Missing in other source",IF(H464&gt;1,"Duplicate in other source",IF(SUMIFS('App Data'!$M$2:$M$1001,'App Data'!$L$2:$L$1001,SUBSTITUTE(SUBSTITUTE(SUBSTITUTE(L464,"~","~~"),"*","~*"),"?","~?"))&lt;&gt;1,"Other amount is invalid",IF(J464&lt;&gt;0,"Amount differs","Matched")))))))</x:f>
      </x:c>
      <x:c r="L464" t="str">
        <x:f>IF(COUNTA(A464:F464)=0,"",LEN(A464)&amp;":"&amp;A464&amp;LEN(B464)&amp;":"&amp;B464&amp;LEN(C464)&amp;":"&amp;C464&amp;LEN(D464)&amp;":"&amp;D464)</x:f>
      </x:c>
      <x:c r="M464" t="str">
        <x:f>IF(COUNTA(A464:F464)=0,"",IF(ISNUMBER(E464),1,0))</x:f>
      </x:c>
    </x:row>
    <x:row r="465">
      <x:c r="A465" s="11"/>
      <x:c r="B465" s="11"/>
      <x:c r="C465" s="11"/>
      <x:c r="D465" s="11"/>
      <x:c r="E465" s="12"/>
      <x:c r="F465" s="10"/>
      <x:c r="G465" s="2" t="str">
        <x:f>IF(COUNTA(A465:F465)=0,"",COUNTIFS('External Data'!$L$2:$L$1001,SUBSTITUTE(SUBSTITUTE(SUBSTITUTE(L465,"~","~~"),"*","~*"),"?","~?")))</x:f>
      </x:c>
      <x:c r="H465" s="2" t="str">
        <x:f>IF(COUNTA(A465:F465)=0,"",COUNTIFS('App Data'!$L$2:$L$1001,SUBSTITUTE(SUBSTITUTE(SUBSTITUTE(L465,"~","~~"),"*","~*"),"?","~?")))</x:f>
      </x:c>
      <x:c r="I465" s="13" t="str">
        <x:f>IF(OR(H465&lt;&gt;1,G465&lt;&gt;1),"",SUMIFS('App Data'!$E$2:$E$1001,'App Data'!$L$2:$L$1001,SUBSTITUTE(SUBSTITUTE(SUBSTITUTE(L465,"~","~~"),"*","~*"),"?","~?")))</x:f>
      </x:c>
      <x:c r="J465" s="13" t="str">
        <x:f>IF(OR(NOT(ISNUMBER(E465)),NOT(ISNUMBER(I465))),"",ROUND(E465-I465,2))</x:f>
      </x:c>
      <x:c r="K465" s="2" t="str">
        <x:f>IF(COUNTA(A465:F465)=0,"",IF(OR(A465="",B465="",C465="",D465="",NOT(ISNUMBER(E465))),"Missing / invalid input",IF(G465&gt;1,"Duplicate key in this source",IF(H465=0,"Missing in other source",IF(H465&gt;1,"Duplicate in other source",IF(SUMIFS('App Data'!$M$2:$M$1001,'App Data'!$L$2:$L$1001,SUBSTITUTE(SUBSTITUTE(SUBSTITUTE(L465,"~","~~"),"*","~*"),"?","~?"))&lt;&gt;1,"Other amount is invalid",IF(J465&lt;&gt;0,"Amount differs","Matched")))))))</x:f>
      </x:c>
      <x:c r="L465" t="str">
        <x:f>IF(COUNTA(A465:F465)=0,"",LEN(A465)&amp;":"&amp;A465&amp;LEN(B465)&amp;":"&amp;B465&amp;LEN(C465)&amp;":"&amp;C465&amp;LEN(D465)&amp;":"&amp;D465)</x:f>
      </x:c>
      <x:c r="M465" t="str">
        <x:f>IF(COUNTA(A465:F465)=0,"",IF(ISNUMBER(E465),1,0))</x:f>
      </x:c>
    </x:row>
    <x:row r="466">
      <x:c r="A466" s="11"/>
      <x:c r="B466" s="11"/>
      <x:c r="C466" s="11"/>
      <x:c r="D466" s="11"/>
      <x:c r="E466" s="12"/>
      <x:c r="F466" s="10"/>
      <x:c r="G466" s="2" t="str">
        <x:f>IF(COUNTA(A466:F466)=0,"",COUNTIFS('External Data'!$L$2:$L$1001,SUBSTITUTE(SUBSTITUTE(SUBSTITUTE(L466,"~","~~"),"*","~*"),"?","~?")))</x:f>
      </x:c>
      <x:c r="H466" s="2" t="str">
        <x:f>IF(COUNTA(A466:F466)=0,"",COUNTIFS('App Data'!$L$2:$L$1001,SUBSTITUTE(SUBSTITUTE(SUBSTITUTE(L466,"~","~~"),"*","~*"),"?","~?")))</x:f>
      </x:c>
      <x:c r="I466" s="13" t="str">
        <x:f>IF(OR(H466&lt;&gt;1,G466&lt;&gt;1),"",SUMIFS('App Data'!$E$2:$E$1001,'App Data'!$L$2:$L$1001,SUBSTITUTE(SUBSTITUTE(SUBSTITUTE(L466,"~","~~"),"*","~*"),"?","~?")))</x:f>
      </x:c>
      <x:c r="J466" s="13" t="str">
        <x:f>IF(OR(NOT(ISNUMBER(E466)),NOT(ISNUMBER(I466))),"",ROUND(E466-I466,2))</x:f>
      </x:c>
      <x:c r="K466" s="2" t="str">
        <x:f>IF(COUNTA(A466:F466)=0,"",IF(OR(A466="",B466="",C466="",D466="",NOT(ISNUMBER(E466))),"Missing / invalid input",IF(G466&gt;1,"Duplicate key in this source",IF(H466=0,"Missing in other source",IF(H466&gt;1,"Duplicate in other source",IF(SUMIFS('App Data'!$M$2:$M$1001,'App Data'!$L$2:$L$1001,SUBSTITUTE(SUBSTITUTE(SUBSTITUTE(L466,"~","~~"),"*","~*"),"?","~?"))&lt;&gt;1,"Other amount is invalid",IF(J466&lt;&gt;0,"Amount differs","Matched")))))))</x:f>
      </x:c>
      <x:c r="L466" t="str">
        <x:f>IF(COUNTA(A466:F466)=0,"",LEN(A466)&amp;":"&amp;A466&amp;LEN(B466)&amp;":"&amp;B466&amp;LEN(C466)&amp;":"&amp;C466&amp;LEN(D466)&amp;":"&amp;D466)</x:f>
      </x:c>
      <x:c r="M466" t="str">
        <x:f>IF(COUNTA(A466:F466)=0,"",IF(ISNUMBER(E466),1,0))</x:f>
      </x:c>
    </x:row>
    <x:row r="467">
      <x:c r="A467" s="11"/>
      <x:c r="B467" s="11"/>
      <x:c r="C467" s="11"/>
      <x:c r="D467" s="11"/>
      <x:c r="E467" s="12"/>
      <x:c r="F467" s="10"/>
      <x:c r="G467" s="2" t="str">
        <x:f>IF(COUNTA(A467:F467)=0,"",COUNTIFS('External Data'!$L$2:$L$1001,SUBSTITUTE(SUBSTITUTE(SUBSTITUTE(L467,"~","~~"),"*","~*"),"?","~?")))</x:f>
      </x:c>
      <x:c r="H467" s="2" t="str">
        <x:f>IF(COUNTA(A467:F467)=0,"",COUNTIFS('App Data'!$L$2:$L$1001,SUBSTITUTE(SUBSTITUTE(SUBSTITUTE(L467,"~","~~"),"*","~*"),"?","~?")))</x:f>
      </x:c>
      <x:c r="I467" s="13" t="str">
        <x:f>IF(OR(H467&lt;&gt;1,G467&lt;&gt;1),"",SUMIFS('App Data'!$E$2:$E$1001,'App Data'!$L$2:$L$1001,SUBSTITUTE(SUBSTITUTE(SUBSTITUTE(L467,"~","~~"),"*","~*"),"?","~?")))</x:f>
      </x:c>
      <x:c r="J467" s="13" t="str">
        <x:f>IF(OR(NOT(ISNUMBER(E467)),NOT(ISNUMBER(I467))),"",ROUND(E467-I467,2))</x:f>
      </x:c>
      <x:c r="K467" s="2" t="str">
        <x:f>IF(COUNTA(A467:F467)=0,"",IF(OR(A467="",B467="",C467="",D467="",NOT(ISNUMBER(E467))),"Missing / invalid input",IF(G467&gt;1,"Duplicate key in this source",IF(H467=0,"Missing in other source",IF(H467&gt;1,"Duplicate in other source",IF(SUMIFS('App Data'!$M$2:$M$1001,'App Data'!$L$2:$L$1001,SUBSTITUTE(SUBSTITUTE(SUBSTITUTE(L467,"~","~~"),"*","~*"),"?","~?"))&lt;&gt;1,"Other amount is invalid",IF(J467&lt;&gt;0,"Amount differs","Matched")))))))</x:f>
      </x:c>
      <x:c r="L467" t="str">
        <x:f>IF(COUNTA(A467:F467)=0,"",LEN(A467)&amp;":"&amp;A467&amp;LEN(B467)&amp;":"&amp;B467&amp;LEN(C467)&amp;":"&amp;C467&amp;LEN(D467)&amp;":"&amp;D467)</x:f>
      </x:c>
      <x:c r="M467" t="str">
        <x:f>IF(COUNTA(A467:F467)=0,"",IF(ISNUMBER(E467),1,0))</x:f>
      </x:c>
    </x:row>
    <x:row r="468">
      <x:c r="A468" s="11"/>
      <x:c r="B468" s="11"/>
      <x:c r="C468" s="11"/>
      <x:c r="D468" s="11"/>
      <x:c r="E468" s="12"/>
      <x:c r="F468" s="10"/>
      <x:c r="G468" s="2" t="str">
        <x:f>IF(COUNTA(A468:F468)=0,"",COUNTIFS('External Data'!$L$2:$L$1001,SUBSTITUTE(SUBSTITUTE(SUBSTITUTE(L468,"~","~~"),"*","~*"),"?","~?")))</x:f>
      </x:c>
      <x:c r="H468" s="2" t="str">
        <x:f>IF(COUNTA(A468:F468)=0,"",COUNTIFS('App Data'!$L$2:$L$1001,SUBSTITUTE(SUBSTITUTE(SUBSTITUTE(L468,"~","~~"),"*","~*"),"?","~?")))</x:f>
      </x:c>
      <x:c r="I468" s="13" t="str">
        <x:f>IF(OR(H468&lt;&gt;1,G468&lt;&gt;1),"",SUMIFS('App Data'!$E$2:$E$1001,'App Data'!$L$2:$L$1001,SUBSTITUTE(SUBSTITUTE(SUBSTITUTE(L468,"~","~~"),"*","~*"),"?","~?")))</x:f>
      </x:c>
      <x:c r="J468" s="13" t="str">
        <x:f>IF(OR(NOT(ISNUMBER(E468)),NOT(ISNUMBER(I468))),"",ROUND(E468-I468,2))</x:f>
      </x:c>
      <x:c r="K468" s="2" t="str">
        <x:f>IF(COUNTA(A468:F468)=0,"",IF(OR(A468="",B468="",C468="",D468="",NOT(ISNUMBER(E468))),"Missing / invalid input",IF(G468&gt;1,"Duplicate key in this source",IF(H468=0,"Missing in other source",IF(H468&gt;1,"Duplicate in other source",IF(SUMIFS('App Data'!$M$2:$M$1001,'App Data'!$L$2:$L$1001,SUBSTITUTE(SUBSTITUTE(SUBSTITUTE(L468,"~","~~"),"*","~*"),"?","~?"))&lt;&gt;1,"Other amount is invalid",IF(J468&lt;&gt;0,"Amount differs","Matched")))))))</x:f>
      </x:c>
      <x:c r="L468" t="str">
        <x:f>IF(COUNTA(A468:F468)=0,"",LEN(A468)&amp;":"&amp;A468&amp;LEN(B468)&amp;":"&amp;B468&amp;LEN(C468)&amp;":"&amp;C468&amp;LEN(D468)&amp;":"&amp;D468)</x:f>
      </x:c>
      <x:c r="M468" t="str">
        <x:f>IF(COUNTA(A468:F468)=0,"",IF(ISNUMBER(E468),1,0))</x:f>
      </x:c>
    </x:row>
    <x:row r="469">
      <x:c r="A469" s="11"/>
      <x:c r="B469" s="11"/>
      <x:c r="C469" s="11"/>
      <x:c r="D469" s="11"/>
      <x:c r="E469" s="12"/>
      <x:c r="F469" s="10"/>
      <x:c r="G469" s="2" t="str">
        <x:f>IF(COUNTA(A469:F469)=0,"",COUNTIFS('External Data'!$L$2:$L$1001,SUBSTITUTE(SUBSTITUTE(SUBSTITUTE(L469,"~","~~"),"*","~*"),"?","~?")))</x:f>
      </x:c>
      <x:c r="H469" s="2" t="str">
        <x:f>IF(COUNTA(A469:F469)=0,"",COUNTIFS('App Data'!$L$2:$L$1001,SUBSTITUTE(SUBSTITUTE(SUBSTITUTE(L469,"~","~~"),"*","~*"),"?","~?")))</x:f>
      </x:c>
      <x:c r="I469" s="13" t="str">
        <x:f>IF(OR(H469&lt;&gt;1,G469&lt;&gt;1),"",SUMIFS('App Data'!$E$2:$E$1001,'App Data'!$L$2:$L$1001,SUBSTITUTE(SUBSTITUTE(SUBSTITUTE(L469,"~","~~"),"*","~*"),"?","~?")))</x:f>
      </x:c>
      <x:c r="J469" s="13" t="str">
        <x:f>IF(OR(NOT(ISNUMBER(E469)),NOT(ISNUMBER(I469))),"",ROUND(E469-I469,2))</x:f>
      </x:c>
      <x:c r="K469" s="2" t="str">
        <x:f>IF(COUNTA(A469:F469)=0,"",IF(OR(A469="",B469="",C469="",D469="",NOT(ISNUMBER(E469))),"Missing / invalid input",IF(G469&gt;1,"Duplicate key in this source",IF(H469=0,"Missing in other source",IF(H469&gt;1,"Duplicate in other source",IF(SUMIFS('App Data'!$M$2:$M$1001,'App Data'!$L$2:$L$1001,SUBSTITUTE(SUBSTITUTE(SUBSTITUTE(L469,"~","~~"),"*","~*"),"?","~?"))&lt;&gt;1,"Other amount is invalid",IF(J469&lt;&gt;0,"Amount differs","Matched")))))))</x:f>
      </x:c>
      <x:c r="L469" t="str">
        <x:f>IF(COUNTA(A469:F469)=0,"",LEN(A469)&amp;":"&amp;A469&amp;LEN(B469)&amp;":"&amp;B469&amp;LEN(C469)&amp;":"&amp;C469&amp;LEN(D469)&amp;":"&amp;D469)</x:f>
      </x:c>
      <x:c r="M469" t="str">
        <x:f>IF(COUNTA(A469:F469)=0,"",IF(ISNUMBER(E469),1,0))</x:f>
      </x:c>
    </x:row>
    <x:row r="470">
      <x:c r="A470" s="11"/>
      <x:c r="B470" s="11"/>
      <x:c r="C470" s="11"/>
      <x:c r="D470" s="11"/>
      <x:c r="E470" s="12"/>
      <x:c r="F470" s="10"/>
      <x:c r="G470" s="2" t="str">
        <x:f>IF(COUNTA(A470:F470)=0,"",COUNTIFS('External Data'!$L$2:$L$1001,SUBSTITUTE(SUBSTITUTE(SUBSTITUTE(L470,"~","~~"),"*","~*"),"?","~?")))</x:f>
      </x:c>
      <x:c r="H470" s="2" t="str">
        <x:f>IF(COUNTA(A470:F470)=0,"",COUNTIFS('App Data'!$L$2:$L$1001,SUBSTITUTE(SUBSTITUTE(SUBSTITUTE(L470,"~","~~"),"*","~*"),"?","~?")))</x:f>
      </x:c>
      <x:c r="I470" s="13" t="str">
        <x:f>IF(OR(H470&lt;&gt;1,G470&lt;&gt;1),"",SUMIFS('App Data'!$E$2:$E$1001,'App Data'!$L$2:$L$1001,SUBSTITUTE(SUBSTITUTE(SUBSTITUTE(L470,"~","~~"),"*","~*"),"?","~?")))</x:f>
      </x:c>
      <x:c r="J470" s="13" t="str">
        <x:f>IF(OR(NOT(ISNUMBER(E470)),NOT(ISNUMBER(I470))),"",ROUND(E470-I470,2))</x:f>
      </x:c>
      <x:c r="K470" s="2" t="str">
        <x:f>IF(COUNTA(A470:F470)=0,"",IF(OR(A470="",B470="",C470="",D470="",NOT(ISNUMBER(E470))),"Missing / invalid input",IF(G470&gt;1,"Duplicate key in this source",IF(H470=0,"Missing in other source",IF(H470&gt;1,"Duplicate in other source",IF(SUMIFS('App Data'!$M$2:$M$1001,'App Data'!$L$2:$L$1001,SUBSTITUTE(SUBSTITUTE(SUBSTITUTE(L470,"~","~~"),"*","~*"),"?","~?"))&lt;&gt;1,"Other amount is invalid",IF(J470&lt;&gt;0,"Amount differs","Matched")))))))</x:f>
      </x:c>
      <x:c r="L470" t="str">
        <x:f>IF(COUNTA(A470:F470)=0,"",LEN(A470)&amp;":"&amp;A470&amp;LEN(B470)&amp;":"&amp;B470&amp;LEN(C470)&amp;":"&amp;C470&amp;LEN(D470)&amp;":"&amp;D470)</x:f>
      </x:c>
      <x:c r="M470" t="str">
        <x:f>IF(COUNTA(A470:F470)=0,"",IF(ISNUMBER(E470),1,0))</x:f>
      </x:c>
    </x:row>
    <x:row r="471">
      <x:c r="A471" s="11"/>
      <x:c r="B471" s="11"/>
      <x:c r="C471" s="11"/>
      <x:c r="D471" s="11"/>
      <x:c r="E471" s="12"/>
      <x:c r="F471" s="10"/>
      <x:c r="G471" s="2" t="str">
        <x:f>IF(COUNTA(A471:F471)=0,"",COUNTIFS('External Data'!$L$2:$L$1001,SUBSTITUTE(SUBSTITUTE(SUBSTITUTE(L471,"~","~~"),"*","~*"),"?","~?")))</x:f>
      </x:c>
      <x:c r="H471" s="2" t="str">
        <x:f>IF(COUNTA(A471:F471)=0,"",COUNTIFS('App Data'!$L$2:$L$1001,SUBSTITUTE(SUBSTITUTE(SUBSTITUTE(L471,"~","~~"),"*","~*"),"?","~?")))</x:f>
      </x:c>
      <x:c r="I471" s="13" t="str">
        <x:f>IF(OR(H471&lt;&gt;1,G471&lt;&gt;1),"",SUMIFS('App Data'!$E$2:$E$1001,'App Data'!$L$2:$L$1001,SUBSTITUTE(SUBSTITUTE(SUBSTITUTE(L471,"~","~~"),"*","~*"),"?","~?")))</x:f>
      </x:c>
      <x:c r="J471" s="13" t="str">
        <x:f>IF(OR(NOT(ISNUMBER(E471)),NOT(ISNUMBER(I471))),"",ROUND(E471-I471,2))</x:f>
      </x:c>
      <x:c r="K471" s="2" t="str">
        <x:f>IF(COUNTA(A471:F471)=0,"",IF(OR(A471="",B471="",C471="",D471="",NOT(ISNUMBER(E471))),"Missing / invalid input",IF(G471&gt;1,"Duplicate key in this source",IF(H471=0,"Missing in other source",IF(H471&gt;1,"Duplicate in other source",IF(SUMIFS('App Data'!$M$2:$M$1001,'App Data'!$L$2:$L$1001,SUBSTITUTE(SUBSTITUTE(SUBSTITUTE(L471,"~","~~"),"*","~*"),"?","~?"))&lt;&gt;1,"Other amount is invalid",IF(J471&lt;&gt;0,"Amount differs","Matched")))))))</x:f>
      </x:c>
      <x:c r="L471" t="str">
        <x:f>IF(COUNTA(A471:F471)=0,"",LEN(A471)&amp;":"&amp;A471&amp;LEN(B471)&amp;":"&amp;B471&amp;LEN(C471)&amp;":"&amp;C471&amp;LEN(D471)&amp;":"&amp;D471)</x:f>
      </x:c>
      <x:c r="M471" t="str">
        <x:f>IF(COUNTA(A471:F471)=0,"",IF(ISNUMBER(E471),1,0))</x:f>
      </x:c>
    </x:row>
    <x:row r="472">
      <x:c r="A472" s="11"/>
      <x:c r="B472" s="11"/>
      <x:c r="C472" s="11"/>
      <x:c r="D472" s="11"/>
      <x:c r="E472" s="12"/>
      <x:c r="F472" s="10"/>
      <x:c r="G472" s="2" t="str">
        <x:f>IF(COUNTA(A472:F472)=0,"",COUNTIFS('External Data'!$L$2:$L$1001,SUBSTITUTE(SUBSTITUTE(SUBSTITUTE(L472,"~","~~"),"*","~*"),"?","~?")))</x:f>
      </x:c>
      <x:c r="H472" s="2" t="str">
        <x:f>IF(COUNTA(A472:F472)=0,"",COUNTIFS('App Data'!$L$2:$L$1001,SUBSTITUTE(SUBSTITUTE(SUBSTITUTE(L472,"~","~~"),"*","~*"),"?","~?")))</x:f>
      </x:c>
      <x:c r="I472" s="13" t="str">
        <x:f>IF(OR(H472&lt;&gt;1,G472&lt;&gt;1),"",SUMIFS('App Data'!$E$2:$E$1001,'App Data'!$L$2:$L$1001,SUBSTITUTE(SUBSTITUTE(SUBSTITUTE(L472,"~","~~"),"*","~*"),"?","~?")))</x:f>
      </x:c>
      <x:c r="J472" s="13" t="str">
        <x:f>IF(OR(NOT(ISNUMBER(E472)),NOT(ISNUMBER(I472))),"",ROUND(E472-I472,2))</x:f>
      </x:c>
      <x:c r="K472" s="2" t="str">
        <x:f>IF(COUNTA(A472:F472)=0,"",IF(OR(A472="",B472="",C472="",D472="",NOT(ISNUMBER(E472))),"Missing / invalid input",IF(G472&gt;1,"Duplicate key in this source",IF(H472=0,"Missing in other source",IF(H472&gt;1,"Duplicate in other source",IF(SUMIFS('App Data'!$M$2:$M$1001,'App Data'!$L$2:$L$1001,SUBSTITUTE(SUBSTITUTE(SUBSTITUTE(L472,"~","~~"),"*","~*"),"?","~?"))&lt;&gt;1,"Other amount is invalid",IF(J472&lt;&gt;0,"Amount differs","Matched")))))))</x:f>
      </x:c>
      <x:c r="L472" t="str">
        <x:f>IF(COUNTA(A472:F472)=0,"",LEN(A472)&amp;":"&amp;A472&amp;LEN(B472)&amp;":"&amp;B472&amp;LEN(C472)&amp;":"&amp;C472&amp;LEN(D472)&amp;":"&amp;D472)</x:f>
      </x:c>
      <x:c r="M472" t="str">
        <x:f>IF(COUNTA(A472:F472)=0,"",IF(ISNUMBER(E472),1,0))</x:f>
      </x:c>
    </x:row>
    <x:row r="473">
      <x:c r="A473" s="11"/>
      <x:c r="B473" s="11"/>
      <x:c r="C473" s="11"/>
      <x:c r="D473" s="11"/>
      <x:c r="E473" s="12"/>
      <x:c r="F473" s="10"/>
      <x:c r="G473" s="2" t="str">
        <x:f>IF(COUNTA(A473:F473)=0,"",COUNTIFS('External Data'!$L$2:$L$1001,SUBSTITUTE(SUBSTITUTE(SUBSTITUTE(L473,"~","~~"),"*","~*"),"?","~?")))</x:f>
      </x:c>
      <x:c r="H473" s="2" t="str">
        <x:f>IF(COUNTA(A473:F473)=0,"",COUNTIFS('App Data'!$L$2:$L$1001,SUBSTITUTE(SUBSTITUTE(SUBSTITUTE(L473,"~","~~"),"*","~*"),"?","~?")))</x:f>
      </x:c>
      <x:c r="I473" s="13" t="str">
        <x:f>IF(OR(H473&lt;&gt;1,G473&lt;&gt;1),"",SUMIFS('App Data'!$E$2:$E$1001,'App Data'!$L$2:$L$1001,SUBSTITUTE(SUBSTITUTE(SUBSTITUTE(L473,"~","~~"),"*","~*"),"?","~?")))</x:f>
      </x:c>
      <x:c r="J473" s="13" t="str">
        <x:f>IF(OR(NOT(ISNUMBER(E473)),NOT(ISNUMBER(I473))),"",ROUND(E473-I473,2))</x:f>
      </x:c>
      <x:c r="K473" s="2" t="str">
        <x:f>IF(COUNTA(A473:F473)=0,"",IF(OR(A473="",B473="",C473="",D473="",NOT(ISNUMBER(E473))),"Missing / invalid input",IF(G473&gt;1,"Duplicate key in this source",IF(H473=0,"Missing in other source",IF(H473&gt;1,"Duplicate in other source",IF(SUMIFS('App Data'!$M$2:$M$1001,'App Data'!$L$2:$L$1001,SUBSTITUTE(SUBSTITUTE(SUBSTITUTE(L473,"~","~~"),"*","~*"),"?","~?"))&lt;&gt;1,"Other amount is invalid",IF(J473&lt;&gt;0,"Amount differs","Matched")))))))</x:f>
      </x:c>
      <x:c r="L473" t="str">
        <x:f>IF(COUNTA(A473:F473)=0,"",LEN(A473)&amp;":"&amp;A473&amp;LEN(B473)&amp;":"&amp;B473&amp;LEN(C473)&amp;":"&amp;C473&amp;LEN(D473)&amp;":"&amp;D473)</x:f>
      </x:c>
      <x:c r="M473" t="str">
        <x:f>IF(COUNTA(A473:F473)=0,"",IF(ISNUMBER(E473),1,0))</x:f>
      </x:c>
    </x:row>
    <x:row r="474">
      <x:c r="A474" s="11"/>
      <x:c r="B474" s="11"/>
      <x:c r="C474" s="11"/>
      <x:c r="D474" s="11"/>
      <x:c r="E474" s="12"/>
      <x:c r="F474" s="10"/>
      <x:c r="G474" s="2" t="str">
        <x:f>IF(COUNTA(A474:F474)=0,"",COUNTIFS('External Data'!$L$2:$L$1001,SUBSTITUTE(SUBSTITUTE(SUBSTITUTE(L474,"~","~~"),"*","~*"),"?","~?")))</x:f>
      </x:c>
      <x:c r="H474" s="2" t="str">
        <x:f>IF(COUNTA(A474:F474)=0,"",COUNTIFS('App Data'!$L$2:$L$1001,SUBSTITUTE(SUBSTITUTE(SUBSTITUTE(L474,"~","~~"),"*","~*"),"?","~?")))</x:f>
      </x:c>
      <x:c r="I474" s="13" t="str">
        <x:f>IF(OR(H474&lt;&gt;1,G474&lt;&gt;1),"",SUMIFS('App Data'!$E$2:$E$1001,'App Data'!$L$2:$L$1001,SUBSTITUTE(SUBSTITUTE(SUBSTITUTE(L474,"~","~~"),"*","~*"),"?","~?")))</x:f>
      </x:c>
      <x:c r="J474" s="13" t="str">
        <x:f>IF(OR(NOT(ISNUMBER(E474)),NOT(ISNUMBER(I474))),"",ROUND(E474-I474,2))</x:f>
      </x:c>
      <x:c r="K474" s="2" t="str">
        <x:f>IF(COUNTA(A474:F474)=0,"",IF(OR(A474="",B474="",C474="",D474="",NOT(ISNUMBER(E474))),"Missing / invalid input",IF(G474&gt;1,"Duplicate key in this source",IF(H474=0,"Missing in other source",IF(H474&gt;1,"Duplicate in other source",IF(SUMIFS('App Data'!$M$2:$M$1001,'App Data'!$L$2:$L$1001,SUBSTITUTE(SUBSTITUTE(SUBSTITUTE(L474,"~","~~"),"*","~*"),"?","~?"))&lt;&gt;1,"Other amount is invalid",IF(J474&lt;&gt;0,"Amount differs","Matched")))))))</x:f>
      </x:c>
      <x:c r="L474" t="str">
        <x:f>IF(COUNTA(A474:F474)=0,"",LEN(A474)&amp;":"&amp;A474&amp;LEN(B474)&amp;":"&amp;B474&amp;LEN(C474)&amp;":"&amp;C474&amp;LEN(D474)&amp;":"&amp;D474)</x:f>
      </x:c>
      <x:c r="M474" t="str">
        <x:f>IF(COUNTA(A474:F474)=0,"",IF(ISNUMBER(E474),1,0))</x:f>
      </x:c>
    </x:row>
    <x:row r="475">
      <x:c r="A475" s="11"/>
      <x:c r="B475" s="11"/>
      <x:c r="C475" s="11"/>
      <x:c r="D475" s="11"/>
      <x:c r="E475" s="12"/>
      <x:c r="F475" s="10"/>
      <x:c r="G475" s="2" t="str">
        <x:f>IF(COUNTA(A475:F475)=0,"",COUNTIFS('External Data'!$L$2:$L$1001,SUBSTITUTE(SUBSTITUTE(SUBSTITUTE(L475,"~","~~"),"*","~*"),"?","~?")))</x:f>
      </x:c>
      <x:c r="H475" s="2" t="str">
        <x:f>IF(COUNTA(A475:F475)=0,"",COUNTIFS('App Data'!$L$2:$L$1001,SUBSTITUTE(SUBSTITUTE(SUBSTITUTE(L475,"~","~~"),"*","~*"),"?","~?")))</x:f>
      </x:c>
      <x:c r="I475" s="13" t="str">
        <x:f>IF(OR(H475&lt;&gt;1,G475&lt;&gt;1),"",SUMIFS('App Data'!$E$2:$E$1001,'App Data'!$L$2:$L$1001,SUBSTITUTE(SUBSTITUTE(SUBSTITUTE(L475,"~","~~"),"*","~*"),"?","~?")))</x:f>
      </x:c>
      <x:c r="J475" s="13" t="str">
        <x:f>IF(OR(NOT(ISNUMBER(E475)),NOT(ISNUMBER(I475))),"",ROUND(E475-I475,2))</x:f>
      </x:c>
      <x:c r="K475" s="2" t="str">
        <x:f>IF(COUNTA(A475:F475)=0,"",IF(OR(A475="",B475="",C475="",D475="",NOT(ISNUMBER(E475))),"Missing / invalid input",IF(G475&gt;1,"Duplicate key in this source",IF(H475=0,"Missing in other source",IF(H475&gt;1,"Duplicate in other source",IF(SUMIFS('App Data'!$M$2:$M$1001,'App Data'!$L$2:$L$1001,SUBSTITUTE(SUBSTITUTE(SUBSTITUTE(L475,"~","~~"),"*","~*"),"?","~?"))&lt;&gt;1,"Other amount is invalid",IF(J475&lt;&gt;0,"Amount differs","Matched")))))))</x:f>
      </x:c>
      <x:c r="L475" t="str">
        <x:f>IF(COUNTA(A475:F475)=0,"",LEN(A475)&amp;":"&amp;A475&amp;LEN(B475)&amp;":"&amp;B475&amp;LEN(C475)&amp;":"&amp;C475&amp;LEN(D475)&amp;":"&amp;D475)</x:f>
      </x:c>
      <x:c r="M475" t="str">
        <x:f>IF(COUNTA(A475:F475)=0,"",IF(ISNUMBER(E475),1,0))</x:f>
      </x:c>
    </x:row>
    <x:row r="476">
      <x:c r="A476" s="11"/>
      <x:c r="B476" s="11"/>
      <x:c r="C476" s="11"/>
      <x:c r="D476" s="11"/>
      <x:c r="E476" s="12"/>
      <x:c r="F476" s="10"/>
      <x:c r="G476" s="2" t="str">
        <x:f>IF(COUNTA(A476:F476)=0,"",COUNTIFS('External Data'!$L$2:$L$1001,SUBSTITUTE(SUBSTITUTE(SUBSTITUTE(L476,"~","~~"),"*","~*"),"?","~?")))</x:f>
      </x:c>
      <x:c r="H476" s="2" t="str">
        <x:f>IF(COUNTA(A476:F476)=0,"",COUNTIFS('App Data'!$L$2:$L$1001,SUBSTITUTE(SUBSTITUTE(SUBSTITUTE(L476,"~","~~"),"*","~*"),"?","~?")))</x:f>
      </x:c>
      <x:c r="I476" s="13" t="str">
        <x:f>IF(OR(H476&lt;&gt;1,G476&lt;&gt;1),"",SUMIFS('App Data'!$E$2:$E$1001,'App Data'!$L$2:$L$1001,SUBSTITUTE(SUBSTITUTE(SUBSTITUTE(L476,"~","~~"),"*","~*"),"?","~?")))</x:f>
      </x:c>
      <x:c r="J476" s="13" t="str">
        <x:f>IF(OR(NOT(ISNUMBER(E476)),NOT(ISNUMBER(I476))),"",ROUND(E476-I476,2))</x:f>
      </x:c>
      <x:c r="K476" s="2" t="str">
        <x:f>IF(COUNTA(A476:F476)=0,"",IF(OR(A476="",B476="",C476="",D476="",NOT(ISNUMBER(E476))),"Missing / invalid input",IF(G476&gt;1,"Duplicate key in this source",IF(H476=0,"Missing in other source",IF(H476&gt;1,"Duplicate in other source",IF(SUMIFS('App Data'!$M$2:$M$1001,'App Data'!$L$2:$L$1001,SUBSTITUTE(SUBSTITUTE(SUBSTITUTE(L476,"~","~~"),"*","~*"),"?","~?"))&lt;&gt;1,"Other amount is invalid",IF(J476&lt;&gt;0,"Amount differs","Matched")))))))</x:f>
      </x:c>
      <x:c r="L476" t="str">
        <x:f>IF(COUNTA(A476:F476)=0,"",LEN(A476)&amp;":"&amp;A476&amp;LEN(B476)&amp;":"&amp;B476&amp;LEN(C476)&amp;":"&amp;C476&amp;LEN(D476)&amp;":"&amp;D476)</x:f>
      </x:c>
      <x:c r="M476" t="str">
        <x:f>IF(COUNTA(A476:F476)=0,"",IF(ISNUMBER(E476),1,0))</x:f>
      </x:c>
    </x:row>
    <x:row r="477">
      <x:c r="A477" s="11"/>
      <x:c r="B477" s="11"/>
      <x:c r="C477" s="11"/>
      <x:c r="D477" s="11"/>
      <x:c r="E477" s="12"/>
      <x:c r="F477" s="10"/>
      <x:c r="G477" s="2" t="str">
        <x:f>IF(COUNTA(A477:F477)=0,"",COUNTIFS('External Data'!$L$2:$L$1001,SUBSTITUTE(SUBSTITUTE(SUBSTITUTE(L477,"~","~~"),"*","~*"),"?","~?")))</x:f>
      </x:c>
      <x:c r="H477" s="2" t="str">
        <x:f>IF(COUNTA(A477:F477)=0,"",COUNTIFS('App Data'!$L$2:$L$1001,SUBSTITUTE(SUBSTITUTE(SUBSTITUTE(L477,"~","~~"),"*","~*"),"?","~?")))</x:f>
      </x:c>
      <x:c r="I477" s="13" t="str">
        <x:f>IF(OR(H477&lt;&gt;1,G477&lt;&gt;1),"",SUMIFS('App Data'!$E$2:$E$1001,'App Data'!$L$2:$L$1001,SUBSTITUTE(SUBSTITUTE(SUBSTITUTE(L477,"~","~~"),"*","~*"),"?","~?")))</x:f>
      </x:c>
      <x:c r="J477" s="13" t="str">
        <x:f>IF(OR(NOT(ISNUMBER(E477)),NOT(ISNUMBER(I477))),"",ROUND(E477-I477,2))</x:f>
      </x:c>
      <x:c r="K477" s="2" t="str">
        <x:f>IF(COUNTA(A477:F477)=0,"",IF(OR(A477="",B477="",C477="",D477="",NOT(ISNUMBER(E477))),"Missing / invalid input",IF(G477&gt;1,"Duplicate key in this source",IF(H477=0,"Missing in other source",IF(H477&gt;1,"Duplicate in other source",IF(SUMIFS('App Data'!$M$2:$M$1001,'App Data'!$L$2:$L$1001,SUBSTITUTE(SUBSTITUTE(SUBSTITUTE(L477,"~","~~"),"*","~*"),"?","~?"))&lt;&gt;1,"Other amount is invalid",IF(J477&lt;&gt;0,"Amount differs","Matched")))))))</x:f>
      </x:c>
      <x:c r="L477" t="str">
        <x:f>IF(COUNTA(A477:F477)=0,"",LEN(A477)&amp;":"&amp;A477&amp;LEN(B477)&amp;":"&amp;B477&amp;LEN(C477)&amp;":"&amp;C477&amp;LEN(D477)&amp;":"&amp;D477)</x:f>
      </x:c>
      <x:c r="M477" t="str">
        <x:f>IF(COUNTA(A477:F477)=0,"",IF(ISNUMBER(E477),1,0))</x:f>
      </x:c>
    </x:row>
    <x:row r="478">
      <x:c r="A478" s="11"/>
      <x:c r="B478" s="11"/>
      <x:c r="C478" s="11"/>
      <x:c r="D478" s="11"/>
      <x:c r="E478" s="12"/>
      <x:c r="F478" s="10"/>
      <x:c r="G478" s="2" t="str">
        <x:f>IF(COUNTA(A478:F478)=0,"",COUNTIFS('External Data'!$L$2:$L$1001,SUBSTITUTE(SUBSTITUTE(SUBSTITUTE(L478,"~","~~"),"*","~*"),"?","~?")))</x:f>
      </x:c>
      <x:c r="H478" s="2" t="str">
        <x:f>IF(COUNTA(A478:F478)=0,"",COUNTIFS('App Data'!$L$2:$L$1001,SUBSTITUTE(SUBSTITUTE(SUBSTITUTE(L478,"~","~~"),"*","~*"),"?","~?")))</x:f>
      </x:c>
      <x:c r="I478" s="13" t="str">
        <x:f>IF(OR(H478&lt;&gt;1,G478&lt;&gt;1),"",SUMIFS('App Data'!$E$2:$E$1001,'App Data'!$L$2:$L$1001,SUBSTITUTE(SUBSTITUTE(SUBSTITUTE(L478,"~","~~"),"*","~*"),"?","~?")))</x:f>
      </x:c>
      <x:c r="J478" s="13" t="str">
        <x:f>IF(OR(NOT(ISNUMBER(E478)),NOT(ISNUMBER(I478))),"",ROUND(E478-I478,2))</x:f>
      </x:c>
      <x:c r="K478" s="2" t="str">
        <x:f>IF(COUNTA(A478:F478)=0,"",IF(OR(A478="",B478="",C478="",D478="",NOT(ISNUMBER(E478))),"Missing / invalid input",IF(G478&gt;1,"Duplicate key in this source",IF(H478=0,"Missing in other source",IF(H478&gt;1,"Duplicate in other source",IF(SUMIFS('App Data'!$M$2:$M$1001,'App Data'!$L$2:$L$1001,SUBSTITUTE(SUBSTITUTE(SUBSTITUTE(L478,"~","~~"),"*","~*"),"?","~?"))&lt;&gt;1,"Other amount is invalid",IF(J478&lt;&gt;0,"Amount differs","Matched")))))))</x:f>
      </x:c>
      <x:c r="L478" t="str">
        <x:f>IF(COUNTA(A478:F478)=0,"",LEN(A478)&amp;":"&amp;A478&amp;LEN(B478)&amp;":"&amp;B478&amp;LEN(C478)&amp;":"&amp;C478&amp;LEN(D478)&amp;":"&amp;D478)</x:f>
      </x:c>
      <x:c r="M478" t="str">
        <x:f>IF(COUNTA(A478:F478)=0,"",IF(ISNUMBER(E478),1,0))</x:f>
      </x:c>
    </x:row>
    <x:row r="479">
      <x:c r="A479" s="11"/>
      <x:c r="B479" s="11"/>
      <x:c r="C479" s="11"/>
      <x:c r="D479" s="11"/>
      <x:c r="E479" s="12"/>
      <x:c r="F479" s="10"/>
      <x:c r="G479" s="2" t="str">
        <x:f>IF(COUNTA(A479:F479)=0,"",COUNTIFS('External Data'!$L$2:$L$1001,SUBSTITUTE(SUBSTITUTE(SUBSTITUTE(L479,"~","~~"),"*","~*"),"?","~?")))</x:f>
      </x:c>
      <x:c r="H479" s="2" t="str">
        <x:f>IF(COUNTA(A479:F479)=0,"",COUNTIFS('App Data'!$L$2:$L$1001,SUBSTITUTE(SUBSTITUTE(SUBSTITUTE(L479,"~","~~"),"*","~*"),"?","~?")))</x:f>
      </x:c>
      <x:c r="I479" s="13" t="str">
        <x:f>IF(OR(H479&lt;&gt;1,G479&lt;&gt;1),"",SUMIFS('App Data'!$E$2:$E$1001,'App Data'!$L$2:$L$1001,SUBSTITUTE(SUBSTITUTE(SUBSTITUTE(L479,"~","~~"),"*","~*"),"?","~?")))</x:f>
      </x:c>
      <x:c r="J479" s="13" t="str">
        <x:f>IF(OR(NOT(ISNUMBER(E479)),NOT(ISNUMBER(I479))),"",ROUND(E479-I479,2))</x:f>
      </x:c>
      <x:c r="K479" s="2" t="str">
        <x:f>IF(COUNTA(A479:F479)=0,"",IF(OR(A479="",B479="",C479="",D479="",NOT(ISNUMBER(E479))),"Missing / invalid input",IF(G479&gt;1,"Duplicate key in this source",IF(H479=0,"Missing in other source",IF(H479&gt;1,"Duplicate in other source",IF(SUMIFS('App Data'!$M$2:$M$1001,'App Data'!$L$2:$L$1001,SUBSTITUTE(SUBSTITUTE(SUBSTITUTE(L479,"~","~~"),"*","~*"),"?","~?"))&lt;&gt;1,"Other amount is invalid",IF(J479&lt;&gt;0,"Amount differs","Matched")))))))</x:f>
      </x:c>
      <x:c r="L479" t="str">
        <x:f>IF(COUNTA(A479:F479)=0,"",LEN(A479)&amp;":"&amp;A479&amp;LEN(B479)&amp;":"&amp;B479&amp;LEN(C479)&amp;":"&amp;C479&amp;LEN(D479)&amp;":"&amp;D479)</x:f>
      </x:c>
      <x:c r="M479" t="str">
        <x:f>IF(COUNTA(A479:F479)=0,"",IF(ISNUMBER(E479),1,0))</x:f>
      </x:c>
    </x:row>
    <x:row r="480">
      <x:c r="A480" s="11"/>
      <x:c r="B480" s="11"/>
      <x:c r="C480" s="11"/>
      <x:c r="D480" s="11"/>
      <x:c r="E480" s="12"/>
      <x:c r="F480" s="10"/>
      <x:c r="G480" s="2" t="str">
        <x:f>IF(COUNTA(A480:F480)=0,"",COUNTIFS('External Data'!$L$2:$L$1001,SUBSTITUTE(SUBSTITUTE(SUBSTITUTE(L480,"~","~~"),"*","~*"),"?","~?")))</x:f>
      </x:c>
      <x:c r="H480" s="2" t="str">
        <x:f>IF(COUNTA(A480:F480)=0,"",COUNTIFS('App Data'!$L$2:$L$1001,SUBSTITUTE(SUBSTITUTE(SUBSTITUTE(L480,"~","~~"),"*","~*"),"?","~?")))</x:f>
      </x:c>
      <x:c r="I480" s="13" t="str">
        <x:f>IF(OR(H480&lt;&gt;1,G480&lt;&gt;1),"",SUMIFS('App Data'!$E$2:$E$1001,'App Data'!$L$2:$L$1001,SUBSTITUTE(SUBSTITUTE(SUBSTITUTE(L480,"~","~~"),"*","~*"),"?","~?")))</x:f>
      </x:c>
      <x:c r="J480" s="13" t="str">
        <x:f>IF(OR(NOT(ISNUMBER(E480)),NOT(ISNUMBER(I480))),"",ROUND(E480-I480,2))</x:f>
      </x:c>
      <x:c r="K480" s="2" t="str">
        <x:f>IF(COUNTA(A480:F480)=0,"",IF(OR(A480="",B480="",C480="",D480="",NOT(ISNUMBER(E480))),"Missing / invalid input",IF(G480&gt;1,"Duplicate key in this source",IF(H480=0,"Missing in other source",IF(H480&gt;1,"Duplicate in other source",IF(SUMIFS('App Data'!$M$2:$M$1001,'App Data'!$L$2:$L$1001,SUBSTITUTE(SUBSTITUTE(SUBSTITUTE(L480,"~","~~"),"*","~*"),"?","~?"))&lt;&gt;1,"Other amount is invalid",IF(J480&lt;&gt;0,"Amount differs","Matched")))))))</x:f>
      </x:c>
      <x:c r="L480" t="str">
        <x:f>IF(COUNTA(A480:F480)=0,"",LEN(A480)&amp;":"&amp;A480&amp;LEN(B480)&amp;":"&amp;B480&amp;LEN(C480)&amp;":"&amp;C480&amp;LEN(D480)&amp;":"&amp;D480)</x:f>
      </x:c>
      <x:c r="M480" t="str">
        <x:f>IF(COUNTA(A480:F480)=0,"",IF(ISNUMBER(E480),1,0))</x:f>
      </x:c>
    </x:row>
    <x:row r="481">
      <x:c r="A481" s="11"/>
      <x:c r="B481" s="11"/>
      <x:c r="C481" s="11"/>
      <x:c r="D481" s="11"/>
      <x:c r="E481" s="12"/>
      <x:c r="F481" s="10"/>
      <x:c r="G481" s="2" t="str">
        <x:f>IF(COUNTA(A481:F481)=0,"",COUNTIFS('External Data'!$L$2:$L$1001,SUBSTITUTE(SUBSTITUTE(SUBSTITUTE(L481,"~","~~"),"*","~*"),"?","~?")))</x:f>
      </x:c>
      <x:c r="H481" s="2" t="str">
        <x:f>IF(COUNTA(A481:F481)=0,"",COUNTIFS('App Data'!$L$2:$L$1001,SUBSTITUTE(SUBSTITUTE(SUBSTITUTE(L481,"~","~~"),"*","~*"),"?","~?")))</x:f>
      </x:c>
      <x:c r="I481" s="13" t="str">
        <x:f>IF(OR(H481&lt;&gt;1,G481&lt;&gt;1),"",SUMIFS('App Data'!$E$2:$E$1001,'App Data'!$L$2:$L$1001,SUBSTITUTE(SUBSTITUTE(SUBSTITUTE(L481,"~","~~"),"*","~*"),"?","~?")))</x:f>
      </x:c>
      <x:c r="J481" s="13" t="str">
        <x:f>IF(OR(NOT(ISNUMBER(E481)),NOT(ISNUMBER(I481))),"",ROUND(E481-I481,2))</x:f>
      </x:c>
      <x:c r="K481" s="2" t="str">
        <x:f>IF(COUNTA(A481:F481)=0,"",IF(OR(A481="",B481="",C481="",D481="",NOT(ISNUMBER(E481))),"Missing / invalid input",IF(G481&gt;1,"Duplicate key in this source",IF(H481=0,"Missing in other source",IF(H481&gt;1,"Duplicate in other source",IF(SUMIFS('App Data'!$M$2:$M$1001,'App Data'!$L$2:$L$1001,SUBSTITUTE(SUBSTITUTE(SUBSTITUTE(L481,"~","~~"),"*","~*"),"?","~?"))&lt;&gt;1,"Other amount is invalid",IF(J481&lt;&gt;0,"Amount differs","Matched")))))))</x:f>
      </x:c>
      <x:c r="L481" t="str">
        <x:f>IF(COUNTA(A481:F481)=0,"",LEN(A481)&amp;":"&amp;A481&amp;LEN(B481)&amp;":"&amp;B481&amp;LEN(C481)&amp;":"&amp;C481&amp;LEN(D481)&amp;":"&amp;D481)</x:f>
      </x:c>
      <x:c r="M481" t="str">
        <x:f>IF(COUNTA(A481:F481)=0,"",IF(ISNUMBER(E481),1,0))</x:f>
      </x:c>
    </x:row>
    <x:row r="482">
      <x:c r="A482" s="11"/>
      <x:c r="B482" s="11"/>
      <x:c r="C482" s="11"/>
      <x:c r="D482" s="11"/>
      <x:c r="E482" s="12"/>
      <x:c r="F482" s="10"/>
      <x:c r="G482" s="2" t="str">
        <x:f>IF(COUNTA(A482:F482)=0,"",COUNTIFS('External Data'!$L$2:$L$1001,SUBSTITUTE(SUBSTITUTE(SUBSTITUTE(L482,"~","~~"),"*","~*"),"?","~?")))</x:f>
      </x:c>
      <x:c r="H482" s="2" t="str">
        <x:f>IF(COUNTA(A482:F482)=0,"",COUNTIFS('App Data'!$L$2:$L$1001,SUBSTITUTE(SUBSTITUTE(SUBSTITUTE(L482,"~","~~"),"*","~*"),"?","~?")))</x:f>
      </x:c>
      <x:c r="I482" s="13" t="str">
        <x:f>IF(OR(H482&lt;&gt;1,G482&lt;&gt;1),"",SUMIFS('App Data'!$E$2:$E$1001,'App Data'!$L$2:$L$1001,SUBSTITUTE(SUBSTITUTE(SUBSTITUTE(L482,"~","~~"),"*","~*"),"?","~?")))</x:f>
      </x:c>
      <x:c r="J482" s="13" t="str">
        <x:f>IF(OR(NOT(ISNUMBER(E482)),NOT(ISNUMBER(I482))),"",ROUND(E482-I482,2))</x:f>
      </x:c>
      <x:c r="K482" s="2" t="str">
        <x:f>IF(COUNTA(A482:F482)=0,"",IF(OR(A482="",B482="",C482="",D482="",NOT(ISNUMBER(E482))),"Missing / invalid input",IF(G482&gt;1,"Duplicate key in this source",IF(H482=0,"Missing in other source",IF(H482&gt;1,"Duplicate in other source",IF(SUMIFS('App Data'!$M$2:$M$1001,'App Data'!$L$2:$L$1001,SUBSTITUTE(SUBSTITUTE(SUBSTITUTE(L482,"~","~~"),"*","~*"),"?","~?"))&lt;&gt;1,"Other amount is invalid",IF(J482&lt;&gt;0,"Amount differs","Matched")))))))</x:f>
      </x:c>
      <x:c r="L482" t="str">
        <x:f>IF(COUNTA(A482:F482)=0,"",LEN(A482)&amp;":"&amp;A482&amp;LEN(B482)&amp;":"&amp;B482&amp;LEN(C482)&amp;":"&amp;C482&amp;LEN(D482)&amp;":"&amp;D482)</x:f>
      </x:c>
      <x:c r="M482" t="str">
        <x:f>IF(COUNTA(A482:F482)=0,"",IF(ISNUMBER(E482),1,0))</x:f>
      </x:c>
    </x:row>
    <x:row r="483">
      <x:c r="A483" s="11"/>
      <x:c r="B483" s="11"/>
      <x:c r="C483" s="11"/>
      <x:c r="D483" s="11"/>
      <x:c r="E483" s="12"/>
      <x:c r="F483" s="10"/>
      <x:c r="G483" s="2" t="str">
        <x:f>IF(COUNTA(A483:F483)=0,"",COUNTIFS('External Data'!$L$2:$L$1001,SUBSTITUTE(SUBSTITUTE(SUBSTITUTE(L483,"~","~~"),"*","~*"),"?","~?")))</x:f>
      </x:c>
      <x:c r="H483" s="2" t="str">
        <x:f>IF(COUNTA(A483:F483)=0,"",COUNTIFS('App Data'!$L$2:$L$1001,SUBSTITUTE(SUBSTITUTE(SUBSTITUTE(L483,"~","~~"),"*","~*"),"?","~?")))</x:f>
      </x:c>
      <x:c r="I483" s="13" t="str">
        <x:f>IF(OR(H483&lt;&gt;1,G483&lt;&gt;1),"",SUMIFS('App Data'!$E$2:$E$1001,'App Data'!$L$2:$L$1001,SUBSTITUTE(SUBSTITUTE(SUBSTITUTE(L483,"~","~~"),"*","~*"),"?","~?")))</x:f>
      </x:c>
      <x:c r="J483" s="13" t="str">
        <x:f>IF(OR(NOT(ISNUMBER(E483)),NOT(ISNUMBER(I483))),"",ROUND(E483-I483,2))</x:f>
      </x:c>
      <x:c r="K483" s="2" t="str">
        <x:f>IF(COUNTA(A483:F483)=0,"",IF(OR(A483="",B483="",C483="",D483="",NOT(ISNUMBER(E483))),"Missing / invalid input",IF(G483&gt;1,"Duplicate key in this source",IF(H483=0,"Missing in other source",IF(H483&gt;1,"Duplicate in other source",IF(SUMIFS('App Data'!$M$2:$M$1001,'App Data'!$L$2:$L$1001,SUBSTITUTE(SUBSTITUTE(SUBSTITUTE(L483,"~","~~"),"*","~*"),"?","~?"))&lt;&gt;1,"Other amount is invalid",IF(J483&lt;&gt;0,"Amount differs","Matched")))))))</x:f>
      </x:c>
      <x:c r="L483" t="str">
        <x:f>IF(COUNTA(A483:F483)=0,"",LEN(A483)&amp;":"&amp;A483&amp;LEN(B483)&amp;":"&amp;B483&amp;LEN(C483)&amp;":"&amp;C483&amp;LEN(D483)&amp;":"&amp;D483)</x:f>
      </x:c>
      <x:c r="M483" t="str">
        <x:f>IF(COUNTA(A483:F483)=0,"",IF(ISNUMBER(E483),1,0))</x:f>
      </x:c>
    </x:row>
    <x:row r="484">
      <x:c r="A484" s="11"/>
      <x:c r="B484" s="11"/>
      <x:c r="C484" s="11"/>
      <x:c r="D484" s="11"/>
      <x:c r="E484" s="12"/>
      <x:c r="F484" s="10"/>
      <x:c r="G484" s="2" t="str">
        <x:f>IF(COUNTA(A484:F484)=0,"",COUNTIFS('External Data'!$L$2:$L$1001,SUBSTITUTE(SUBSTITUTE(SUBSTITUTE(L484,"~","~~"),"*","~*"),"?","~?")))</x:f>
      </x:c>
      <x:c r="H484" s="2" t="str">
        <x:f>IF(COUNTA(A484:F484)=0,"",COUNTIFS('App Data'!$L$2:$L$1001,SUBSTITUTE(SUBSTITUTE(SUBSTITUTE(L484,"~","~~"),"*","~*"),"?","~?")))</x:f>
      </x:c>
      <x:c r="I484" s="13" t="str">
        <x:f>IF(OR(H484&lt;&gt;1,G484&lt;&gt;1),"",SUMIFS('App Data'!$E$2:$E$1001,'App Data'!$L$2:$L$1001,SUBSTITUTE(SUBSTITUTE(SUBSTITUTE(L484,"~","~~"),"*","~*"),"?","~?")))</x:f>
      </x:c>
      <x:c r="J484" s="13" t="str">
        <x:f>IF(OR(NOT(ISNUMBER(E484)),NOT(ISNUMBER(I484))),"",ROUND(E484-I484,2))</x:f>
      </x:c>
      <x:c r="K484" s="2" t="str">
        <x:f>IF(COUNTA(A484:F484)=0,"",IF(OR(A484="",B484="",C484="",D484="",NOT(ISNUMBER(E484))),"Missing / invalid input",IF(G484&gt;1,"Duplicate key in this source",IF(H484=0,"Missing in other source",IF(H484&gt;1,"Duplicate in other source",IF(SUMIFS('App Data'!$M$2:$M$1001,'App Data'!$L$2:$L$1001,SUBSTITUTE(SUBSTITUTE(SUBSTITUTE(L484,"~","~~"),"*","~*"),"?","~?"))&lt;&gt;1,"Other amount is invalid",IF(J484&lt;&gt;0,"Amount differs","Matched")))))))</x:f>
      </x:c>
      <x:c r="L484" t="str">
        <x:f>IF(COUNTA(A484:F484)=0,"",LEN(A484)&amp;":"&amp;A484&amp;LEN(B484)&amp;":"&amp;B484&amp;LEN(C484)&amp;":"&amp;C484&amp;LEN(D484)&amp;":"&amp;D484)</x:f>
      </x:c>
      <x:c r="M484" t="str">
        <x:f>IF(COUNTA(A484:F484)=0,"",IF(ISNUMBER(E484),1,0))</x:f>
      </x:c>
    </x:row>
    <x:row r="485">
      <x:c r="A485" s="11"/>
      <x:c r="B485" s="11"/>
      <x:c r="C485" s="11"/>
      <x:c r="D485" s="11"/>
      <x:c r="E485" s="12"/>
      <x:c r="F485" s="10"/>
      <x:c r="G485" s="2" t="str">
        <x:f>IF(COUNTA(A485:F485)=0,"",COUNTIFS('External Data'!$L$2:$L$1001,SUBSTITUTE(SUBSTITUTE(SUBSTITUTE(L485,"~","~~"),"*","~*"),"?","~?")))</x:f>
      </x:c>
      <x:c r="H485" s="2" t="str">
        <x:f>IF(COUNTA(A485:F485)=0,"",COUNTIFS('App Data'!$L$2:$L$1001,SUBSTITUTE(SUBSTITUTE(SUBSTITUTE(L485,"~","~~"),"*","~*"),"?","~?")))</x:f>
      </x:c>
      <x:c r="I485" s="13" t="str">
        <x:f>IF(OR(H485&lt;&gt;1,G485&lt;&gt;1),"",SUMIFS('App Data'!$E$2:$E$1001,'App Data'!$L$2:$L$1001,SUBSTITUTE(SUBSTITUTE(SUBSTITUTE(L485,"~","~~"),"*","~*"),"?","~?")))</x:f>
      </x:c>
      <x:c r="J485" s="13" t="str">
        <x:f>IF(OR(NOT(ISNUMBER(E485)),NOT(ISNUMBER(I485))),"",ROUND(E485-I485,2))</x:f>
      </x:c>
      <x:c r="K485" s="2" t="str">
        <x:f>IF(COUNTA(A485:F485)=0,"",IF(OR(A485="",B485="",C485="",D485="",NOT(ISNUMBER(E485))),"Missing / invalid input",IF(G485&gt;1,"Duplicate key in this source",IF(H485=0,"Missing in other source",IF(H485&gt;1,"Duplicate in other source",IF(SUMIFS('App Data'!$M$2:$M$1001,'App Data'!$L$2:$L$1001,SUBSTITUTE(SUBSTITUTE(SUBSTITUTE(L485,"~","~~"),"*","~*"),"?","~?"))&lt;&gt;1,"Other amount is invalid",IF(J485&lt;&gt;0,"Amount differs","Matched")))))))</x:f>
      </x:c>
      <x:c r="L485" t="str">
        <x:f>IF(COUNTA(A485:F485)=0,"",LEN(A485)&amp;":"&amp;A485&amp;LEN(B485)&amp;":"&amp;B485&amp;LEN(C485)&amp;":"&amp;C485&amp;LEN(D485)&amp;":"&amp;D485)</x:f>
      </x:c>
      <x:c r="M485" t="str">
        <x:f>IF(COUNTA(A485:F485)=0,"",IF(ISNUMBER(E485),1,0))</x:f>
      </x:c>
    </x:row>
    <x:row r="486">
      <x:c r="A486" s="11"/>
      <x:c r="B486" s="11"/>
      <x:c r="C486" s="11"/>
      <x:c r="D486" s="11"/>
      <x:c r="E486" s="12"/>
      <x:c r="F486" s="10"/>
      <x:c r="G486" s="2" t="str">
        <x:f>IF(COUNTA(A486:F486)=0,"",COUNTIFS('External Data'!$L$2:$L$1001,SUBSTITUTE(SUBSTITUTE(SUBSTITUTE(L486,"~","~~"),"*","~*"),"?","~?")))</x:f>
      </x:c>
      <x:c r="H486" s="2" t="str">
        <x:f>IF(COUNTA(A486:F486)=0,"",COUNTIFS('App Data'!$L$2:$L$1001,SUBSTITUTE(SUBSTITUTE(SUBSTITUTE(L486,"~","~~"),"*","~*"),"?","~?")))</x:f>
      </x:c>
      <x:c r="I486" s="13" t="str">
        <x:f>IF(OR(H486&lt;&gt;1,G486&lt;&gt;1),"",SUMIFS('App Data'!$E$2:$E$1001,'App Data'!$L$2:$L$1001,SUBSTITUTE(SUBSTITUTE(SUBSTITUTE(L486,"~","~~"),"*","~*"),"?","~?")))</x:f>
      </x:c>
      <x:c r="J486" s="13" t="str">
        <x:f>IF(OR(NOT(ISNUMBER(E486)),NOT(ISNUMBER(I486))),"",ROUND(E486-I486,2))</x:f>
      </x:c>
      <x:c r="K486" s="2" t="str">
        <x:f>IF(COUNTA(A486:F486)=0,"",IF(OR(A486="",B486="",C486="",D486="",NOT(ISNUMBER(E486))),"Missing / invalid input",IF(G486&gt;1,"Duplicate key in this source",IF(H486=0,"Missing in other source",IF(H486&gt;1,"Duplicate in other source",IF(SUMIFS('App Data'!$M$2:$M$1001,'App Data'!$L$2:$L$1001,SUBSTITUTE(SUBSTITUTE(SUBSTITUTE(L486,"~","~~"),"*","~*"),"?","~?"))&lt;&gt;1,"Other amount is invalid",IF(J486&lt;&gt;0,"Amount differs","Matched")))))))</x:f>
      </x:c>
      <x:c r="L486" t="str">
        <x:f>IF(COUNTA(A486:F486)=0,"",LEN(A486)&amp;":"&amp;A486&amp;LEN(B486)&amp;":"&amp;B486&amp;LEN(C486)&amp;":"&amp;C486&amp;LEN(D486)&amp;":"&amp;D486)</x:f>
      </x:c>
      <x:c r="M486" t="str">
        <x:f>IF(COUNTA(A486:F486)=0,"",IF(ISNUMBER(E486),1,0))</x:f>
      </x:c>
    </x:row>
    <x:row r="487">
      <x:c r="A487" s="11"/>
      <x:c r="B487" s="11"/>
      <x:c r="C487" s="11"/>
      <x:c r="D487" s="11"/>
      <x:c r="E487" s="12"/>
      <x:c r="F487" s="10"/>
      <x:c r="G487" s="2" t="str">
        <x:f>IF(COUNTA(A487:F487)=0,"",COUNTIFS('External Data'!$L$2:$L$1001,SUBSTITUTE(SUBSTITUTE(SUBSTITUTE(L487,"~","~~"),"*","~*"),"?","~?")))</x:f>
      </x:c>
      <x:c r="H487" s="2" t="str">
        <x:f>IF(COUNTA(A487:F487)=0,"",COUNTIFS('App Data'!$L$2:$L$1001,SUBSTITUTE(SUBSTITUTE(SUBSTITUTE(L487,"~","~~"),"*","~*"),"?","~?")))</x:f>
      </x:c>
      <x:c r="I487" s="13" t="str">
        <x:f>IF(OR(H487&lt;&gt;1,G487&lt;&gt;1),"",SUMIFS('App Data'!$E$2:$E$1001,'App Data'!$L$2:$L$1001,SUBSTITUTE(SUBSTITUTE(SUBSTITUTE(L487,"~","~~"),"*","~*"),"?","~?")))</x:f>
      </x:c>
      <x:c r="J487" s="13" t="str">
        <x:f>IF(OR(NOT(ISNUMBER(E487)),NOT(ISNUMBER(I487))),"",ROUND(E487-I487,2))</x:f>
      </x:c>
      <x:c r="K487" s="2" t="str">
        <x:f>IF(COUNTA(A487:F487)=0,"",IF(OR(A487="",B487="",C487="",D487="",NOT(ISNUMBER(E487))),"Missing / invalid input",IF(G487&gt;1,"Duplicate key in this source",IF(H487=0,"Missing in other source",IF(H487&gt;1,"Duplicate in other source",IF(SUMIFS('App Data'!$M$2:$M$1001,'App Data'!$L$2:$L$1001,SUBSTITUTE(SUBSTITUTE(SUBSTITUTE(L487,"~","~~"),"*","~*"),"?","~?"))&lt;&gt;1,"Other amount is invalid",IF(J487&lt;&gt;0,"Amount differs","Matched")))))))</x:f>
      </x:c>
      <x:c r="L487" t="str">
        <x:f>IF(COUNTA(A487:F487)=0,"",LEN(A487)&amp;":"&amp;A487&amp;LEN(B487)&amp;":"&amp;B487&amp;LEN(C487)&amp;":"&amp;C487&amp;LEN(D487)&amp;":"&amp;D487)</x:f>
      </x:c>
      <x:c r="M487" t="str">
        <x:f>IF(COUNTA(A487:F487)=0,"",IF(ISNUMBER(E487),1,0))</x:f>
      </x:c>
    </x:row>
    <x:row r="488">
      <x:c r="A488" s="11"/>
      <x:c r="B488" s="11"/>
      <x:c r="C488" s="11"/>
      <x:c r="D488" s="11"/>
      <x:c r="E488" s="12"/>
      <x:c r="F488" s="10"/>
      <x:c r="G488" s="2" t="str">
        <x:f>IF(COUNTA(A488:F488)=0,"",COUNTIFS('External Data'!$L$2:$L$1001,SUBSTITUTE(SUBSTITUTE(SUBSTITUTE(L488,"~","~~"),"*","~*"),"?","~?")))</x:f>
      </x:c>
      <x:c r="H488" s="2" t="str">
        <x:f>IF(COUNTA(A488:F488)=0,"",COUNTIFS('App Data'!$L$2:$L$1001,SUBSTITUTE(SUBSTITUTE(SUBSTITUTE(L488,"~","~~"),"*","~*"),"?","~?")))</x:f>
      </x:c>
      <x:c r="I488" s="13" t="str">
        <x:f>IF(OR(H488&lt;&gt;1,G488&lt;&gt;1),"",SUMIFS('App Data'!$E$2:$E$1001,'App Data'!$L$2:$L$1001,SUBSTITUTE(SUBSTITUTE(SUBSTITUTE(L488,"~","~~"),"*","~*"),"?","~?")))</x:f>
      </x:c>
      <x:c r="J488" s="13" t="str">
        <x:f>IF(OR(NOT(ISNUMBER(E488)),NOT(ISNUMBER(I488))),"",ROUND(E488-I488,2))</x:f>
      </x:c>
      <x:c r="K488" s="2" t="str">
        <x:f>IF(COUNTA(A488:F488)=0,"",IF(OR(A488="",B488="",C488="",D488="",NOT(ISNUMBER(E488))),"Missing / invalid input",IF(G488&gt;1,"Duplicate key in this source",IF(H488=0,"Missing in other source",IF(H488&gt;1,"Duplicate in other source",IF(SUMIFS('App Data'!$M$2:$M$1001,'App Data'!$L$2:$L$1001,SUBSTITUTE(SUBSTITUTE(SUBSTITUTE(L488,"~","~~"),"*","~*"),"?","~?"))&lt;&gt;1,"Other amount is invalid",IF(J488&lt;&gt;0,"Amount differs","Matched")))))))</x:f>
      </x:c>
      <x:c r="L488" t="str">
        <x:f>IF(COUNTA(A488:F488)=0,"",LEN(A488)&amp;":"&amp;A488&amp;LEN(B488)&amp;":"&amp;B488&amp;LEN(C488)&amp;":"&amp;C488&amp;LEN(D488)&amp;":"&amp;D488)</x:f>
      </x:c>
      <x:c r="M488" t="str">
        <x:f>IF(COUNTA(A488:F488)=0,"",IF(ISNUMBER(E488),1,0))</x:f>
      </x:c>
    </x:row>
    <x:row r="489">
      <x:c r="A489" s="11"/>
      <x:c r="B489" s="11"/>
      <x:c r="C489" s="11"/>
      <x:c r="D489" s="11"/>
      <x:c r="E489" s="12"/>
      <x:c r="F489" s="10"/>
      <x:c r="G489" s="2" t="str">
        <x:f>IF(COUNTA(A489:F489)=0,"",COUNTIFS('External Data'!$L$2:$L$1001,SUBSTITUTE(SUBSTITUTE(SUBSTITUTE(L489,"~","~~"),"*","~*"),"?","~?")))</x:f>
      </x:c>
      <x:c r="H489" s="2" t="str">
        <x:f>IF(COUNTA(A489:F489)=0,"",COUNTIFS('App Data'!$L$2:$L$1001,SUBSTITUTE(SUBSTITUTE(SUBSTITUTE(L489,"~","~~"),"*","~*"),"?","~?")))</x:f>
      </x:c>
      <x:c r="I489" s="13" t="str">
        <x:f>IF(OR(H489&lt;&gt;1,G489&lt;&gt;1),"",SUMIFS('App Data'!$E$2:$E$1001,'App Data'!$L$2:$L$1001,SUBSTITUTE(SUBSTITUTE(SUBSTITUTE(L489,"~","~~"),"*","~*"),"?","~?")))</x:f>
      </x:c>
      <x:c r="J489" s="13" t="str">
        <x:f>IF(OR(NOT(ISNUMBER(E489)),NOT(ISNUMBER(I489))),"",ROUND(E489-I489,2))</x:f>
      </x:c>
      <x:c r="K489" s="2" t="str">
        <x:f>IF(COUNTA(A489:F489)=0,"",IF(OR(A489="",B489="",C489="",D489="",NOT(ISNUMBER(E489))),"Missing / invalid input",IF(G489&gt;1,"Duplicate key in this source",IF(H489=0,"Missing in other source",IF(H489&gt;1,"Duplicate in other source",IF(SUMIFS('App Data'!$M$2:$M$1001,'App Data'!$L$2:$L$1001,SUBSTITUTE(SUBSTITUTE(SUBSTITUTE(L489,"~","~~"),"*","~*"),"?","~?"))&lt;&gt;1,"Other amount is invalid",IF(J489&lt;&gt;0,"Amount differs","Matched")))))))</x:f>
      </x:c>
      <x:c r="L489" t="str">
        <x:f>IF(COUNTA(A489:F489)=0,"",LEN(A489)&amp;":"&amp;A489&amp;LEN(B489)&amp;":"&amp;B489&amp;LEN(C489)&amp;":"&amp;C489&amp;LEN(D489)&amp;":"&amp;D489)</x:f>
      </x:c>
      <x:c r="M489" t="str">
        <x:f>IF(COUNTA(A489:F489)=0,"",IF(ISNUMBER(E489),1,0))</x:f>
      </x:c>
    </x:row>
    <x:row r="490">
      <x:c r="A490" s="11"/>
      <x:c r="B490" s="11"/>
      <x:c r="C490" s="11"/>
      <x:c r="D490" s="11"/>
      <x:c r="E490" s="12"/>
      <x:c r="F490" s="10"/>
      <x:c r="G490" s="2" t="str">
        <x:f>IF(COUNTA(A490:F490)=0,"",COUNTIFS('External Data'!$L$2:$L$1001,SUBSTITUTE(SUBSTITUTE(SUBSTITUTE(L490,"~","~~"),"*","~*"),"?","~?")))</x:f>
      </x:c>
      <x:c r="H490" s="2" t="str">
        <x:f>IF(COUNTA(A490:F490)=0,"",COUNTIFS('App Data'!$L$2:$L$1001,SUBSTITUTE(SUBSTITUTE(SUBSTITUTE(L490,"~","~~"),"*","~*"),"?","~?")))</x:f>
      </x:c>
      <x:c r="I490" s="13" t="str">
        <x:f>IF(OR(H490&lt;&gt;1,G490&lt;&gt;1),"",SUMIFS('App Data'!$E$2:$E$1001,'App Data'!$L$2:$L$1001,SUBSTITUTE(SUBSTITUTE(SUBSTITUTE(L490,"~","~~"),"*","~*"),"?","~?")))</x:f>
      </x:c>
      <x:c r="J490" s="13" t="str">
        <x:f>IF(OR(NOT(ISNUMBER(E490)),NOT(ISNUMBER(I490))),"",ROUND(E490-I490,2))</x:f>
      </x:c>
      <x:c r="K490" s="2" t="str">
        <x:f>IF(COUNTA(A490:F490)=0,"",IF(OR(A490="",B490="",C490="",D490="",NOT(ISNUMBER(E490))),"Missing / invalid input",IF(G490&gt;1,"Duplicate key in this source",IF(H490=0,"Missing in other source",IF(H490&gt;1,"Duplicate in other source",IF(SUMIFS('App Data'!$M$2:$M$1001,'App Data'!$L$2:$L$1001,SUBSTITUTE(SUBSTITUTE(SUBSTITUTE(L490,"~","~~"),"*","~*"),"?","~?"))&lt;&gt;1,"Other amount is invalid",IF(J490&lt;&gt;0,"Amount differs","Matched")))))))</x:f>
      </x:c>
      <x:c r="L490" t="str">
        <x:f>IF(COUNTA(A490:F490)=0,"",LEN(A490)&amp;":"&amp;A490&amp;LEN(B490)&amp;":"&amp;B490&amp;LEN(C490)&amp;":"&amp;C490&amp;LEN(D490)&amp;":"&amp;D490)</x:f>
      </x:c>
      <x:c r="M490" t="str">
        <x:f>IF(COUNTA(A490:F490)=0,"",IF(ISNUMBER(E490),1,0))</x:f>
      </x:c>
    </x:row>
    <x:row r="491">
      <x:c r="A491" s="11"/>
      <x:c r="B491" s="11"/>
      <x:c r="C491" s="11"/>
      <x:c r="D491" s="11"/>
      <x:c r="E491" s="12"/>
      <x:c r="F491" s="10"/>
      <x:c r="G491" s="2" t="str">
        <x:f>IF(COUNTA(A491:F491)=0,"",COUNTIFS('External Data'!$L$2:$L$1001,SUBSTITUTE(SUBSTITUTE(SUBSTITUTE(L491,"~","~~"),"*","~*"),"?","~?")))</x:f>
      </x:c>
      <x:c r="H491" s="2" t="str">
        <x:f>IF(COUNTA(A491:F491)=0,"",COUNTIFS('App Data'!$L$2:$L$1001,SUBSTITUTE(SUBSTITUTE(SUBSTITUTE(L491,"~","~~"),"*","~*"),"?","~?")))</x:f>
      </x:c>
      <x:c r="I491" s="13" t="str">
        <x:f>IF(OR(H491&lt;&gt;1,G491&lt;&gt;1),"",SUMIFS('App Data'!$E$2:$E$1001,'App Data'!$L$2:$L$1001,SUBSTITUTE(SUBSTITUTE(SUBSTITUTE(L491,"~","~~"),"*","~*"),"?","~?")))</x:f>
      </x:c>
      <x:c r="J491" s="13" t="str">
        <x:f>IF(OR(NOT(ISNUMBER(E491)),NOT(ISNUMBER(I491))),"",ROUND(E491-I491,2))</x:f>
      </x:c>
      <x:c r="K491" s="2" t="str">
        <x:f>IF(COUNTA(A491:F491)=0,"",IF(OR(A491="",B491="",C491="",D491="",NOT(ISNUMBER(E491))),"Missing / invalid input",IF(G491&gt;1,"Duplicate key in this source",IF(H491=0,"Missing in other source",IF(H491&gt;1,"Duplicate in other source",IF(SUMIFS('App Data'!$M$2:$M$1001,'App Data'!$L$2:$L$1001,SUBSTITUTE(SUBSTITUTE(SUBSTITUTE(L491,"~","~~"),"*","~*"),"?","~?"))&lt;&gt;1,"Other amount is invalid",IF(J491&lt;&gt;0,"Amount differs","Matched")))))))</x:f>
      </x:c>
      <x:c r="L491" t="str">
        <x:f>IF(COUNTA(A491:F491)=0,"",LEN(A491)&amp;":"&amp;A491&amp;LEN(B491)&amp;":"&amp;B491&amp;LEN(C491)&amp;":"&amp;C491&amp;LEN(D491)&amp;":"&amp;D491)</x:f>
      </x:c>
      <x:c r="M491" t="str">
        <x:f>IF(COUNTA(A491:F491)=0,"",IF(ISNUMBER(E491),1,0))</x:f>
      </x:c>
    </x:row>
    <x:row r="492">
      <x:c r="A492" s="11"/>
      <x:c r="B492" s="11"/>
      <x:c r="C492" s="11"/>
      <x:c r="D492" s="11"/>
      <x:c r="E492" s="12"/>
      <x:c r="F492" s="10"/>
      <x:c r="G492" s="2" t="str">
        <x:f>IF(COUNTA(A492:F492)=0,"",COUNTIFS('External Data'!$L$2:$L$1001,SUBSTITUTE(SUBSTITUTE(SUBSTITUTE(L492,"~","~~"),"*","~*"),"?","~?")))</x:f>
      </x:c>
      <x:c r="H492" s="2" t="str">
        <x:f>IF(COUNTA(A492:F492)=0,"",COUNTIFS('App Data'!$L$2:$L$1001,SUBSTITUTE(SUBSTITUTE(SUBSTITUTE(L492,"~","~~"),"*","~*"),"?","~?")))</x:f>
      </x:c>
      <x:c r="I492" s="13" t="str">
        <x:f>IF(OR(H492&lt;&gt;1,G492&lt;&gt;1),"",SUMIFS('App Data'!$E$2:$E$1001,'App Data'!$L$2:$L$1001,SUBSTITUTE(SUBSTITUTE(SUBSTITUTE(L492,"~","~~"),"*","~*"),"?","~?")))</x:f>
      </x:c>
      <x:c r="J492" s="13" t="str">
        <x:f>IF(OR(NOT(ISNUMBER(E492)),NOT(ISNUMBER(I492))),"",ROUND(E492-I492,2))</x:f>
      </x:c>
      <x:c r="K492" s="2" t="str">
        <x:f>IF(COUNTA(A492:F492)=0,"",IF(OR(A492="",B492="",C492="",D492="",NOT(ISNUMBER(E492))),"Missing / invalid input",IF(G492&gt;1,"Duplicate key in this source",IF(H492=0,"Missing in other source",IF(H492&gt;1,"Duplicate in other source",IF(SUMIFS('App Data'!$M$2:$M$1001,'App Data'!$L$2:$L$1001,SUBSTITUTE(SUBSTITUTE(SUBSTITUTE(L492,"~","~~"),"*","~*"),"?","~?"))&lt;&gt;1,"Other amount is invalid",IF(J492&lt;&gt;0,"Amount differs","Matched")))))))</x:f>
      </x:c>
      <x:c r="L492" t="str">
        <x:f>IF(COUNTA(A492:F492)=0,"",LEN(A492)&amp;":"&amp;A492&amp;LEN(B492)&amp;":"&amp;B492&amp;LEN(C492)&amp;":"&amp;C492&amp;LEN(D492)&amp;":"&amp;D492)</x:f>
      </x:c>
      <x:c r="M492" t="str">
        <x:f>IF(COUNTA(A492:F492)=0,"",IF(ISNUMBER(E492),1,0))</x:f>
      </x:c>
    </x:row>
    <x:row r="493">
      <x:c r="A493" s="11"/>
      <x:c r="B493" s="11"/>
      <x:c r="C493" s="11"/>
      <x:c r="D493" s="11"/>
      <x:c r="E493" s="12"/>
      <x:c r="F493" s="10"/>
      <x:c r="G493" s="2" t="str">
        <x:f>IF(COUNTA(A493:F493)=0,"",COUNTIFS('External Data'!$L$2:$L$1001,SUBSTITUTE(SUBSTITUTE(SUBSTITUTE(L493,"~","~~"),"*","~*"),"?","~?")))</x:f>
      </x:c>
      <x:c r="H493" s="2" t="str">
        <x:f>IF(COUNTA(A493:F493)=0,"",COUNTIFS('App Data'!$L$2:$L$1001,SUBSTITUTE(SUBSTITUTE(SUBSTITUTE(L493,"~","~~"),"*","~*"),"?","~?")))</x:f>
      </x:c>
      <x:c r="I493" s="13" t="str">
        <x:f>IF(OR(H493&lt;&gt;1,G493&lt;&gt;1),"",SUMIFS('App Data'!$E$2:$E$1001,'App Data'!$L$2:$L$1001,SUBSTITUTE(SUBSTITUTE(SUBSTITUTE(L493,"~","~~"),"*","~*"),"?","~?")))</x:f>
      </x:c>
      <x:c r="J493" s="13" t="str">
        <x:f>IF(OR(NOT(ISNUMBER(E493)),NOT(ISNUMBER(I493))),"",ROUND(E493-I493,2))</x:f>
      </x:c>
      <x:c r="K493" s="2" t="str">
        <x:f>IF(COUNTA(A493:F493)=0,"",IF(OR(A493="",B493="",C493="",D493="",NOT(ISNUMBER(E493))),"Missing / invalid input",IF(G493&gt;1,"Duplicate key in this source",IF(H493=0,"Missing in other source",IF(H493&gt;1,"Duplicate in other source",IF(SUMIFS('App Data'!$M$2:$M$1001,'App Data'!$L$2:$L$1001,SUBSTITUTE(SUBSTITUTE(SUBSTITUTE(L493,"~","~~"),"*","~*"),"?","~?"))&lt;&gt;1,"Other amount is invalid",IF(J493&lt;&gt;0,"Amount differs","Matched")))))))</x:f>
      </x:c>
      <x:c r="L493" t="str">
        <x:f>IF(COUNTA(A493:F493)=0,"",LEN(A493)&amp;":"&amp;A493&amp;LEN(B493)&amp;":"&amp;B493&amp;LEN(C493)&amp;":"&amp;C493&amp;LEN(D493)&amp;":"&amp;D493)</x:f>
      </x:c>
      <x:c r="M493" t="str">
        <x:f>IF(COUNTA(A493:F493)=0,"",IF(ISNUMBER(E493),1,0))</x:f>
      </x:c>
    </x:row>
    <x:row r="494">
      <x:c r="A494" s="11"/>
      <x:c r="B494" s="11"/>
      <x:c r="C494" s="11"/>
      <x:c r="D494" s="11"/>
      <x:c r="E494" s="12"/>
      <x:c r="F494" s="10"/>
      <x:c r="G494" s="2" t="str">
        <x:f>IF(COUNTA(A494:F494)=0,"",COUNTIFS('External Data'!$L$2:$L$1001,SUBSTITUTE(SUBSTITUTE(SUBSTITUTE(L494,"~","~~"),"*","~*"),"?","~?")))</x:f>
      </x:c>
      <x:c r="H494" s="2" t="str">
        <x:f>IF(COUNTA(A494:F494)=0,"",COUNTIFS('App Data'!$L$2:$L$1001,SUBSTITUTE(SUBSTITUTE(SUBSTITUTE(L494,"~","~~"),"*","~*"),"?","~?")))</x:f>
      </x:c>
      <x:c r="I494" s="13" t="str">
        <x:f>IF(OR(H494&lt;&gt;1,G494&lt;&gt;1),"",SUMIFS('App Data'!$E$2:$E$1001,'App Data'!$L$2:$L$1001,SUBSTITUTE(SUBSTITUTE(SUBSTITUTE(L494,"~","~~"),"*","~*"),"?","~?")))</x:f>
      </x:c>
      <x:c r="J494" s="13" t="str">
        <x:f>IF(OR(NOT(ISNUMBER(E494)),NOT(ISNUMBER(I494))),"",ROUND(E494-I494,2))</x:f>
      </x:c>
      <x:c r="K494" s="2" t="str">
        <x:f>IF(COUNTA(A494:F494)=0,"",IF(OR(A494="",B494="",C494="",D494="",NOT(ISNUMBER(E494))),"Missing / invalid input",IF(G494&gt;1,"Duplicate key in this source",IF(H494=0,"Missing in other source",IF(H494&gt;1,"Duplicate in other source",IF(SUMIFS('App Data'!$M$2:$M$1001,'App Data'!$L$2:$L$1001,SUBSTITUTE(SUBSTITUTE(SUBSTITUTE(L494,"~","~~"),"*","~*"),"?","~?"))&lt;&gt;1,"Other amount is invalid",IF(J494&lt;&gt;0,"Amount differs","Matched")))))))</x:f>
      </x:c>
      <x:c r="L494" t="str">
        <x:f>IF(COUNTA(A494:F494)=0,"",LEN(A494)&amp;":"&amp;A494&amp;LEN(B494)&amp;":"&amp;B494&amp;LEN(C494)&amp;":"&amp;C494&amp;LEN(D494)&amp;":"&amp;D494)</x:f>
      </x:c>
      <x:c r="M494" t="str">
        <x:f>IF(COUNTA(A494:F494)=0,"",IF(ISNUMBER(E494),1,0))</x:f>
      </x:c>
    </x:row>
    <x:row r="495">
      <x:c r="A495" s="11"/>
      <x:c r="B495" s="11"/>
      <x:c r="C495" s="11"/>
      <x:c r="D495" s="11"/>
      <x:c r="E495" s="12"/>
      <x:c r="F495" s="10"/>
      <x:c r="G495" s="2" t="str">
        <x:f>IF(COUNTA(A495:F495)=0,"",COUNTIFS('External Data'!$L$2:$L$1001,SUBSTITUTE(SUBSTITUTE(SUBSTITUTE(L495,"~","~~"),"*","~*"),"?","~?")))</x:f>
      </x:c>
      <x:c r="H495" s="2" t="str">
        <x:f>IF(COUNTA(A495:F495)=0,"",COUNTIFS('App Data'!$L$2:$L$1001,SUBSTITUTE(SUBSTITUTE(SUBSTITUTE(L495,"~","~~"),"*","~*"),"?","~?")))</x:f>
      </x:c>
      <x:c r="I495" s="13" t="str">
        <x:f>IF(OR(H495&lt;&gt;1,G495&lt;&gt;1),"",SUMIFS('App Data'!$E$2:$E$1001,'App Data'!$L$2:$L$1001,SUBSTITUTE(SUBSTITUTE(SUBSTITUTE(L495,"~","~~"),"*","~*"),"?","~?")))</x:f>
      </x:c>
      <x:c r="J495" s="13" t="str">
        <x:f>IF(OR(NOT(ISNUMBER(E495)),NOT(ISNUMBER(I495))),"",ROUND(E495-I495,2))</x:f>
      </x:c>
      <x:c r="K495" s="2" t="str">
        <x:f>IF(COUNTA(A495:F495)=0,"",IF(OR(A495="",B495="",C495="",D495="",NOT(ISNUMBER(E495))),"Missing / invalid input",IF(G495&gt;1,"Duplicate key in this source",IF(H495=0,"Missing in other source",IF(H495&gt;1,"Duplicate in other source",IF(SUMIFS('App Data'!$M$2:$M$1001,'App Data'!$L$2:$L$1001,SUBSTITUTE(SUBSTITUTE(SUBSTITUTE(L495,"~","~~"),"*","~*"),"?","~?"))&lt;&gt;1,"Other amount is invalid",IF(J495&lt;&gt;0,"Amount differs","Matched")))))))</x:f>
      </x:c>
      <x:c r="L495" t="str">
        <x:f>IF(COUNTA(A495:F495)=0,"",LEN(A495)&amp;":"&amp;A495&amp;LEN(B495)&amp;":"&amp;B495&amp;LEN(C495)&amp;":"&amp;C495&amp;LEN(D495)&amp;":"&amp;D495)</x:f>
      </x:c>
      <x:c r="M495" t="str">
        <x:f>IF(COUNTA(A495:F495)=0,"",IF(ISNUMBER(E495),1,0))</x:f>
      </x:c>
    </x:row>
    <x:row r="496">
      <x:c r="A496" s="11"/>
      <x:c r="B496" s="11"/>
      <x:c r="C496" s="11"/>
      <x:c r="D496" s="11"/>
      <x:c r="E496" s="12"/>
      <x:c r="F496" s="10"/>
      <x:c r="G496" s="2" t="str">
        <x:f>IF(COUNTA(A496:F496)=0,"",COUNTIFS('External Data'!$L$2:$L$1001,SUBSTITUTE(SUBSTITUTE(SUBSTITUTE(L496,"~","~~"),"*","~*"),"?","~?")))</x:f>
      </x:c>
      <x:c r="H496" s="2" t="str">
        <x:f>IF(COUNTA(A496:F496)=0,"",COUNTIFS('App Data'!$L$2:$L$1001,SUBSTITUTE(SUBSTITUTE(SUBSTITUTE(L496,"~","~~"),"*","~*"),"?","~?")))</x:f>
      </x:c>
      <x:c r="I496" s="13" t="str">
        <x:f>IF(OR(H496&lt;&gt;1,G496&lt;&gt;1),"",SUMIFS('App Data'!$E$2:$E$1001,'App Data'!$L$2:$L$1001,SUBSTITUTE(SUBSTITUTE(SUBSTITUTE(L496,"~","~~"),"*","~*"),"?","~?")))</x:f>
      </x:c>
      <x:c r="J496" s="13" t="str">
        <x:f>IF(OR(NOT(ISNUMBER(E496)),NOT(ISNUMBER(I496))),"",ROUND(E496-I496,2))</x:f>
      </x:c>
      <x:c r="K496" s="2" t="str">
        <x:f>IF(COUNTA(A496:F496)=0,"",IF(OR(A496="",B496="",C496="",D496="",NOT(ISNUMBER(E496))),"Missing / invalid input",IF(G496&gt;1,"Duplicate key in this source",IF(H496=0,"Missing in other source",IF(H496&gt;1,"Duplicate in other source",IF(SUMIFS('App Data'!$M$2:$M$1001,'App Data'!$L$2:$L$1001,SUBSTITUTE(SUBSTITUTE(SUBSTITUTE(L496,"~","~~"),"*","~*"),"?","~?"))&lt;&gt;1,"Other amount is invalid",IF(J496&lt;&gt;0,"Amount differs","Matched")))))))</x:f>
      </x:c>
      <x:c r="L496" t="str">
        <x:f>IF(COUNTA(A496:F496)=0,"",LEN(A496)&amp;":"&amp;A496&amp;LEN(B496)&amp;":"&amp;B496&amp;LEN(C496)&amp;":"&amp;C496&amp;LEN(D496)&amp;":"&amp;D496)</x:f>
      </x:c>
      <x:c r="M496" t="str">
        <x:f>IF(COUNTA(A496:F496)=0,"",IF(ISNUMBER(E496),1,0))</x:f>
      </x:c>
    </x:row>
    <x:row r="497">
      <x:c r="A497" s="11"/>
      <x:c r="B497" s="11"/>
      <x:c r="C497" s="11"/>
      <x:c r="D497" s="11"/>
      <x:c r="E497" s="12"/>
      <x:c r="F497" s="10"/>
      <x:c r="G497" s="2" t="str">
        <x:f>IF(COUNTA(A497:F497)=0,"",COUNTIFS('External Data'!$L$2:$L$1001,SUBSTITUTE(SUBSTITUTE(SUBSTITUTE(L497,"~","~~"),"*","~*"),"?","~?")))</x:f>
      </x:c>
      <x:c r="H497" s="2" t="str">
        <x:f>IF(COUNTA(A497:F497)=0,"",COUNTIFS('App Data'!$L$2:$L$1001,SUBSTITUTE(SUBSTITUTE(SUBSTITUTE(L497,"~","~~"),"*","~*"),"?","~?")))</x:f>
      </x:c>
      <x:c r="I497" s="13" t="str">
        <x:f>IF(OR(H497&lt;&gt;1,G497&lt;&gt;1),"",SUMIFS('App Data'!$E$2:$E$1001,'App Data'!$L$2:$L$1001,SUBSTITUTE(SUBSTITUTE(SUBSTITUTE(L497,"~","~~"),"*","~*"),"?","~?")))</x:f>
      </x:c>
      <x:c r="J497" s="13" t="str">
        <x:f>IF(OR(NOT(ISNUMBER(E497)),NOT(ISNUMBER(I497))),"",ROUND(E497-I497,2))</x:f>
      </x:c>
      <x:c r="K497" s="2" t="str">
        <x:f>IF(COUNTA(A497:F497)=0,"",IF(OR(A497="",B497="",C497="",D497="",NOT(ISNUMBER(E497))),"Missing / invalid input",IF(G497&gt;1,"Duplicate key in this source",IF(H497=0,"Missing in other source",IF(H497&gt;1,"Duplicate in other source",IF(SUMIFS('App Data'!$M$2:$M$1001,'App Data'!$L$2:$L$1001,SUBSTITUTE(SUBSTITUTE(SUBSTITUTE(L497,"~","~~"),"*","~*"),"?","~?"))&lt;&gt;1,"Other amount is invalid",IF(J497&lt;&gt;0,"Amount differs","Matched")))))))</x:f>
      </x:c>
      <x:c r="L497" t="str">
        <x:f>IF(COUNTA(A497:F497)=0,"",LEN(A497)&amp;":"&amp;A497&amp;LEN(B497)&amp;":"&amp;B497&amp;LEN(C497)&amp;":"&amp;C497&amp;LEN(D497)&amp;":"&amp;D497)</x:f>
      </x:c>
      <x:c r="M497" t="str">
        <x:f>IF(COUNTA(A497:F497)=0,"",IF(ISNUMBER(E497),1,0))</x:f>
      </x:c>
    </x:row>
    <x:row r="498">
      <x:c r="A498" s="11"/>
      <x:c r="B498" s="11"/>
      <x:c r="C498" s="11"/>
      <x:c r="D498" s="11"/>
      <x:c r="E498" s="12"/>
      <x:c r="F498" s="10"/>
      <x:c r="G498" s="2" t="str">
        <x:f>IF(COUNTA(A498:F498)=0,"",COUNTIFS('External Data'!$L$2:$L$1001,SUBSTITUTE(SUBSTITUTE(SUBSTITUTE(L498,"~","~~"),"*","~*"),"?","~?")))</x:f>
      </x:c>
      <x:c r="H498" s="2" t="str">
        <x:f>IF(COUNTA(A498:F498)=0,"",COUNTIFS('App Data'!$L$2:$L$1001,SUBSTITUTE(SUBSTITUTE(SUBSTITUTE(L498,"~","~~"),"*","~*"),"?","~?")))</x:f>
      </x:c>
      <x:c r="I498" s="13" t="str">
        <x:f>IF(OR(H498&lt;&gt;1,G498&lt;&gt;1),"",SUMIFS('App Data'!$E$2:$E$1001,'App Data'!$L$2:$L$1001,SUBSTITUTE(SUBSTITUTE(SUBSTITUTE(L498,"~","~~"),"*","~*"),"?","~?")))</x:f>
      </x:c>
      <x:c r="J498" s="13" t="str">
        <x:f>IF(OR(NOT(ISNUMBER(E498)),NOT(ISNUMBER(I498))),"",ROUND(E498-I498,2))</x:f>
      </x:c>
      <x:c r="K498" s="2" t="str">
        <x:f>IF(COUNTA(A498:F498)=0,"",IF(OR(A498="",B498="",C498="",D498="",NOT(ISNUMBER(E498))),"Missing / invalid input",IF(G498&gt;1,"Duplicate key in this source",IF(H498=0,"Missing in other source",IF(H498&gt;1,"Duplicate in other source",IF(SUMIFS('App Data'!$M$2:$M$1001,'App Data'!$L$2:$L$1001,SUBSTITUTE(SUBSTITUTE(SUBSTITUTE(L498,"~","~~"),"*","~*"),"?","~?"))&lt;&gt;1,"Other amount is invalid",IF(J498&lt;&gt;0,"Amount differs","Matched")))))))</x:f>
      </x:c>
      <x:c r="L498" t="str">
        <x:f>IF(COUNTA(A498:F498)=0,"",LEN(A498)&amp;":"&amp;A498&amp;LEN(B498)&amp;":"&amp;B498&amp;LEN(C498)&amp;":"&amp;C498&amp;LEN(D498)&amp;":"&amp;D498)</x:f>
      </x:c>
      <x:c r="M498" t="str">
        <x:f>IF(COUNTA(A498:F498)=0,"",IF(ISNUMBER(E498),1,0))</x:f>
      </x:c>
    </x:row>
    <x:row r="499">
      <x:c r="A499" s="11"/>
      <x:c r="B499" s="11"/>
      <x:c r="C499" s="11"/>
      <x:c r="D499" s="11"/>
      <x:c r="E499" s="12"/>
      <x:c r="F499" s="10"/>
      <x:c r="G499" s="2" t="str">
        <x:f>IF(COUNTA(A499:F499)=0,"",COUNTIFS('External Data'!$L$2:$L$1001,SUBSTITUTE(SUBSTITUTE(SUBSTITUTE(L499,"~","~~"),"*","~*"),"?","~?")))</x:f>
      </x:c>
      <x:c r="H499" s="2" t="str">
        <x:f>IF(COUNTA(A499:F499)=0,"",COUNTIFS('App Data'!$L$2:$L$1001,SUBSTITUTE(SUBSTITUTE(SUBSTITUTE(L499,"~","~~"),"*","~*"),"?","~?")))</x:f>
      </x:c>
      <x:c r="I499" s="13" t="str">
        <x:f>IF(OR(H499&lt;&gt;1,G499&lt;&gt;1),"",SUMIFS('App Data'!$E$2:$E$1001,'App Data'!$L$2:$L$1001,SUBSTITUTE(SUBSTITUTE(SUBSTITUTE(L499,"~","~~"),"*","~*"),"?","~?")))</x:f>
      </x:c>
      <x:c r="J499" s="13" t="str">
        <x:f>IF(OR(NOT(ISNUMBER(E499)),NOT(ISNUMBER(I499))),"",ROUND(E499-I499,2))</x:f>
      </x:c>
      <x:c r="K499" s="2" t="str">
        <x:f>IF(COUNTA(A499:F499)=0,"",IF(OR(A499="",B499="",C499="",D499="",NOT(ISNUMBER(E499))),"Missing / invalid input",IF(G499&gt;1,"Duplicate key in this source",IF(H499=0,"Missing in other source",IF(H499&gt;1,"Duplicate in other source",IF(SUMIFS('App Data'!$M$2:$M$1001,'App Data'!$L$2:$L$1001,SUBSTITUTE(SUBSTITUTE(SUBSTITUTE(L499,"~","~~"),"*","~*"),"?","~?"))&lt;&gt;1,"Other amount is invalid",IF(J499&lt;&gt;0,"Amount differs","Matched")))))))</x:f>
      </x:c>
      <x:c r="L499" t="str">
        <x:f>IF(COUNTA(A499:F499)=0,"",LEN(A499)&amp;":"&amp;A499&amp;LEN(B499)&amp;":"&amp;B499&amp;LEN(C499)&amp;":"&amp;C499&amp;LEN(D499)&amp;":"&amp;D499)</x:f>
      </x:c>
      <x:c r="M499" t="str">
        <x:f>IF(COUNTA(A499:F499)=0,"",IF(ISNUMBER(E499),1,0))</x:f>
      </x:c>
    </x:row>
    <x:row r="500">
      <x:c r="A500" s="11"/>
      <x:c r="B500" s="11"/>
      <x:c r="C500" s="11"/>
      <x:c r="D500" s="11"/>
      <x:c r="E500" s="12"/>
      <x:c r="F500" s="10"/>
      <x:c r="G500" s="2" t="str">
        <x:f>IF(COUNTA(A500:F500)=0,"",COUNTIFS('External Data'!$L$2:$L$1001,SUBSTITUTE(SUBSTITUTE(SUBSTITUTE(L500,"~","~~"),"*","~*"),"?","~?")))</x:f>
      </x:c>
      <x:c r="H500" s="2" t="str">
        <x:f>IF(COUNTA(A500:F500)=0,"",COUNTIFS('App Data'!$L$2:$L$1001,SUBSTITUTE(SUBSTITUTE(SUBSTITUTE(L500,"~","~~"),"*","~*"),"?","~?")))</x:f>
      </x:c>
      <x:c r="I500" s="13" t="str">
        <x:f>IF(OR(H500&lt;&gt;1,G500&lt;&gt;1),"",SUMIFS('App Data'!$E$2:$E$1001,'App Data'!$L$2:$L$1001,SUBSTITUTE(SUBSTITUTE(SUBSTITUTE(L500,"~","~~"),"*","~*"),"?","~?")))</x:f>
      </x:c>
      <x:c r="J500" s="13" t="str">
        <x:f>IF(OR(NOT(ISNUMBER(E500)),NOT(ISNUMBER(I500))),"",ROUND(E500-I500,2))</x:f>
      </x:c>
      <x:c r="K500" s="2" t="str">
        <x:f>IF(COUNTA(A500:F500)=0,"",IF(OR(A500="",B500="",C500="",D500="",NOT(ISNUMBER(E500))),"Missing / invalid input",IF(G500&gt;1,"Duplicate key in this source",IF(H500=0,"Missing in other source",IF(H500&gt;1,"Duplicate in other source",IF(SUMIFS('App Data'!$M$2:$M$1001,'App Data'!$L$2:$L$1001,SUBSTITUTE(SUBSTITUTE(SUBSTITUTE(L500,"~","~~"),"*","~*"),"?","~?"))&lt;&gt;1,"Other amount is invalid",IF(J500&lt;&gt;0,"Amount differs","Matched")))))))</x:f>
      </x:c>
      <x:c r="L500" t="str">
        <x:f>IF(COUNTA(A500:F500)=0,"",LEN(A500)&amp;":"&amp;A500&amp;LEN(B500)&amp;":"&amp;B500&amp;LEN(C500)&amp;":"&amp;C500&amp;LEN(D500)&amp;":"&amp;D500)</x:f>
      </x:c>
      <x:c r="M500" t="str">
        <x:f>IF(COUNTA(A500:F500)=0,"",IF(ISNUMBER(E500),1,0))</x:f>
      </x:c>
    </x:row>
    <x:row r="501">
      <x:c r="A501" s="11"/>
      <x:c r="B501" s="11"/>
      <x:c r="C501" s="11"/>
      <x:c r="D501" s="11"/>
      <x:c r="E501" s="12"/>
      <x:c r="F501" s="10"/>
      <x:c r="G501" s="2" t="str">
        <x:f>IF(COUNTA(A501:F501)=0,"",COUNTIFS('External Data'!$L$2:$L$1001,SUBSTITUTE(SUBSTITUTE(SUBSTITUTE(L501,"~","~~"),"*","~*"),"?","~?")))</x:f>
      </x:c>
      <x:c r="H501" s="2" t="str">
        <x:f>IF(COUNTA(A501:F501)=0,"",COUNTIFS('App Data'!$L$2:$L$1001,SUBSTITUTE(SUBSTITUTE(SUBSTITUTE(L501,"~","~~"),"*","~*"),"?","~?")))</x:f>
      </x:c>
      <x:c r="I501" s="13" t="str">
        <x:f>IF(OR(H501&lt;&gt;1,G501&lt;&gt;1),"",SUMIFS('App Data'!$E$2:$E$1001,'App Data'!$L$2:$L$1001,SUBSTITUTE(SUBSTITUTE(SUBSTITUTE(L501,"~","~~"),"*","~*"),"?","~?")))</x:f>
      </x:c>
      <x:c r="J501" s="13" t="str">
        <x:f>IF(OR(NOT(ISNUMBER(E501)),NOT(ISNUMBER(I501))),"",ROUND(E501-I501,2))</x:f>
      </x:c>
      <x:c r="K501" s="2" t="str">
        <x:f>IF(COUNTA(A501:F501)=0,"",IF(OR(A501="",B501="",C501="",D501="",NOT(ISNUMBER(E501))),"Missing / invalid input",IF(G501&gt;1,"Duplicate key in this source",IF(H501=0,"Missing in other source",IF(H501&gt;1,"Duplicate in other source",IF(SUMIFS('App Data'!$M$2:$M$1001,'App Data'!$L$2:$L$1001,SUBSTITUTE(SUBSTITUTE(SUBSTITUTE(L501,"~","~~"),"*","~*"),"?","~?"))&lt;&gt;1,"Other amount is invalid",IF(J501&lt;&gt;0,"Amount differs","Matched")))))))</x:f>
      </x:c>
      <x:c r="L501" t="str">
        <x:f>IF(COUNTA(A501:F501)=0,"",LEN(A501)&amp;":"&amp;A501&amp;LEN(B501)&amp;":"&amp;B501&amp;LEN(C501)&amp;":"&amp;C501&amp;LEN(D501)&amp;":"&amp;D501)</x:f>
      </x:c>
      <x:c r="M501" t="str">
        <x:f>IF(COUNTA(A501:F501)=0,"",IF(ISNUMBER(E501),1,0))</x:f>
      </x:c>
    </x:row>
    <x:row r="502">
      <x:c r="A502" s="11"/>
      <x:c r="B502" s="11"/>
      <x:c r="C502" s="11"/>
      <x:c r="D502" s="11"/>
      <x:c r="E502" s="12"/>
      <x:c r="F502" s="10"/>
      <x:c r="G502" s="2" t="str">
        <x:f>IF(COUNTA(A502:F502)=0,"",COUNTIFS('External Data'!$L$2:$L$1001,SUBSTITUTE(SUBSTITUTE(SUBSTITUTE(L502,"~","~~"),"*","~*"),"?","~?")))</x:f>
      </x:c>
      <x:c r="H502" s="2" t="str">
        <x:f>IF(COUNTA(A502:F502)=0,"",COUNTIFS('App Data'!$L$2:$L$1001,SUBSTITUTE(SUBSTITUTE(SUBSTITUTE(L502,"~","~~"),"*","~*"),"?","~?")))</x:f>
      </x:c>
      <x:c r="I502" s="13" t="str">
        <x:f>IF(OR(H502&lt;&gt;1,G502&lt;&gt;1),"",SUMIFS('App Data'!$E$2:$E$1001,'App Data'!$L$2:$L$1001,SUBSTITUTE(SUBSTITUTE(SUBSTITUTE(L502,"~","~~"),"*","~*"),"?","~?")))</x:f>
      </x:c>
      <x:c r="J502" s="13" t="str">
        <x:f>IF(OR(NOT(ISNUMBER(E502)),NOT(ISNUMBER(I502))),"",ROUND(E502-I502,2))</x:f>
      </x:c>
      <x:c r="K502" s="2" t="str">
        <x:f>IF(COUNTA(A502:F502)=0,"",IF(OR(A502="",B502="",C502="",D502="",NOT(ISNUMBER(E502))),"Missing / invalid input",IF(G502&gt;1,"Duplicate key in this source",IF(H502=0,"Missing in other source",IF(H502&gt;1,"Duplicate in other source",IF(SUMIFS('App Data'!$M$2:$M$1001,'App Data'!$L$2:$L$1001,SUBSTITUTE(SUBSTITUTE(SUBSTITUTE(L502,"~","~~"),"*","~*"),"?","~?"))&lt;&gt;1,"Other amount is invalid",IF(J502&lt;&gt;0,"Amount differs","Matched")))))))</x:f>
      </x:c>
      <x:c r="L502" t="str">
        <x:f>IF(COUNTA(A502:F502)=0,"",LEN(A502)&amp;":"&amp;A502&amp;LEN(B502)&amp;":"&amp;B502&amp;LEN(C502)&amp;":"&amp;C502&amp;LEN(D502)&amp;":"&amp;D502)</x:f>
      </x:c>
      <x:c r="M502" t="str">
        <x:f>IF(COUNTA(A502:F502)=0,"",IF(ISNUMBER(E502),1,0))</x:f>
      </x:c>
    </x:row>
    <x:row r="503">
      <x:c r="A503" s="11"/>
      <x:c r="B503" s="11"/>
      <x:c r="C503" s="11"/>
      <x:c r="D503" s="11"/>
      <x:c r="E503" s="12"/>
      <x:c r="F503" s="10"/>
      <x:c r="G503" s="2" t="str">
        <x:f>IF(COUNTA(A503:F503)=0,"",COUNTIFS('External Data'!$L$2:$L$1001,SUBSTITUTE(SUBSTITUTE(SUBSTITUTE(L503,"~","~~"),"*","~*"),"?","~?")))</x:f>
      </x:c>
      <x:c r="H503" s="2" t="str">
        <x:f>IF(COUNTA(A503:F503)=0,"",COUNTIFS('App Data'!$L$2:$L$1001,SUBSTITUTE(SUBSTITUTE(SUBSTITUTE(L503,"~","~~"),"*","~*"),"?","~?")))</x:f>
      </x:c>
      <x:c r="I503" s="13" t="str">
        <x:f>IF(OR(H503&lt;&gt;1,G503&lt;&gt;1),"",SUMIFS('App Data'!$E$2:$E$1001,'App Data'!$L$2:$L$1001,SUBSTITUTE(SUBSTITUTE(SUBSTITUTE(L503,"~","~~"),"*","~*"),"?","~?")))</x:f>
      </x:c>
      <x:c r="J503" s="13" t="str">
        <x:f>IF(OR(NOT(ISNUMBER(E503)),NOT(ISNUMBER(I503))),"",ROUND(E503-I503,2))</x:f>
      </x:c>
      <x:c r="K503" s="2" t="str">
        <x:f>IF(COUNTA(A503:F503)=0,"",IF(OR(A503="",B503="",C503="",D503="",NOT(ISNUMBER(E503))),"Missing / invalid input",IF(G503&gt;1,"Duplicate key in this source",IF(H503=0,"Missing in other source",IF(H503&gt;1,"Duplicate in other source",IF(SUMIFS('App Data'!$M$2:$M$1001,'App Data'!$L$2:$L$1001,SUBSTITUTE(SUBSTITUTE(SUBSTITUTE(L503,"~","~~"),"*","~*"),"?","~?"))&lt;&gt;1,"Other amount is invalid",IF(J503&lt;&gt;0,"Amount differs","Matched")))))))</x:f>
      </x:c>
      <x:c r="L503" t="str">
        <x:f>IF(COUNTA(A503:F503)=0,"",LEN(A503)&amp;":"&amp;A503&amp;LEN(B503)&amp;":"&amp;B503&amp;LEN(C503)&amp;":"&amp;C503&amp;LEN(D503)&amp;":"&amp;D503)</x:f>
      </x:c>
      <x:c r="M503" t="str">
        <x:f>IF(COUNTA(A503:F503)=0,"",IF(ISNUMBER(E503),1,0))</x:f>
      </x:c>
    </x:row>
    <x:row r="504">
      <x:c r="A504" s="11"/>
      <x:c r="B504" s="11"/>
      <x:c r="C504" s="11"/>
      <x:c r="D504" s="11"/>
      <x:c r="E504" s="12"/>
      <x:c r="F504" s="10"/>
      <x:c r="G504" s="2" t="str">
        <x:f>IF(COUNTA(A504:F504)=0,"",COUNTIFS('External Data'!$L$2:$L$1001,SUBSTITUTE(SUBSTITUTE(SUBSTITUTE(L504,"~","~~"),"*","~*"),"?","~?")))</x:f>
      </x:c>
      <x:c r="H504" s="2" t="str">
        <x:f>IF(COUNTA(A504:F504)=0,"",COUNTIFS('App Data'!$L$2:$L$1001,SUBSTITUTE(SUBSTITUTE(SUBSTITUTE(L504,"~","~~"),"*","~*"),"?","~?")))</x:f>
      </x:c>
      <x:c r="I504" s="13" t="str">
        <x:f>IF(OR(H504&lt;&gt;1,G504&lt;&gt;1),"",SUMIFS('App Data'!$E$2:$E$1001,'App Data'!$L$2:$L$1001,SUBSTITUTE(SUBSTITUTE(SUBSTITUTE(L504,"~","~~"),"*","~*"),"?","~?")))</x:f>
      </x:c>
      <x:c r="J504" s="13" t="str">
        <x:f>IF(OR(NOT(ISNUMBER(E504)),NOT(ISNUMBER(I504))),"",ROUND(E504-I504,2))</x:f>
      </x:c>
      <x:c r="K504" s="2" t="str">
        <x:f>IF(COUNTA(A504:F504)=0,"",IF(OR(A504="",B504="",C504="",D504="",NOT(ISNUMBER(E504))),"Missing / invalid input",IF(G504&gt;1,"Duplicate key in this source",IF(H504=0,"Missing in other source",IF(H504&gt;1,"Duplicate in other source",IF(SUMIFS('App Data'!$M$2:$M$1001,'App Data'!$L$2:$L$1001,SUBSTITUTE(SUBSTITUTE(SUBSTITUTE(L504,"~","~~"),"*","~*"),"?","~?"))&lt;&gt;1,"Other amount is invalid",IF(J504&lt;&gt;0,"Amount differs","Matched")))))))</x:f>
      </x:c>
      <x:c r="L504" t="str">
        <x:f>IF(COUNTA(A504:F504)=0,"",LEN(A504)&amp;":"&amp;A504&amp;LEN(B504)&amp;":"&amp;B504&amp;LEN(C504)&amp;":"&amp;C504&amp;LEN(D504)&amp;":"&amp;D504)</x:f>
      </x:c>
      <x:c r="M504" t="str">
        <x:f>IF(COUNTA(A504:F504)=0,"",IF(ISNUMBER(E504),1,0))</x:f>
      </x:c>
    </x:row>
    <x:row r="505">
      <x:c r="A505" s="11"/>
      <x:c r="B505" s="11"/>
      <x:c r="C505" s="11"/>
      <x:c r="D505" s="11"/>
      <x:c r="E505" s="12"/>
      <x:c r="F505" s="10"/>
      <x:c r="G505" s="2" t="str">
        <x:f>IF(COUNTA(A505:F505)=0,"",COUNTIFS('External Data'!$L$2:$L$1001,SUBSTITUTE(SUBSTITUTE(SUBSTITUTE(L505,"~","~~"),"*","~*"),"?","~?")))</x:f>
      </x:c>
      <x:c r="H505" s="2" t="str">
        <x:f>IF(COUNTA(A505:F505)=0,"",COUNTIFS('App Data'!$L$2:$L$1001,SUBSTITUTE(SUBSTITUTE(SUBSTITUTE(L505,"~","~~"),"*","~*"),"?","~?")))</x:f>
      </x:c>
      <x:c r="I505" s="13" t="str">
        <x:f>IF(OR(H505&lt;&gt;1,G505&lt;&gt;1),"",SUMIFS('App Data'!$E$2:$E$1001,'App Data'!$L$2:$L$1001,SUBSTITUTE(SUBSTITUTE(SUBSTITUTE(L505,"~","~~"),"*","~*"),"?","~?")))</x:f>
      </x:c>
      <x:c r="J505" s="13" t="str">
        <x:f>IF(OR(NOT(ISNUMBER(E505)),NOT(ISNUMBER(I505))),"",ROUND(E505-I505,2))</x:f>
      </x:c>
      <x:c r="K505" s="2" t="str">
        <x:f>IF(COUNTA(A505:F505)=0,"",IF(OR(A505="",B505="",C505="",D505="",NOT(ISNUMBER(E505))),"Missing / invalid input",IF(G505&gt;1,"Duplicate key in this source",IF(H505=0,"Missing in other source",IF(H505&gt;1,"Duplicate in other source",IF(SUMIFS('App Data'!$M$2:$M$1001,'App Data'!$L$2:$L$1001,SUBSTITUTE(SUBSTITUTE(SUBSTITUTE(L505,"~","~~"),"*","~*"),"?","~?"))&lt;&gt;1,"Other amount is invalid",IF(J505&lt;&gt;0,"Amount differs","Matched")))))))</x:f>
      </x:c>
      <x:c r="L505" t="str">
        <x:f>IF(COUNTA(A505:F505)=0,"",LEN(A505)&amp;":"&amp;A505&amp;LEN(B505)&amp;":"&amp;B505&amp;LEN(C505)&amp;":"&amp;C505&amp;LEN(D505)&amp;":"&amp;D505)</x:f>
      </x:c>
      <x:c r="M505" t="str">
        <x:f>IF(COUNTA(A505:F505)=0,"",IF(ISNUMBER(E505),1,0))</x:f>
      </x:c>
    </x:row>
    <x:row r="506">
      <x:c r="A506" s="11"/>
      <x:c r="B506" s="11"/>
      <x:c r="C506" s="11"/>
      <x:c r="D506" s="11"/>
      <x:c r="E506" s="12"/>
      <x:c r="F506" s="10"/>
      <x:c r="G506" s="2" t="str">
        <x:f>IF(COUNTA(A506:F506)=0,"",COUNTIFS('External Data'!$L$2:$L$1001,SUBSTITUTE(SUBSTITUTE(SUBSTITUTE(L506,"~","~~"),"*","~*"),"?","~?")))</x:f>
      </x:c>
      <x:c r="H506" s="2" t="str">
        <x:f>IF(COUNTA(A506:F506)=0,"",COUNTIFS('App Data'!$L$2:$L$1001,SUBSTITUTE(SUBSTITUTE(SUBSTITUTE(L506,"~","~~"),"*","~*"),"?","~?")))</x:f>
      </x:c>
      <x:c r="I506" s="13" t="str">
        <x:f>IF(OR(H506&lt;&gt;1,G506&lt;&gt;1),"",SUMIFS('App Data'!$E$2:$E$1001,'App Data'!$L$2:$L$1001,SUBSTITUTE(SUBSTITUTE(SUBSTITUTE(L506,"~","~~"),"*","~*"),"?","~?")))</x:f>
      </x:c>
      <x:c r="J506" s="13" t="str">
        <x:f>IF(OR(NOT(ISNUMBER(E506)),NOT(ISNUMBER(I506))),"",ROUND(E506-I506,2))</x:f>
      </x:c>
      <x:c r="K506" s="2" t="str">
        <x:f>IF(COUNTA(A506:F506)=0,"",IF(OR(A506="",B506="",C506="",D506="",NOT(ISNUMBER(E506))),"Missing / invalid input",IF(G506&gt;1,"Duplicate key in this source",IF(H506=0,"Missing in other source",IF(H506&gt;1,"Duplicate in other source",IF(SUMIFS('App Data'!$M$2:$M$1001,'App Data'!$L$2:$L$1001,SUBSTITUTE(SUBSTITUTE(SUBSTITUTE(L506,"~","~~"),"*","~*"),"?","~?"))&lt;&gt;1,"Other amount is invalid",IF(J506&lt;&gt;0,"Amount differs","Matched")))))))</x:f>
      </x:c>
      <x:c r="L506" t="str">
        <x:f>IF(COUNTA(A506:F506)=0,"",LEN(A506)&amp;":"&amp;A506&amp;LEN(B506)&amp;":"&amp;B506&amp;LEN(C506)&amp;":"&amp;C506&amp;LEN(D506)&amp;":"&amp;D506)</x:f>
      </x:c>
      <x:c r="M506" t="str">
        <x:f>IF(COUNTA(A506:F506)=0,"",IF(ISNUMBER(E506),1,0))</x:f>
      </x:c>
    </x:row>
    <x:row r="507">
      <x:c r="A507" s="11"/>
      <x:c r="B507" s="11"/>
      <x:c r="C507" s="11"/>
      <x:c r="D507" s="11"/>
      <x:c r="E507" s="12"/>
      <x:c r="F507" s="10"/>
      <x:c r="G507" s="2" t="str">
        <x:f>IF(COUNTA(A507:F507)=0,"",COUNTIFS('External Data'!$L$2:$L$1001,SUBSTITUTE(SUBSTITUTE(SUBSTITUTE(L507,"~","~~"),"*","~*"),"?","~?")))</x:f>
      </x:c>
      <x:c r="H507" s="2" t="str">
        <x:f>IF(COUNTA(A507:F507)=0,"",COUNTIFS('App Data'!$L$2:$L$1001,SUBSTITUTE(SUBSTITUTE(SUBSTITUTE(L507,"~","~~"),"*","~*"),"?","~?")))</x:f>
      </x:c>
      <x:c r="I507" s="13" t="str">
        <x:f>IF(OR(H507&lt;&gt;1,G507&lt;&gt;1),"",SUMIFS('App Data'!$E$2:$E$1001,'App Data'!$L$2:$L$1001,SUBSTITUTE(SUBSTITUTE(SUBSTITUTE(L507,"~","~~"),"*","~*"),"?","~?")))</x:f>
      </x:c>
      <x:c r="J507" s="13" t="str">
        <x:f>IF(OR(NOT(ISNUMBER(E507)),NOT(ISNUMBER(I507))),"",ROUND(E507-I507,2))</x:f>
      </x:c>
      <x:c r="K507" s="2" t="str">
        <x:f>IF(COUNTA(A507:F507)=0,"",IF(OR(A507="",B507="",C507="",D507="",NOT(ISNUMBER(E507))),"Missing / invalid input",IF(G507&gt;1,"Duplicate key in this source",IF(H507=0,"Missing in other source",IF(H507&gt;1,"Duplicate in other source",IF(SUMIFS('App Data'!$M$2:$M$1001,'App Data'!$L$2:$L$1001,SUBSTITUTE(SUBSTITUTE(SUBSTITUTE(L507,"~","~~"),"*","~*"),"?","~?"))&lt;&gt;1,"Other amount is invalid",IF(J507&lt;&gt;0,"Amount differs","Matched")))))))</x:f>
      </x:c>
      <x:c r="L507" t="str">
        <x:f>IF(COUNTA(A507:F507)=0,"",LEN(A507)&amp;":"&amp;A507&amp;LEN(B507)&amp;":"&amp;B507&amp;LEN(C507)&amp;":"&amp;C507&amp;LEN(D507)&amp;":"&amp;D507)</x:f>
      </x:c>
      <x:c r="M507" t="str">
        <x:f>IF(COUNTA(A507:F507)=0,"",IF(ISNUMBER(E507),1,0))</x:f>
      </x:c>
    </x:row>
    <x:row r="508">
      <x:c r="A508" s="11"/>
      <x:c r="B508" s="11"/>
      <x:c r="C508" s="11"/>
      <x:c r="D508" s="11"/>
      <x:c r="E508" s="12"/>
      <x:c r="F508" s="10"/>
      <x:c r="G508" s="2" t="str">
        <x:f>IF(COUNTA(A508:F508)=0,"",COUNTIFS('External Data'!$L$2:$L$1001,SUBSTITUTE(SUBSTITUTE(SUBSTITUTE(L508,"~","~~"),"*","~*"),"?","~?")))</x:f>
      </x:c>
      <x:c r="H508" s="2" t="str">
        <x:f>IF(COUNTA(A508:F508)=0,"",COUNTIFS('App Data'!$L$2:$L$1001,SUBSTITUTE(SUBSTITUTE(SUBSTITUTE(L508,"~","~~"),"*","~*"),"?","~?")))</x:f>
      </x:c>
      <x:c r="I508" s="13" t="str">
        <x:f>IF(OR(H508&lt;&gt;1,G508&lt;&gt;1),"",SUMIFS('App Data'!$E$2:$E$1001,'App Data'!$L$2:$L$1001,SUBSTITUTE(SUBSTITUTE(SUBSTITUTE(L508,"~","~~"),"*","~*"),"?","~?")))</x:f>
      </x:c>
      <x:c r="J508" s="13" t="str">
        <x:f>IF(OR(NOT(ISNUMBER(E508)),NOT(ISNUMBER(I508))),"",ROUND(E508-I508,2))</x:f>
      </x:c>
      <x:c r="K508" s="2" t="str">
        <x:f>IF(COUNTA(A508:F508)=0,"",IF(OR(A508="",B508="",C508="",D508="",NOT(ISNUMBER(E508))),"Missing / invalid input",IF(G508&gt;1,"Duplicate key in this source",IF(H508=0,"Missing in other source",IF(H508&gt;1,"Duplicate in other source",IF(SUMIFS('App Data'!$M$2:$M$1001,'App Data'!$L$2:$L$1001,SUBSTITUTE(SUBSTITUTE(SUBSTITUTE(L508,"~","~~"),"*","~*"),"?","~?"))&lt;&gt;1,"Other amount is invalid",IF(J508&lt;&gt;0,"Amount differs","Matched")))))))</x:f>
      </x:c>
      <x:c r="L508" t="str">
        <x:f>IF(COUNTA(A508:F508)=0,"",LEN(A508)&amp;":"&amp;A508&amp;LEN(B508)&amp;":"&amp;B508&amp;LEN(C508)&amp;":"&amp;C508&amp;LEN(D508)&amp;":"&amp;D508)</x:f>
      </x:c>
      <x:c r="M508" t="str">
        <x:f>IF(COUNTA(A508:F508)=0,"",IF(ISNUMBER(E508),1,0))</x:f>
      </x:c>
    </x:row>
    <x:row r="509">
      <x:c r="A509" s="11"/>
      <x:c r="B509" s="11"/>
      <x:c r="C509" s="11"/>
      <x:c r="D509" s="11"/>
      <x:c r="E509" s="12"/>
      <x:c r="F509" s="10"/>
      <x:c r="G509" s="2" t="str">
        <x:f>IF(COUNTA(A509:F509)=0,"",COUNTIFS('External Data'!$L$2:$L$1001,SUBSTITUTE(SUBSTITUTE(SUBSTITUTE(L509,"~","~~"),"*","~*"),"?","~?")))</x:f>
      </x:c>
      <x:c r="H509" s="2" t="str">
        <x:f>IF(COUNTA(A509:F509)=0,"",COUNTIFS('App Data'!$L$2:$L$1001,SUBSTITUTE(SUBSTITUTE(SUBSTITUTE(L509,"~","~~"),"*","~*"),"?","~?")))</x:f>
      </x:c>
      <x:c r="I509" s="13" t="str">
        <x:f>IF(OR(H509&lt;&gt;1,G509&lt;&gt;1),"",SUMIFS('App Data'!$E$2:$E$1001,'App Data'!$L$2:$L$1001,SUBSTITUTE(SUBSTITUTE(SUBSTITUTE(L509,"~","~~"),"*","~*"),"?","~?")))</x:f>
      </x:c>
      <x:c r="J509" s="13" t="str">
        <x:f>IF(OR(NOT(ISNUMBER(E509)),NOT(ISNUMBER(I509))),"",ROUND(E509-I509,2))</x:f>
      </x:c>
      <x:c r="K509" s="2" t="str">
        <x:f>IF(COUNTA(A509:F509)=0,"",IF(OR(A509="",B509="",C509="",D509="",NOT(ISNUMBER(E509))),"Missing / invalid input",IF(G509&gt;1,"Duplicate key in this source",IF(H509=0,"Missing in other source",IF(H509&gt;1,"Duplicate in other source",IF(SUMIFS('App Data'!$M$2:$M$1001,'App Data'!$L$2:$L$1001,SUBSTITUTE(SUBSTITUTE(SUBSTITUTE(L509,"~","~~"),"*","~*"),"?","~?"))&lt;&gt;1,"Other amount is invalid",IF(J509&lt;&gt;0,"Amount differs","Matched")))))))</x:f>
      </x:c>
      <x:c r="L509" t="str">
        <x:f>IF(COUNTA(A509:F509)=0,"",LEN(A509)&amp;":"&amp;A509&amp;LEN(B509)&amp;":"&amp;B509&amp;LEN(C509)&amp;":"&amp;C509&amp;LEN(D509)&amp;":"&amp;D509)</x:f>
      </x:c>
      <x:c r="M509" t="str">
        <x:f>IF(COUNTA(A509:F509)=0,"",IF(ISNUMBER(E509),1,0))</x:f>
      </x:c>
    </x:row>
    <x:row r="510">
      <x:c r="A510" s="11"/>
      <x:c r="B510" s="11"/>
      <x:c r="C510" s="11"/>
      <x:c r="D510" s="11"/>
      <x:c r="E510" s="12"/>
      <x:c r="F510" s="10"/>
      <x:c r="G510" s="2" t="str">
        <x:f>IF(COUNTA(A510:F510)=0,"",COUNTIFS('External Data'!$L$2:$L$1001,SUBSTITUTE(SUBSTITUTE(SUBSTITUTE(L510,"~","~~"),"*","~*"),"?","~?")))</x:f>
      </x:c>
      <x:c r="H510" s="2" t="str">
        <x:f>IF(COUNTA(A510:F510)=0,"",COUNTIFS('App Data'!$L$2:$L$1001,SUBSTITUTE(SUBSTITUTE(SUBSTITUTE(L510,"~","~~"),"*","~*"),"?","~?")))</x:f>
      </x:c>
      <x:c r="I510" s="13" t="str">
        <x:f>IF(OR(H510&lt;&gt;1,G510&lt;&gt;1),"",SUMIFS('App Data'!$E$2:$E$1001,'App Data'!$L$2:$L$1001,SUBSTITUTE(SUBSTITUTE(SUBSTITUTE(L510,"~","~~"),"*","~*"),"?","~?")))</x:f>
      </x:c>
      <x:c r="J510" s="13" t="str">
        <x:f>IF(OR(NOT(ISNUMBER(E510)),NOT(ISNUMBER(I510))),"",ROUND(E510-I510,2))</x:f>
      </x:c>
      <x:c r="K510" s="2" t="str">
        <x:f>IF(COUNTA(A510:F510)=0,"",IF(OR(A510="",B510="",C510="",D510="",NOT(ISNUMBER(E510))),"Missing / invalid input",IF(G510&gt;1,"Duplicate key in this source",IF(H510=0,"Missing in other source",IF(H510&gt;1,"Duplicate in other source",IF(SUMIFS('App Data'!$M$2:$M$1001,'App Data'!$L$2:$L$1001,SUBSTITUTE(SUBSTITUTE(SUBSTITUTE(L510,"~","~~"),"*","~*"),"?","~?"))&lt;&gt;1,"Other amount is invalid",IF(J510&lt;&gt;0,"Amount differs","Matched")))))))</x:f>
      </x:c>
      <x:c r="L510" t="str">
        <x:f>IF(COUNTA(A510:F510)=0,"",LEN(A510)&amp;":"&amp;A510&amp;LEN(B510)&amp;":"&amp;B510&amp;LEN(C510)&amp;":"&amp;C510&amp;LEN(D510)&amp;":"&amp;D510)</x:f>
      </x:c>
      <x:c r="M510" t="str">
        <x:f>IF(COUNTA(A510:F510)=0,"",IF(ISNUMBER(E510),1,0))</x:f>
      </x:c>
    </x:row>
    <x:row r="511">
      <x:c r="A511" s="11"/>
      <x:c r="B511" s="11"/>
      <x:c r="C511" s="11"/>
      <x:c r="D511" s="11"/>
      <x:c r="E511" s="12"/>
      <x:c r="F511" s="10"/>
      <x:c r="G511" s="2" t="str">
        <x:f>IF(COUNTA(A511:F511)=0,"",COUNTIFS('External Data'!$L$2:$L$1001,SUBSTITUTE(SUBSTITUTE(SUBSTITUTE(L511,"~","~~"),"*","~*"),"?","~?")))</x:f>
      </x:c>
      <x:c r="H511" s="2" t="str">
        <x:f>IF(COUNTA(A511:F511)=0,"",COUNTIFS('App Data'!$L$2:$L$1001,SUBSTITUTE(SUBSTITUTE(SUBSTITUTE(L511,"~","~~"),"*","~*"),"?","~?")))</x:f>
      </x:c>
      <x:c r="I511" s="13" t="str">
        <x:f>IF(OR(H511&lt;&gt;1,G511&lt;&gt;1),"",SUMIFS('App Data'!$E$2:$E$1001,'App Data'!$L$2:$L$1001,SUBSTITUTE(SUBSTITUTE(SUBSTITUTE(L511,"~","~~"),"*","~*"),"?","~?")))</x:f>
      </x:c>
      <x:c r="J511" s="13" t="str">
        <x:f>IF(OR(NOT(ISNUMBER(E511)),NOT(ISNUMBER(I511))),"",ROUND(E511-I511,2))</x:f>
      </x:c>
      <x:c r="K511" s="2" t="str">
        <x:f>IF(COUNTA(A511:F511)=0,"",IF(OR(A511="",B511="",C511="",D511="",NOT(ISNUMBER(E511))),"Missing / invalid input",IF(G511&gt;1,"Duplicate key in this source",IF(H511=0,"Missing in other source",IF(H511&gt;1,"Duplicate in other source",IF(SUMIFS('App Data'!$M$2:$M$1001,'App Data'!$L$2:$L$1001,SUBSTITUTE(SUBSTITUTE(SUBSTITUTE(L511,"~","~~"),"*","~*"),"?","~?"))&lt;&gt;1,"Other amount is invalid",IF(J511&lt;&gt;0,"Amount differs","Matched")))))))</x:f>
      </x:c>
      <x:c r="L511" t="str">
        <x:f>IF(COUNTA(A511:F511)=0,"",LEN(A511)&amp;":"&amp;A511&amp;LEN(B511)&amp;":"&amp;B511&amp;LEN(C511)&amp;":"&amp;C511&amp;LEN(D511)&amp;":"&amp;D511)</x:f>
      </x:c>
      <x:c r="M511" t="str">
        <x:f>IF(COUNTA(A511:F511)=0,"",IF(ISNUMBER(E511),1,0))</x:f>
      </x:c>
    </x:row>
    <x:row r="512">
      <x:c r="A512" s="11"/>
      <x:c r="B512" s="11"/>
      <x:c r="C512" s="11"/>
      <x:c r="D512" s="11"/>
      <x:c r="E512" s="12"/>
      <x:c r="F512" s="10"/>
      <x:c r="G512" s="2" t="str">
        <x:f>IF(COUNTA(A512:F512)=0,"",COUNTIFS('External Data'!$L$2:$L$1001,SUBSTITUTE(SUBSTITUTE(SUBSTITUTE(L512,"~","~~"),"*","~*"),"?","~?")))</x:f>
      </x:c>
      <x:c r="H512" s="2" t="str">
        <x:f>IF(COUNTA(A512:F512)=0,"",COUNTIFS('App Data'!$L$2:$L$1001,SUBSTITUTE(SUBSTITUTE(SUBSTITUTE(L512,"~","~~"),"*","~*"),"?","~?")))</x:f>
      </x:c>
      <x:c r="I512" s="13" t="str">
        <x:f>IF(OR(H512&lt;&gt;1,G512&lt;&gt;1),"",SUMIFS('App Data'!$E$2:$E$1001,'App Data'!$L$2:$L$1001,SUBSTITUTE(SUBSTITUTE(SUBSTITUTE(L512,"~","~~"),"*","~*"),"?","~?")))</x:f>
      </x:c>
      <x:c r="J512" s="13" t="str">
        <x:f>IF(OR(NOT(ISNUMBER(E512)),NOT(ISNUMBER(I512))),"",ROUND(E512-I512,2))</x:f>
      </x:c>
      <x:c r="K512" s="2" t="str">
        <x:f>IF(COUNTA(A512:F512)=0,"",IF(OR(A512="",B512="",C512="",D512="",NOT(ISNUMBER(E512))),"Missing / invalid input",IF(G512&gt;1,"Duplicate key in this source",IF(H512=0,"Missing in other source",IF(H512&gt;1,"Duplicate in other source",IF(SUMIFS('App Data'!$M$2:$M$1001,'App Data'!$L$2:$L$1001,SUBSTITUTE(SUBSTITUTE(SUBSTITUTE(L512,"~","~~"),"*","~*"),"?","~?"))&lt;&gt;1,"Other amount is invalid",IF(J512&lt;&gt;0,"Amount differs","Matched")))))))</x:f>
      </x:c>
      <x:c r="L512" t="str">
        <x:f>IF(COUNTA(A512:F512)=0,"",LEN(A512)&amp;":"&amp;A512&amp;LEN(B512)&amp;":"&amp;B512&amp;LEN(C512)&amp;":"&amp;C512&amp;LEN(D512)&amp;":"&amp;D512)</x:f>
      </x:c>
      <x:c r="M512" t="str">
        <x:f>IF(COUNTA(A512:F512)=0,"",IF(ISNUMBER(E512),1,0))</x:f>
      </x:c>
    </x:row>
    <x:row r="513">
      <x:c r="A513" s="11"/>
      <x:c r="B513" s="11"/>
      <x:c r="C513" s="11"/>
      <x:c r="D513" s="11"/>
      <x:c r="E513" s="12"/>
      <x:c r="F513" s="10"/>
      <x:c r="G513" s="2" t="str">
        <x:f>IF(COUNTA(A513:F513)=0,"",COUNTIFS('External Data'!$L$2:$L$1001,SUBSTITUTE(SUBSTITUTE(SUBSTITUTE(L513,"~","~~"),"*","~*"),"?","~?")))</x:f>
      </x:c>
      <x:c r="H513" s="2" t="str">
        <x:f>IF(COUNTA(A513:F513)=0,"",COUNTIFS('App Data'!$L$2:$L$1001,SUBSTITUTE(SUBSTITUTE(SUBSTITUTE(L513,"~","~~"),"*","~*"),"?","~?")))</x:f>
      </x:c>
      <x:c r="I513" s="13" t="str">
        <x:f>IF(OR(H513&lt;&gt;1,G513&lt;&gt;1),"",SUMIFS('App Data'!$E$2:$E$1001,'App Data'!$L$2:$L$1001,SUBSTITUTE(SUBSTITUTE(SUBSTITUTE(L513,"~","~~"),"*","~*"),"?","~?")))</x:f>
      </x:c>
      <x:c r="J513" s="13" t="str">
        <x:f>IF(OR(NOT(ISNUMBER(E513)),NOT(ISNUMBER(I513))),"",ROUND(E513-I513,2))</x:f>
      </x:c>
      <x:c r="K513" s="2" t="str">
        <x:f>IF(COUNTA(A513:F513)=0,"",IF(OR(A513="",B513="",C513="",D513="",NOT(ISNUMBER(E513))),"Missing / invalid input",IF(G513&gt;1,"Duplicate key in this source",IF(H513=0,"Missing in other source",IF(H513&gt;1,"Duplicate in other source",IF(SUMIFS('App Data'!$M$2:$M$1001,'App Data'!$L$2:$L$1001,SUBSTITUTE(SUBSTITUTE(SUBSTITUTE(L513,"~","~~"),"*","~*"),"?","~?"))&lt;&gt;1,"Other amount is invalid",IF(J513&lt;&gt;0,"Amount differs","Matched")))))))</x:f>
      </x:c>
      <x:c r="L513" t="str">
        <x:f>IF(COUNTA(A513:F513)=0,"",LEN(A513)&amp;":"&amp;A513&amp;LEN(B513)&amp;":"&amp;B513&amp;LEN(C513)&amp;":"&amp;C513&amp;LEN(D513)&amp;":"&amp;D513)</x:f>
      </x:c>
      <x:c r="M513" t="str">
        <x:f>IF(COUNTA(A513:F513)=0,"",IF(ISNUMBER(E513),1,0))</x:f>
      </x:c>
    </x:row>
    <x:row r="514">
      <x:c r="A514" s="11"/>
      <x:c r="B514" s="11"/>
      <x:c r="C514" s="11"/>
      <x:c r="D514" s="11"/>
      <x:c r="E514" s="12"/>
      <x:c r="F514" s="10"/>
      <x:c r="G514" s="2" t="str">
        <x:f>IF(COUNTA(A514:F514)=0,"",COUNTIFS('External Data'!$L$2:$L$1001,SUBSTITUTE(SUBSTITUTE(SUBSTITUTE(L514,"~","~~"),"*","~*"),"?","~?")))</x:f>
      </x:c>
      <x:c r="H514" s="2" t="str">
        <x:f>IF(COUNTA(A514:F514)=0,"",COUNTIFS('App Data'!$L$2:$L$1001,SUBSTITUTE(SUBSTITUTE(SUBSTITUTE(L514,"~","~~"),"*","~*"),"?","~?")))</x:f>
      </x:c>
      <x:c r="I514" s="13" t="str">
        <x:f>IF(OR(H514&lt;&gt;1,G514&lt;&gt;1),"",SUMIFS('App Data'!$E$2:$E$1001,'App Data'!$L$2:$L$1001,SUBSTITUTE(SUBSTITUTE(SUBSTITUTE(L514,"~","~~"),"*","~*"),"?","~?")))</x:f>
      </x:c>
      <x:c r="J514" s="13" t="str">
        <x:f>IF(OR(NOT(ISNUMBER(E514)),NOT(ISNUMBER(I514))),"",ROUND(E514-I514,2))</x:f>
      </x:c>
      <x:c r="K514" s="2" t="str">
        <x:f>IF(COUNTA(A514:F514)=0,"",IF(OR(A514="",B514="",C514="",D514="",NOT(ISNUMBER(E514))),"Missing / invalid input",IF(G514&gt;1,"Duplicate key in this source",IF(H514=0,"Missing in other source",IF(H514&gt;1,"Duplicate in other source",IF(SUMIFS('App Data'!$M$2:$M$1001,'App Data'!$L$2:$L$1001,SUBSTITUTE(SUBSTITUTE(SUBSTITUTE(L514,"~","~~"),"*","~*"),"?","~?"))&lt;&gt;1,"Other amount is invalid",IF(J514&lt;&gt;0,"Amount differs","Matched")))))))</x:f>
      </x:c>
      <x:c r="L514" t="str">
        <x:f>IF(COUNTA(A514:F514)=0,"",LEN(A514)&amp;":"&amp;A514&amp;LEN(B514)&amp;":"&amp;B514&amp;LEN(C514)&amp;":"&amp;C514&amp;LEN(D514)&amp;":"&amp;D514)</x:f>
      </x:c>
      <x:c r="M514" t="str">
        <x:f>IF(COUNTA(A514:F514)=0,"",IF(ISNUMBER(E514),1,0))</x:f>
      </x:c>
    </x:row>
    <x:row r="515">
      <x:c r="A515" s="11"/>
      <x:c r="B515" s="11"/>
      <x:c r="C515" s="11"/>
      <x:c r="D515" s="11"/>
      <x:c r="E515" s="12"/>
      <x:c r="F515" s="10"/>
      <x:c r="G515" s="2" t="str">
        <x:f>IF(COUNTA(A515:F515)=0,"",COUNTIFS('External Data'!$L$2:$L$1001,SUBSTITUTE(SUBSTITUTE(SUBSTITUTE(L515,"~","~~"),"*","~*"),"?","~?")))</x:f>
      </x:c>
      <x:c r="H515" s="2" t="str">
        <x:f>IF(COUNTA(A515:F515)=0,"",COUNTIFS('App Data'!$L$2:$L$1001,SUBSTITUTE(SUBSTITUTE(SUBSTITUTE(L515,"~","~~"),"*","~*"),"?","~?")))</x:f>
      </x:c>
      <x:c r="I515" s="13" t="str">
        <x:f>IF(OR(H515&lt;&gt;1,G515&lt;&gt;1),"",SUMIFS('App Data'!$E$2:$E$1001,'App Data'!$L$2:$L$1001,SUBSTITUTE(SUBSTITUTE(SUBSTITUTE(L515,"~","~~"),"*","~*"),"?","~?")))</x:f>
      </x:c>
      <x:c r="J515" s="13" t="str">
        <x:f>IF(OR(NOT(ISNUMBER(E515)),NOT(ISNUMBER(I515))),"",ROUND(E515-I515,2))</x:f>
      </x:c>
      <x:c r="K515" s="2" t="str">
        <x:f>IF(COUNTA(A515:F515)=0,"",IF(OR(A515="",B515="",C515="",D515="",NOT(ISNUMBER(E515))),"Missing / invalid input",IF(G515&gt;1,"Duplicate key in this source",IF(H515=0,"Missing in other source",IF(H515&gt;1,"Duplicate in other source",IF(SUMIFS('App Data'!$M$2:$M$1001,'App Data'!$L$2:$L$1001,SUBSTITUTE(SUBSTITUTE(SUBSTITUTE(L515,"~","~~"),"*","~*"),"?","~?"))&lt;&gt;1,"Other amount is invalid",IF(J515&lt;&gt;0,"Amount differs","Matched")))))))</x:f>
      </x:c>
      <x:c r="L515" t="str">
        <x:f>IF(COUNTA(A515:F515)=0,"",LEN(A515)&amp;":"&amp;A515&amp;LEN(B515)&amp;":"&amp;B515&amp;LEN(C515)&amp;":"&amp;C515&amp;LEN(D515)&amp;":"&amp;D515)</x:f>
      </x:c>
      <x:c r="M515" t="str">
        <x:f>IF(COUNTA(A515:F515)=0,"",IF(ISNUMBER(E515),1,0))</x:f>
      </x:c>
    </x:row>
    <x:row r="516">
      <x:c r="A516" s="11"/>
      <x:c r="B516" s="11"/>
      <x:c r="C516" s="11"/>
      <x:c r="D516" s="11"/>
      <x:c r="E516" s="12"/>
      <x:c r="F516" s="10"/>
      <x:c r="G516" s="2" t="str">
        <x:f>IF(COUNTA(A516:F516)=0,"",COUNTIFS('External Data'!$L$2:$L$1001,SUBSTITUTE(SUBSTITUTE(SUBSTITUTE(L516,"~","~~"),"*","~*"),"?","~?")))</x:f>
      </x:c>
      <x:c r="H516" s="2" t="str">
        <x:f>IF(COUNTA(A516:F516)=0,"",COUNTIFS('App Data'!$L$2:$L$1001,SUBSTITUTE(SUBSTITUTE(SUBSTITUTE(L516,"~","~~"),"*","~*"),"?","~?")))</x:f>
      </x:c>
      <x:c r="I516" s="13" t="str">
        <x:f>IF(OR(H516&lt;&gt;1,G516&lt;&gt;1),"",SUMIFS('App Data'!$E$2:$E$1001,'App Data'!$L$2:$L$1001,SUBSTITUTE(SUBSTITUTE(SUBSTITUTE(L516,"~","~~"),"*","~*"),"?","~?")))</x:f>
      </x:c>
      <x:c r="J516" s="13" t="str">
        <x:f>IF(OR(NOT(ISNUMBER(E516)),NOT(ISNUMBER(I516))),"",ROUND(E516-I516,2))</x:f>
      </x:c>
      <x:c r="K516" s="2" t="str">
        <x:f>IF(COUNTA(A516:F516)=0,"",IF(OR(A516="",B516="",C516="",D516="",NOT(ISNUMBER(E516))),"Missing / invalid input",IF(G516&gt;1,"Duplicate key in this source",IF(H516=0,"Missing in other source",IF(H516&gt;1,"Duplicate in other source",IF(SUMIFS('App Data'!$M$2:$M$1001,'App Data'!$L$2:$L$1001,SUBSTITUTE(SUBSTITUTE(SUBSTITUTE(L516,"~","~~"),"*","~*"),"?","~?"))&lt;&gt;1,"Other amount is invalid",IF(J516&lt;&gt;0,"Amount differs","Matched")))))))</x:f>
      </x:c>
      <x:c r="L516" t="str">
        <x:f>IF(COUNTA(A516:F516)=0,"",LEN(A516)&amp;":"&amp;A516&amp;LEN(B516)&amp;":"&amp;B516&amp;LEN(C516)&amp;":"&amp;C516&amp;LEN(D516)&amp;":"&amp;D516)</x:f>
      </x:c>
      <x:c r="M516" t="str">
        <x:f>IF(COUNTA(A516:F516)=0,"",IF(ISNUMBER(E516),1,0))</x:f>
      </x:c>
    </x:row>
    <x:row r="517">
      <x:c r="A517" s="11"/>
      <x:c r="B517" s="11"/>
      <x:c r="C517" s="11"/>
      <x:c r="D517" s="11"/>
      <x:c r="E517" s="12"/>
      <x:c r="F517" s="10"/>
      <x:c r="G517" s="2" t="str">
        <x:f>IF(COUNTA(A517:F517)=0,"",COUNTIFS('External Data'!$L$2:$L$1001,SUBSTITUTE(SUBSTITUTE(SUBSTITUTE(L517,"~","~~"),"*","~*"),"?","~?")))</x:f>
      </x:c>
      <x:c r="H517" s="2" t="str">
        <x:f>IF(COUNTA(A517:F517)=0,"",COUNTIFS('App Data'!$L$2:$L$1001,SUBSTITUTE(SUBSTITUTE(SUBSTITUTE(L517,"~","~~"),"*","~*"),"?","~?")))</x:f>
      </x:c>
      <x:c r="I517" s="13" t="str">
        <x:f>IF(OR(H517&lt;&gt;1,G517&lt;&gt;1),"",SUMIFS('App Data'!$E$2:$E$1001,'App Data'!$L$2:$L$1001,SUBSTITUTE(SUBSTITUTE(SUBSTITUTE(L517,"~","~~"),"*","~*"),"?","~?")))</x:f>
      </x:c>
      <x:c r="J517" s="13" t="str">
        <x:f>IF(OR(NOT(ISNUMBER(E517)),NOT(ISNUMBER(I517))),"",ROUND(E517-I517,2))</x:f>
      </x:c>
      <x:c r="K517" s="2" t="str">
        <x:f>IF(COUNTA(A517:F517)=0,"",IF(OR(A517="",B517="",C517="",D517="",NOT(ISNUMBER(E517))),"Missing / invalid input",IF(G517&gt;1,"Duplicate key in this source",IF(H517=0,"Missing in other source",IF(H517&gt;1,"Duplicate in other source",IF(SUMIFS('App Data'!$M$2:$M$1001,'App Data'!$L$2:$L$1001,SUBSTITUTE(SUBSTITUTE(SUBSTITUTE(L517,"~","~~"),"*","~*"),"?","~?"))&lt;&gt;1,"Other amount is invalid",IF(J517&lt;&gt;0,"Amount differs","Matched")))))))</x:f>
      </x:c>
      <x:c r="L517" t="str">
        <x:f>IF(COUNTA(A517:F517)=0,"",LEN(A517)&amp;":"&amp;A517&amp;LEN(B517)&amp;":"&amp;B517&amp;LEN(C517)&amp;":"&amp;C517&amp;LEN(D517)&amp;":"&amp;D517)</x:f>
      </x:c>
      <x:c r="M517" t="str">
        <x:f>IF(COUNTA(A517:F517)=0,"",IF(ISNUMBER(E517),1,0))</x:f>
      </x:c>
    </x:row>
    <x:row r="518">
      <x:c r="A518" s="11"/>
      <x:c r="B518" s="11"/>
      <x:c r="C518" s="11"/>
      <x:c r="D518" s="11"/>
      <x:c r="E518" s="12"/>
      <x:c r="F518" s="10"/>
      <x:c r="G518" s="2" t="str">
        <x:f>IF(COUNTA(A518:F518)=0,"",COUNTIFS('External Data'!$L$2:$L$1001,SUBSTITUTE(SUBSTITUTE(SUBSTITUTE(L518,"~","~~"),"*","~*"),"?","~?")))</x:f>
      </x:c>
      <x:c r="H518" s="2" t="str">
        <x:f>IF(COUNTA(A518:F518)=0,"",COUNTIFS('App Data'!$L$2:$L$1001,SUBSTITUTE(SUBSTITUTE(SUBSTITUTE(L518,"~","~~"),"*","~*"),"?","~?")))</x:f>
      </x:c>
      <x:c r="I518" s="13" t="str">
        <x:f>IF(OR(H518&lt;&gt;1,G518&lt;&gt;1),"",SUMIFS('App Data'!$E$2:$E$1001,'App Data'!$L$2:$L$1001,SUBSTITUTE(SUBSTITUTE(SUBSTITUTE(L518,"~","~~"),"*","~*"),"?","~?")))</x:f>
      </x:c>
      <x:c r="J518" s="13" t="str">
        <x:f>IF(OR(NOT(ISNUMBER(E518)),NOT(ISNUMBER(I518))),"",ROUND(E518-I518,2))</x:f>
      </x:c>
      <x:c r="K518" s="2" t="str">
        <x:f>IF(COUNTA(A518:F518)=0,"",IF(OR(A518="",B518="",C518="",D518="",NOT(ISNUMBER(E518))),"Missing / invalid input",IF(G518&gt;1,"Duplicate key in this source",IF(H518=0,"Missing in other source",IF(H518&gt;1,"Duplicate in other source",IF(SUMIFS('App Data'!$M$2:$M$1001,'App Data'!$L$2:$L$1001,SUBSTITUTE(SUBSTITUTE(SUBSTITUTE(L518,"~","~~"),"*","~*"),"?","~?"))&lt;&gt;1,"Other amount is invalid",IF(J518&lt;&gt;0,"Amount differs","Matched")))))))</x:f>
      </x:c>
      <x:c r="L518" t="str">
        <x:f>IF(COUNTA(A518:F518)=0,"",LEN(A518)&amp;":"&amp;A518&amp;LEN(B518)&amp;":"&amp;B518&amp;LEN(C518)&amp;":"&amp;C518&amp;LEN(D518)&amp;":"&amp;D518)</x:f>
      </x:c>
      <x:c r="M518" t="str">
        <x:f>IF(COUNTA(A518:F518)=0,"",IF(ISNUMBER(E518),1,0))</x:f>
      </x:c>
    </x:row>
    <x:row r="519">
      <x:c r="A519" s="11"/>
      <x:c r="B519" s="11"/>
      <x:c r="C519" s="11"/>
      <x:c r="D519" s="11"/>
      <x:c r="E519" s="12"/>
      <x:c r="F519" s="10"/>
      <x:c r="G519" s="2" t="str">
        <x:f>IF(COUNTA(A519:F519)=0,"",COUNTIFS('External Data'!$L$2:$L$1001,SUBSTITUTE(SUBSTITUTE(SUBSTITUTE(L519,"~","~~"),"*","~*"),"?","~?")))</x:f>
      </x:c>
      <x:c r="H519" s="2" t="str">
        <x:f>IF(COUNTA(A519:F519)=0,"",COUNTIFS('App Data'!$L$2:$L$1001,SUBSTITUTE(SUBSTITUTE(SUBSTITUTE(L519,"~","~~"),"*","~*"),"?","~?")))</x:f>
      </x:c>
      <x:c r="I519" s="13" t="str">
        <x:f>IF(OR(H519&lt;&gt;1,G519&lt;&gt;1),"",SUMIFS('App Data'!$E$2:$E$1001,'App Data'!$L$2:$L$1001,SUBSTITUTE(SUBSTITUTE(SUBSTITUTE(L519,"~","~~"),"*","~*"),"?","~?")))</x:f>
      </x:c>
      <x:c r="J519" s="13" t="str">
        <x:f>IF(OR(NOT(ISNUMBER(E519)),NOT(ISNUMBER(I519))),"",ROUND(E519-I519,2))</x:f>
      </x:c>
      <x:c r="K519" s="2" t="str">
        <x:f>IF(COUNTA(A519:F519)=0,"",IF(OR(A519="",B519="",C519="",D519="",NOT(ISNUMBER(E519))),"Missing / invalid input",IF(G519&gt;1,"Duplicate key in this source",IF(H519=0,"Missing in other source",IF(H519&gt;1,"Duplicate in other source",IF(SUMIFS('App Data'!$M$2:$M$1001,'App Data'!$L$2:$L$1001,SUBSTITUTE(SUBSTITUTE(SUBSTITUTE(L519,"~","~~"),"*","~*"),"?","~?"))&lt;&gt;1,"Other amount is invalid",IF(J519&lt;&gt;0,"Amount differs","Matched")))))))</x:f>
      </x:c>
      <x:c r="L519" t="str">
        <x:f>IF(COUNTA(A519:F519)=0,"",LEN(A519)&amp;":"&amp;A519&amp;LEN(B519)&amp;":"&amp;B519&amp;LEN(C519)&amp;":"&amp;C519&amp;LEN(D519)&amp;":"&amp;D519)</x:f>
      </x:c>
      <x:c r="M519" t="str">
        <x:f>IF(COUNTA(A519:F519)=0,"",IF(ISNUMBER(E519),1,0))</x:f>
      </x:c>
    </x:row>
    <x:row r="520">
      <x:c r="A520" s="11"/>
      <x:c r="B520" s="11"/>
      <x:c r="C520" s="11"/>
      <x:c r="D520" s="11"/>
      <x:c r="E520" s="12"/>
      <x:c r="F520" s="10"/>
      <x:c r="G520" s="2" t="str">
        <x:f>IF(COUNTA(A520:F520)=0,"",COUNTIFS('External Data'!$L$2:$L$1001,SUBSTITUTE(SUBSTITUTE(SUBSTITUTE(L520,"~","~~"),"*","~*"),"?","~?")))</x:f>
      </x:c>
      <x:c r="H520" s="2" t="str">
        <x:f>IF(COUNTA(A520:F520)=0,"",COUNTIFS('App Data'!$L$2:$L$1001,SUBSTITUTE(SUBSTITUTE(SUBSTITUTE(L520,"~","~~"),"*","~*"),"?","~?")))</x:f>
      </x:c>
      <x:c r="I520" s="13" t="str">
        <x:f>IF(OR(H520&lt;&gt;1,G520&lt;&gt;1),"",SUMIFS('App Data'!$E$2:$E$1001,'App Data'!$L$2:$L$1001,SUBSTITUTE(SUBSTITUTE(SUBSTITUTE(L520,"~","~~"),"*","~*"),"?","~?")))</x:f>
      </x:c>
      <x:c r="J520" s="13" t="str">
        <x:f>IF(OR(NOT(ISNUMBER(E520)),NOT(ISNUMBER(I520))),"",ROUND(E520-I520,2))</x:f>
      </x:c>
      <x:c r="K520" s="2" t="str">
        <x:f>IF(COUNTA(A520:F520)=0,"",IF(OR(A520="",B520="",C520="",D520="",NOT(ISNUMBER(E520))),"Missing / invalid input",IF(G520&gt;1,"Duplicate key in this source",IF(H520=0,"Missing in other source",IF(H520&gt;1,"Duplicate in other source",IF(SUMIFS('App Data'!$M$2:$M$1001,'App Data'!$L$2:$L$1001,SUBSTITUTE(SUBSTITUTE(SUBSTITUTE(L520,"~","~~"),"*","~*"),"?","~?"))&lt;&gt;1,"Other amount is invalid",IF(J520&lt;&gt;0,"Amount differs","Matched")))))))</x:f>
      </x:c>
      <x:c r="L520" t="str">
        <x:f>IF(COUNTA(A520:F520)=0,"",LEN(A520)&amp;":"&amp;A520&amp;LEN(B520)&amp;":"&amp;B520&amp;LEN(C520)&amp;":"&amp;C520&amp;LEN(D520)&amp;":"&amp;D520)</x:f>
      </x:c>
      <x:c r="M520" t="str">
        <x:f>IF(COUNTA(A520:F520)=0,"",IF(ISNUMBER(E520),1,0))</x:f>
      </x:c>
    </x:row>
    <x:row r="521">
      <x:c r="A521" s="11"/>
      <x:c r="B521" s="11"/>
      <x:c r="C521" s="11"/>
      <x:c r="D521" s="11"/>
      <x:c r="E521" s="12"/>
      <x:c r="F521" s="10"/>
      <x:c r="G521" s="2" t="str">
        <x:f>IF(COUNTA(A521:F521)=0,"",COUNTIFS('External Data'!$L$2:$L$1001,SUBSTITUTE(SUBSTITUTE(SUBSTITUTE(L521,"~","~~"),"*","~*"),"?","~?")))</x:f>
      </x:c>
      <x:c r="H521" s="2" t="str">
        <x:f>IF(COUNTA(A521:F521)=0,"",COUNTIFS('App Data'!$L$2:$L$1001,SUBSTITUTE(SUBSTITUTE(SUBSTITUTE(L521,"~","~~"),"*","~*"),"?","~?")))</x:f>
      </x:c>
      <x:c r="I521" s="13" t="str">
        <x:f>IF(OR(H521&lt;&gt;1,G521&lt;&gt;1),"",SUMIFS('App Data'!$E$2:$E$1001,'App Data'!$L$2:$L$1001,SUBSTITUTE(SUBSTITUTE(SUBSTITUTE(L521,"~","~~"),"*","~*"),"?","~?")))</x:f>
      </x:c>
      <x:c r="J521" s="13" t="str">
        <x:f>IF(OR(NOT(ISNUMBER(E521)),NOT(ISNUMBER(I521))),"",ROUND(E521-I521,2))</x:f>
      </x:c>
      <x:c r="K521" s="2" t="str">
        <x:f>IF(COUNTA(A521:F521)=0,"",IF(OR(A521="",B521="",C521="",D521="",NOT(ISNUMBER(E521))),"Missing / invalid input",IF(G521&gt;1,"Duplicate key in this source",IF(H521=0,"Missing in other source",IF(H521&gt;1,"Duplicate in other source",IF(SUMIFS('App Data'!$M$2:$M$1001,'App Data'!$L$2:$L$1001,SUBSTITUTE(SUBSTITUTE(SUBSTITUTE(L521,"~","~~"),"*","~*"),"?","~?"))&lt;&gt;1,"Other amount is invalid",IF(J521&lt;&gt;0,"Amount differs","Matched")))))))</x:f>
      </x:c>
      <x:c r="L521" t="str">
        <x:f>IF(COUNTA(A521:F521)=0,"",LEN(A521)&amp;":"&amp;A521&amp;LEN(B521)&amp;":"&amp;B521&amp;LEN(C521)&amp;":"&amp;C521&amp;LEN(D521)&amp;":"&amp;D521)</x:f>
      </x:c>
      <x:c r="M521" t="str">
        <x:f>IF(COUNTA(A521:F521)=0,"",IF(ISNUMBER(E521),1,0))</x:f>
      </x:c>
    </x:row>
    <x:row r="522">
      <x:c r="A522" s="11"/>
      <x:c r="B522" s="11"/>
      <x:c r="C522" s="11"/>
      <x:c r="D522" s="11"/>
      <x:c r="E522" s="12"/>
      <x:c r="F522" s="10"/>
      <x:c r="G522" s="2" t="str">
        <x:f>IF(COUNTA(A522:F522)=0,"",COUNTIFS('External Data'!$L$2:$L$1001,SUBSTITUTE(SUBSTITUTE(SUBSTITUTE(L522,"~","~~"),"*","~*"),"?","~?")))</x:f>
      </x:c>
      <x:c r="H522" s="2" t="str">
        <x:f>IF(COUNTA(A522:F522)=0,"",COUNTIFS('App Data'!$L$2:$L$1001,SUBSTITUTE(SUBSTITUTE(SUBSTITUTE(L522,"~","~~"),"*","~*"),"?","~?")))</x:f>
      </x:c>
      <x:c r="I522" s="13" t="str">
        <x:f>IF(OR(H522&lt;&gt;1,G522&lt;&gt;1),"",SUMIFS('App Data'!$E$2:$E$1001,'App Data'!$L$2:$L$1001,SUBSTITUTE(SUBSTITUTE(SUBSTITUTE(L522,"~","~~"),"*","~*"),"?","~?")))</x:f>
      </x:c>
      <x:c r="J522" s="13" t="str">
        <x:f>IF(OR(NOT(ISNUMBER(E522)),NOT(ISNUMBER(I522))),"",ROUND(E522-I522,2))</x:f>
      </x:c>
      <x:c r="K522" s="2" t="str">
        <x:f>IF(COUNTA(A522:F522)=0,"",IF(OR(A522="",B522="",C522="",D522="",NOT(ISNUMBER(E522))),"Missing / invalid input",IF(G522&gt;1,"Duplicate key in this source",IF(H522=0,"Missing in other source",IF(H522&gt;1,"Duplicate in other source",IF(SUMIFS('App Data'!$M$2:$M$1001,'App Data'!$L$2:$L$1001,SUBSTITUTE(SUBSTITUTE(SUBSTITUTE(L522,"~","~~"),"*","~*"),"?","~?"))&lt;&gt;1,"Other amount is invalid",IF(J522&lt;&gt;0,"Amount differs","Matched")))))))</x:f>
      </x:c>
      <x:c r="L522" t="str">
        <x:f>IF(COUNTA(A522:F522)=0,"",LEN(A522)&amp;":"&amp;A522&amp;LEN(B522)&amp;":"&amp;B522&amp;LEN(C522)&amp;":"&amp;C522&amp;LEN(D522)&amp;":"&amp;D522)</x:f>
      </x:c>
      <x:c r="M522" t="str">
        <x:f>IF(COUNTA(A522:F522)=0,"",IF(ISNUMBER(E522),1,0))</x:f>
      </x:c>
    </x:row>
    <x:row r="523">
      <x:c r="A523" s="11"/>
      <x:c r="B523" s="11"/>
      <x:c r="C523" s="11"/>
      <x:c r="D523" s="11"/>
      <x:c r="E523" s="12"/>
      <x:c r="F523" s="10"/>
      <x:c r="G523" s="2" t="str">
        <x:f>IF(COUNTA(A523:F523)=0,"",COUNTIFS('External Data'!$L$2:$L$1001,SUBSTITUTE(SUBSTITUTE(SUBSTITUTE(L523,"~","~~"),"*","~*"),"?","~?")))</x:f>
      </x:c>
      <x:c r="H523" s="2" t="str">
        <x:f>IF(COUNTA(A523:F523)=0,"",COUNTIFS('App Data'!$L$2:$L$1001,SUBSTITUTE(SUBSTITUTE(SUBSTITUTE(L523,"~","~~"),"*","~*"),"?","~?")))</x:f>
      </x:c>
      <x:c r="I523" s="13" t="str">
        <x:f>IF(OR(H523&lt;&gt;1,G523&lt;&gt;1),"",SUMIFS('App Data'!$E$2:$E$1001,'App Data'!$L$2:$L$1001,SUBSTITUTE(SUBSTITUTE(SUBSTITUTE(L523,"~","~~"),"*","~*"),"?","~?")))</x:f>
      </x:c>
      <x:c r="J523" s="13" t="str">
        <x:f>IF(OR(NOT(ISNUMBER(E523)),NOT(ISNUMBER(I523))),"",ROUND(E523-I523,2))</x:f>
      </x:c>
      <x:c r="K523" s="2" t="str">
        <x:f>IF(COUNTA(A523:F523)=0,"",IF(OR(A523="",B523="",C523="",D523="",NOT(ISNUMBER(E523))),"Missing / invalid input",IF(G523&gt;1,"Duplicate key in this source",IF(H523=0,"Missing in other source",IF(H523&gt;1,"Duplicate in other source",IF(SUMIFS('App Data'!$M$2:$M$1001,'App Data'!$L$2:$L$1001,SUBSTITUTE(SUBSTITUTE(SUBSTITUTE(L523,"~","~~"),"*","~*"),"?","~?"))&lt;&gt;1,"Other amount is invalid",IF(J523&lt;&gt;0,"Amount differs","Matched")))))))</x:f>
      </x:c>
      <x:c r="L523" t="str">
        <x:f>IF(COUNTA(A523:F523)=0,"",LEN(A523)&amp;":"&amp;A523&amp;LEN(B523)&amp;":"&amp;B523&amp;LEN(C523)&amp;":"&amp;C523&amp;LEN(D523)&amp;":"&amp;D523)</x:f>
      </x:c>
      <x:c r="M523" t="str">
        <x:f>IF(COUNTA(A523:F523)=0,"",IF(ISNUMBER(E523),1,0))</x:f>
      </x:c>
    </x:row>
    <x:row r="524">
      <x:c r="A524" s="11"/>
      <x:c r="B524" s="11"/>
      <x:c r="C524" s="11"/>
      <x:c r="D524" s="11"/>
      <x:c r="E524" s="12"/>
      <x:c r="F524" s="10"/>
      <x:c r="G524" s="2" t="str">
        <x:f>IF(COUNTA(A524:F524)=0,"",COUNTIFS('External Data'!$L$2:$L$1001,SUBSTITUTE(SUBSTITUTE(SUBSTITUTE(L524,"~","~~"),"*","~*"),"?","~?")))</x:f>
      </x:c>
      <x:c r="H524" s="2" t="str">
        <x:f>IF(COUNTA(A524:F524)=0,"",COUNTIFS('App Data'!$L$2:$L$1001,SUBSTITUTE(SUBSTITUTE(SUBSTITUTE(L524,"~","~~"),"*","~*"),"?","~?")))</x:f>
      </x:c>
      <x:c r="I524" s="13" t="str">
        <x:f>IF(OR(H524&lt;&gt;1,G524&lt;&gt;1),"",SUMIFS('App Data'!$E$2:$E$1001,'App Data'!$L$2:$L$1001,SUBSTITUTE(SUBSTITUTE(SUBSTITUTE(L524,"~","~~"),"*","~*"),"?","~?")))</x:f>
      </x:c>
      <x:c r="J524" s="13" t="str">
        <x:f>IF(OR(NOT(ISNUMBER(E524)),NOT(ISNUMBER(I524))),"",ROUND(E524-I524,2))</x:f>
      </x:c>
      <x:c r="K524" s="2" t="str">
        <x:f>IF(COUNTA(A524:F524)=0,"",IF(OR(A524="",B524="",C524="",D524="",NOT(ISNUMBER(E524))),"Missing / invalid input",IF(G524&gt;1,"Duplicate key in this source",IF(H524=0,"Missing in other source",IF(H524&gt;1,"Duplicate in other source",IF(SUMIFS('App Data'!$M$2:$M$1001,'App Data'!$L$2:$L$1001,SUBSTITUTE(SUBSTITUTE(SUBSTITUTE(L524,"~","~~"),"*","~*"),"?","~?"))&lt;&gt;1,"Other amount is invalid",IF(J524&lt;&gt;0,"Amount differs","Matched")))))))</x:f>
      </x:c>
      <x:c r="L524" t="str">
        <x:f>IF(COUNTA(A524:F524)=0,"",LEN(A524)&amp;":"&amp;A524&amp;LEN(B524)&amp;":"&amp;B524&amp;LEN(C524)&amp;":"&amp;C524&amp;LEN(D524)&amp;":"&amp;D524)</x:f>
      </x:c>
      <x:c r="M524" t="str">
        <x:f>IF(COUNTA(A524:F524)=0,"",IF(ISNUMBER(E524),1,0))</x:f>
      </x:c>
    </x:row>
    <x:row r="525">
      <x:c r="A525" s="11"/>
      <x:c r="B525" s="11"/>
      <x:c r="C525" s="11"/>
      <x:c r="D525" s="11"/>
      <x:c r="E525" s="12"/>
      <x:c r="F525" s="10"/>
      <x:c r="G525" s="2" t="str">
        <x:f>IF(COUNTA(A525:F525)=0,"",COUNTIFS('External Data'!$L$2:$L$1001,SUBSTITUTE(SUBSTITUTE(SUBSTITUTE(L525,"~","~~"),"*","~*"),"?","~?")))</x:f>
      </x:c>
      <x:c r="H525" s="2" t="str">
        <x:f>IF(COUNTA(A525:F525)=0,"",COUNTIFS('App Data'!$L$2:$L$1001,SUBSTITUTE(SUBSTITUTE(SUBSTITUTE(L525,"~","~~"),"*","~*"),"?","~?")))</x:f>
      </x:c>
      <x:c r="I525" s="13" t="str">
        <x:f>IF(OR(H525&lt;&gt;1,G525&lt;&gt;1),"",SUMIFS('App Data'!$E$2:$E$1001,'App Data'!$L$2:$L$1001,SUBSTITUTE(SUBSTITUTE(SUBSTITUTE(L525,"~","~~"),"*","~*"),"?","~?")))</x:f>
      </x:c>
      <x:c r="J525" s="13" t="str">
        <x:f>IF(OR(NOT(ISNUMBER(E525)),NOT(ISNUMBER(I525))),"",ROUND(E525-I525,2))</x:f>
      </x:c>
      <x:c r="K525" s="2" t="str">
        <x:f>IF(COUNTA(A525:F525)=0,"",IF(OR(A525="",B525="",C525="",D525="",NOT(ISNUMBER(E525))),"Missing / invalid input",IF(G525&gt;1,"Duplicate key in this source",IF(H525=0,"Missing in other source",IF(H525&gt;1,"Duplicate in other source",IF(SUMIFS('App Data'!$M$2:$M$1001,'App Data'!$L$2:$L$1001,SUBSTITUTE(SUBSTITUTE(SUBSTITUTE(L525,"~","~~"),"*","~*"),"?","~?"))&lt;&gt;1,"Other amount is invalid",IF(J525&lt;&gt;0,"Amount differs","Matched")))))))</x:f>
      </x:c>
      <x:c r="L525" t="str">
        <x:f>IF(COUNTA(A525:F525)=0,"",LEN(A525)&amp;":"&amp;A525&amp;LEN(B525)&amp;":"&amp;B525&amp;LEN(C525)&amp;":"&amp;C525&amp;LEN(D525)&amp;":"&amp;D525)</x:f>
      </x:c>
      <x:c r="M525" t="str">
        <x:f>IF(COUNTA(A525:F525)=0,"",IF(ISNUMBER(E525),1,0))</x:f>
      </x:c>
    </x:row>
    <x:row r="526">
      <x:c r="A526" s="11"/>
      <x:c r="B526" s="11"/>
      <x:c r="C526" s="11"/>
      <x:c r="D526" s="11"/>
      <x:c r="E526" s="12"/>
      <x:c r="F526" s="10"/>
      <x:c r="G526" s="2" t="str">
        <x:f>IF(COUNTA(A526:F526)=0,"",COUNTIFS('External Data'!$L$2:$L$1001,SUBSTITUTE(SUBSTITUTE(SUBSTITUTE(L526,"~","~~"),"*","~*"),"?","~?")))</x:f>
      </x:c>
      <x:c r="H526" s="2" t="str">
        <x:f>IF(COUNTA(A526:F526)=0,"",COUNTIFS('App Data'!$L$2:$L$1001,SUBSTITUTE(SUBSTITUTE(SUBSTITUTE(L526,"~","~~"),"*","~*"),"?","~?")))</x:f>
      </x:c>
      <x:c r="I526" s="13" t="str">
        <x:f>IF(OR(H526&lt;&gt;1,G526&lt;&gt;1),"",SUMIFS('App Data'!$E$2:$E$1001,'App Data'!$L$2:$L$1001,SUBSTITUTE(SUBSTITUTE(SUBSTITUTE(L526,"~","~~"),"*","~*"),"?","~?")))</x:f>
      </x:c>
      <x:c r="J526" s="13" t="str">
        <x:f>IF(OR(NOT(ISNUMBER(E526)),NOT(ISNUMBER(I526))),"",ROUND(E526-I526,2))</x:f>
      </x:c>
      <x:c r="K526" s="2" t="str">
        <x:f>IF(COUNTA(A526:F526)=0,"",IF(OR(A526="",B526="",C526="",D526="",NOT(ISNUMBER(E526))),"Missing / invalid input",IF(G526&gt;1,"Duplicate key in this source",IF(H526=0,"Missing in other source",IF(H526&gt;1,"Duplicate in other source",IF(SUMIFS('App Data'!$M$2:$M$1001,'App Data'!$L$2:$L$1001,SUBSTITUTE(SUBSTITUTE(SUBSTITUTE(L526,"~","~~"),"*","~*"),"?","~?"))&lt;&gt;1,"Other amount is invalid",IF(J526&lt;&gt;0,"Amount differs","Matched")))))))</x:f>
      </x:c>
      <x:c r="L526" t="str">
        <x:f>IF(COUNTA(A526:F526)=0,"",LEN(A526)&amp;":"&amp;A526&amp;LEN(B526)&amp;":"&amp;B526&amp;LEN(C526)&amp;":"&amp;C526&amp;LEN(D526)&amp;":"&amp;D526)</x:f>
      </x:c>
      <x:c r="M526" t="str">
        <x:f>IF(COUNTA(A526:F526)=0,"",IF(ISNUMBER(E526),1,0))</x:f>
      </x:c>
    </x:row>
    <x:row r="527">
      <x:c r="A527" s="11"/>
      <x:c r="B527" s="11"/>
      <x:c r="C527" s="11"/>
      <x:c r="D527" s="11"/>
      <x:c r="E527" s="12"/>
      <x:c r="F527" s="10"/>
      <x:c r="G527" s="2" t="str">
        <x:f>IF(COUNTA(A527:F527)=0,"",COUNTIFS('External Data'!$L$2:$L$1001,SUBSTITUTE(SUBSTITUTE(SUBSTITUTE(L527,"~","~~"),"*","~*"),"?","~?")))</x:f>
      </x:c>
      <x:c r="H527" s="2" t="str">
        <x:f>IF(COUNTA(A527:F527)=0,"",COUNTIFS('App Data'!$L$2:$L$1001,SUBSTITUTE(SUBSTITUTE(SUBSTITUTE(L527,"~","~~"),"*","~*"),"?","~?")))</x:f>
      </x:c>
      <x:c r="I527" s="13" t="str">
        <x:f>IF(OR(H527&lt;&gt;1,G527&lt;&gt;1),"",SUMIFS('App Data'!$E$2:$E$1001,'App Data'!$L$2:$L$1001,SUBSTITUTE(SUBSTITUTE(SUBSTITUTE(L527,"~","~~"),"*","~*"),"?","~?")))</x:f>
      </x:c>
      <x:c r="J527" s="13" t="str">
        <x:f>IF(OR(NOT(ISNUMBER(E527)),NOT(ISNUMBER(I527))),"",ROUND(E527-I527,2))</x:f>
      </x:c>
      <x:c r="K527" s="2" t="str">
        <x:f>IF(COUNTA(A527:F527)=0,"",IF(OR(A527="",B527="",C527="",D527="",NOT(ISNUMBER(E527))),"Missing / invalid input",IF(G527&gt;1,"Duplicate key in this source",IF(H527=0,"Missing in other source",IF(H527&gt;1,"Duplicate in other source",IF(SUMIFS('App Data'!$M$2:$M$1001,'App Data'!$L$2:$L$1001,SUBSTITUTE(SUBSTITUTE(SUBSTITUTE(L527,"~","~~"),"*","~*"),"?","~?"))&lt;&gt;1,"Other amount is invalid",IF(J527&lt;&gt;0,"Amount differs","Matched")))))))</x:f>
      </x:c>
      <x:c r="L527" t="str">
        <x:f>IF(COUNTA(A527:F527)=0,"",LEN(A527)&amp;":"&amp;A527&amp;LEN(B527)&amp;":"&amp;B527&amp;LEN(C527)&amp;":"&amp;C527&amp;LEN(D527)&amp;":"&amp;D527)</x:f>
      </x:c>
      <x:c r="M527" t="str">
        <x:f>IF(COUNTA(A527:F527)=0,"",IF(ISNUMBER(E527),1,0))</x:f>
      </x:c>
    </x:row>
    <x:row r="528">
      <x:c r="A528" s="11"/>
      <x:c r="B528" s="11"/>
      <x:c r="C528" s="11"/>
      <x:c r="D528" s="11"/>
      <x:c r="E528" s="12"/>
      <x:c r="F528" s="10"/>
      <x:c r="G528" s="2" t="str">
        <x:f>IF(COUNTA(A528:F528)=0,"",COUNTIFS('External Data'!$L$2:$L$1001,SUBSTITUTE(SUBSTITUTE(SUBSTITUTE(L528,"~","~~"),"*","~*"),"?","~?")))</x:f>
      </x:c>
      <x:c r="H528" s="2" t="str">
        <x:f>IF(COUNTA(A528:F528)=0,"",COUNTIFS('App Data'!$L$2:$L$1001,SUBSTITUTE(SUBSTITUTE(SUBSTITUTE(L528,"~","~~"),"*","~*"),"?","~?")))</x:f>
      </x:c>
      <x:c r="I528" s="13" t="str">
        <x:f>IF(OR(H528&lt;&gt;1,G528&lt;&gt;1),"",SUMIFS('App Data'!$E$2:$E$1001,'App Data'!$L$2:$L$1001,SUBSTITUTE(SUBSTITUTE(SUBSTITUTE(L528,"~","~~"),"*","~*"),"?","~?")))</x:f>
      </x:c>
      <x:c r="J528" s="13" t="str">
        <x:f>IF(OR(NOT(ISNUMBER(E528)),NOT(ISNUMBER(I528))),"",ROUND(E528-I528,2))</x:f>
      </x:c>
      <x:c r="K528" s="2" t="str">
        <x:f>IF(COUNTA(A528:F528)=0,"",IF(OR(A528="",B528="",C528="",D528="",NOT(ISNUMBER(E528))),"Missing / invalid input",IF(G528&gt;1,"Duplicate key in this source",IF(H528=0,"Missing in other source",IF(H528&gt;1,"Duplicate in other source",IF(SUMIFS('App Data'!$M$2:$M$1001,'App Data'!$L$2:$L$1001,SUBSTITUTE(SUBSTITUTE(SUBSTITUTE(L528,"~","~~"),"*","~*"),"?","~?"))&lt;&gt;1,"Other amount is invalid",IF(J528&lt;&gt;0,"Amount differs","Matched")))))))</x:f>
      </x:c>
      <x:c r="L528" t="str">
        <x:f>IF(COUNTA(A528:F528)=0,"",LEN(A528)&amp;":"&amp;A528&amp;LEN(B528)&amp;":"&amp;B528&amp;LEN(C528)&amp;":"&amp;C528&amp;LEN(D528)&amp;":"&amp;D528)</x:f>
      </x:c>
      <x:c r="M528" t="str">
        <x:f>IF(COUNTA(A528:F528)=0,"",IF(ISNUMBER(E528),1,0))</x:f>
      </x:c>
    </x:row>
    <x:row r="529">
      <x:c r="A529" s="11"/>
      <x:c r="B529" s="11"/>
      <x:c r="C529" s="11"/>
      <x:c r="D529" s="11"/>
      <x:c r="E529" s="12"/>
      <x:c r="F529" s="10"/>
      <x:c r="G529" s="2" t="str">
        <x:f>IF(COUNTA(A529:F529)=0,"",COUNTIFS('External Data'!$L$2:$L$1001,SUBSTITUTE(SUBSTITUTE(SUBSTITUTE(L529,"~","~~"),"*","~*"),"?","~?")))</x:f>
      </x:c>
      <x:c r="H529" s="2" t="str">
        <x:f>IF(COUNTA(A529:F529)=0,"",COUNTIFS('App Data'!$L$2:$L$1001,SUBSTITUTE(SUBSTITUTE(SUBSTITUTE(L529,"~","~~"),"*","~*"),"?","~?")))</x:f>
      </x:c>
      <x:c r="I529" s="13" t="str">
        <x:f>IF(OR(H529&lt;&gt;1,G529&lt;&gt;1),"",SUMIFS('App Data'!$E$2:$E$1001,'App Data'!$L$2:$L$1001,SUBSTITUTE(SUBSTITUTE(SUBSTITUTE(L529,"~","~~"),"*","~*"),"?","~?")))</x:f>
      </x:c>
      <x:c r="J529" s="13" t="str">
        <x:f>IF(OR(NOT(ISNUMBER(E529)),NOT(ISNUMBER(I529))),"",ROUND(E529-I529,2))</x:f>
      </x:c>
      <x:c r="K529" s="2" t="str">
        <x:f>IF(COUNTA(A529:F529)=0,"",IF(OR(A529="",B529="",C529="",D529="",NOT(ISNUMBER(E529))),"Missing / invalid input",IF(G529&gt;1,"Duplicate key in this source",IF(H529=0,"Missing in other source",IF(H529&gt;1,"Duplicate in other source",IF(SUMIFS('App Data'!$M$2:$M$1001,'App Data'!$L$2:$L$1001,SUBSTITUTE(SUBSTITUTE(SUBSTITUTE(L529,"~","~~"),"*","~*"),"?","~?"))&lt;&gt;1,"Other amount is invalid",IF(J529&lt;&gt;0,"Amount differs","Matched")))))))</x:f>
      </x:c>
      <x:c r="L529" t="str">
        <x:f>IF(COUNTA(A529:F529)=0,"",LEN(A529)&amp;":"&amp;A529&amp;LEN(B529)&amp;":"&amp;B529&amp;LEN(C529)&amp;":"&amp;C529&amp;LEN(D529)&amp;":"&amp;D529)</x:f>
      </x:c>
      <x:c r="M529" t="str">
        <x:f>IF(COUNTA(A529:F529)=0,"",IF(ISNUMBER(E529),1,0))</x:f>
      </x:c>
    </x:row>
    <x:row r="530">
      <x:c r="A530" s="11"/>
      <x:c r="B530" s="11"/>
      <x:c r="C530" s="11"/>
      <x:c r="D530" s="11"/>
      <x:c r="E530" s="12"/>
      <x:c r="F530" s="10"/>
      <x:c r="G530" s="2" t="str">
        <x:f>IF(COUNTA(A530:F530)=0,"",COUNTIFS('External Data'!$L$2:$L$1001,SUBSTITUTE(SUBSTITUTE(SUBSTITUTE(L530,"~","~~"),"*","~*"),"?","~?")))</x:f>
      </x:c>
      <x:c r="H530" s="2" t="str">
        <x:f>IF(COUNTA(A530:F530)=0,"",COUNTIFS('App Data'!$L$2:$L$1001,SUBSTITUTE(SUBSTITUTE(SUBSTITUTE(L530,"~","~~"),"*","~*"),"?","~?")))</x:f>
      </x:c>
      <x:c r="I530" s="13" t="str">
        <x:f>IF(OR(H530&lt;&gt;1,G530&lt;&gt;1),"",SUMIFS('App Data'!$E$2:$E$1001,'App Data'!$L$2:$L$1001,SUBSTITUTE(SUBSTITUTE(SUBSTITUTE(L530,"~","~~"),"*","~*"),"?","~?")))</x:f>
      </x:c>
      <x:c r="J530" s="13" t="str">
        <x:f>IF(OR(NOT(ISNUMBER(E530)),NOT(ISNUMBER(I530))),"",ROUND(E530-I530,2))</x:f>
      </x:c>
      <x:c r="K530" s="2" t="str">
        <x:f>IF(COUNTA(A530:F530)=0,"",IF(OR(A530="",B530="",C530="",D530="",NOT(ISNUMBER(E530))),"Missing / invalid input",IF(G530&gt;1,"Duplicate key in this source",IF(H530=0,"Missing in other source",IF(H530&gt;1,"Duplicate in other source",IF(SUMIFS('App Data'!$M$2:$M$1001,'App Data'!$L$2:$L$1001,SUBSTITUTE(SUBSTITUTE(SUBSTITUTE(L530,"~","~~"),"*","~*"),"?","~?"))&lt;&gt;1,"Other amount is invalid",IF(J530&lt;&gt;0,"Amount differs","Matched")))))))</x:f>
      </x:c>
      <x:c r="L530" t="str">
        <x:f>IF(COUNTA(A530:F530)=0,"",LEN(A530)&amp;":"&amp;A530&amp;LEN(B530)&amp;":"&amp;B530&amp;LEN(C530)&amp;":"&amp;C530&amp;LEN(D530)&amp;":"&amp;D530)</x:f>
      </x:c>
      <x:c r="M530" t="str">
        <x:f>IF(COUNTA(A530:F530)=0,"",IF(ISNUMBER(E530),1,0))</x:f>
      </x:c>
    </x:row>
    <x:row r="531">
      <x:c r="A531" s="11"/>
      <x:c r="B531" s="11"/>
      <x:c r="C531" s="11"/>
      <x:c r="D531" s="11"/>
      <x:c r="E531" s="12"/>
      <x:c r="F531" s="10"/>
      <x:c r="G531" s="2" t="str">
        <x:f>IF(COUNTA(A531:F531)=0,"",COUNTIFS('External Data'!$L$2:$L$1001,SUBSTITUTE(SUBSTITUTE(SUBSTITUTE(L531,"~","~~"),"*","~*"),"?","~?")))</x:f>
      </x:c>
      <x:c r="H531" s="2" t="str">
        <x:f>IF(COUNTA(A531:F531)=0,"",COUNTIFS('App Data'!$L$2:$L$1001,SUBSTITUTE(SUBSTITUTE(SUBSTITUTE(L531,"~","~~"),"*","~*"),"?","~?")))</x:f>
      </x:c>
      <x:c r="I531" s="13" t="str">
        <x:f>IF(OR(H531&lt;&gt;1,G531&lt;&gt;1),"",SUMIFS('App Data'!$E$2:$E$1001,'App Data'!$L$2:$L$1001,SUBSTITUTE(SUBSTITUTE(SUBSTITUTE(L531,"~","~~"),"*","~*"),"?","~?")))</x:f>
      </x:c>
      <x:c r="J531" s="13" t="str">
        <x:f>IF(OR(NOT(ISNUMBER(E531)),NOT(ISNUMBER(I531))),"",ROUND(E531-I531,2))</x:f>
      </x:c>
      <x:c r="K531" s="2" t="str">
        <x:f>IF(COUNTA(A531:F531)=0,"",IF(OR(A531="",B531="",C531="",D531="",NOT(ISNUMBER(E531))),"Missing / invalid input",IF(G531&gt;1,"Duplicate key in this source",IF(H531=0,"Missing in other source",IF(H531&gt;1,"Duplicate in other source",IF(SUMIFS('App Data'!$M$2:$M$1001,'App Data'!$L$2:$L$1001,SUBSTITUTE(SUBSTITUTE(SUBSTITUTE(L531,"~","~~"),"*","~*"),"?","~?"))&lt;&gt;1,"Other amount is invalid",IF(J531&lt;&gt;0,"Amount differs","Matched")))))))</x:f>
      </x:c>
      <x:c r="L531" t="str">
        <x:f>IF(COUNTA(A531:F531)=0,"",LEN(A531)&amp;":"&amp;A531&amp;LEN(B531)&amp;":"&amp;B531&amp;LEN(C531)&amp;":"&amp;C531&amp;LEN(D531)&amp;":"&amp;D531)</x:f>
      </x:c>
      <x:c r="M531" t="str">
        <x:f>IF(COUNTA(A531:F531)=0,"",IF(ISNUMBER(E531),1,0))</x:f>
      </x:c>
    </x:row>
    <x:row r="532">
      <x:c r="A532" s="11"/>
      <x:c r="B532" s="11"/>
      <x:c r="C532" s="11"/>
      <x:c r="D532" s="11"/>
      <x:c r="E532" s="12"/>
      <x:c r="F532" s="10"/>
      <x:c r="G532" s="2" t="str">
        <x:f>IF(COUNTA(A532:F532)=0,"",COUNTIFS('External Data'!$L$2:$L$1001,SUBSTITUTE(SUBSTITUTE(SUBSTITUTE(L532,"~","~~"),"*","~*"),"?","~?")))</x:f>
      </x:c>
      <x:c r="H532" s="2" t="str">
        <x:f>IF(COUNTA(A532:F532)=0,"",COUNTIFS('App Data'!$L$2:$L$1001,SUBSTITUTE(SUBSTITUTE(SUBSTITUTE(L532,"~","~~"),"*","~*"),"?","~?")))</x:f>
      </x:c>
      <x:c r="I532" s="13" t="str">
        <x:f>IF(OR(H532&lt;&gt;1,G532&lt;&gt;1),"",SUMIFS('App Data'!$E$2:$E$1001,'App Data'!$L$2:$L$1001,SUBSTITUTE(SUBSTITUTE(SUBSTITUTE(L532,"~","~~"),"*","~*"),"?","~?")))</x:f>
      </x:c>
      <x:c r="J532" s="13" t="str">
        <x:f>IF(OR(NOT(ISNUMBER(E532)),NOT(ISNUMBER(I532))),"",ROUND(E532-I532,2))</x:f>
      </x:c>
      <x:c r="K532" s="2" t="str">
        <x:f>IF(COUNTA(A532:F532)=0,"",IF(OR(A532="",B532="",C532="",D532="",NOT(ISNUMBER(E532))),"Missing / invalid input",IF(G532&gt;1,"Duplicate key in this source",IF(H532=0,"Missing in other source",IF(H532&gt;1,"Duplicate in other source",IF(SUMIFS('App Data'!$M$2:$M$1001,'App Data'!$L$2:$L$1001,SUBSTITUTE(SUBSTITUTE(SUBSTITUTE(L532,"~","~~"),"*","~*"),"?","~?"))&lt;&gt;1,"Other amount is invalid",IF(J532&lt;&gt;0,"Amount differs","Matched")))))))</x:f>
      </x:c>
      <x:c r="L532" t="str">
        <x:f>IF(COUNTA(A532:F532)=0,"",LEN(A532)&amp;":"&amp;A532&amp;LEN(B532)&amp;":"&amp;B532&amp;LEN(C532)&amp;":"&amp;C532&amp;LEN(D532)&amp;":"&amp;D532)</x:f>
      </x:c>
      <x:c r="M532" t="str">
        <x:f>IF(COUNTA(A532:F532)=0,"",IF(ISNUMBER(E532),1,0))</x:f>
      </x:c>
    </x:row>
    <x:row r="533">
      <x:c r="A533" s="11"/>
      <x:c r="B533" s="11"/>
      <x:c r="C533" s="11"/>
      <x:c r="D533" s="11"/>
      <x:c r="E533" s="12"/>
      <x:c r="F533" s="10"/>
      <x:c r="G533" s="2" t="str">
        <x:f>IF(COUNTA(A533:F533)=0,"",COUNTIFS('External Data'!$L$2:$L$1001,SUBSTITUTE(SUBSTITUTE(SUBSTITUTE(L533,"~","~~"),"*","~*"),"?","~?")))</x:f>
      </x:c>
      <x:c r="H533" s="2" t="str">
        <x:f>IF(COUNTA(A533:F533)=0,"",COUNTIFS('App Data'!$L$2:$L$1001,SUBSTITUTE(SUBSTITUTE(SUBSTITUTE(L533,"~","~~"),"*","~*"),"?","~?")))</x:f>
      </x:c>
      <x:c r="I533" s="13" t="str">
        <x:f>IF(OR(H533&lt;&gt;1,G533&lt;&gt;1),"",SUMIFS('App Data'!$E$2:$E$1001,'App Data'!$L$2:$L$1001,SUBSTITUTE(SUBSTITUTE(SUBSTITUTE(L533,"~","~~"),"*","~*"),"?","~?")))</x:f>
      </x:c>
      <x:c r="J533" s="13" t="str">
        <x:f>IF(OR(NOT(ISNUMBER(E533)),NOT(ISNUMBER(I533))),"",ROUND(E533-I533,2))</x:f>
      </x:c>
      <x:c r="K533" s="2" t="str">
        <x:f>IF(COUNTA(A533:F533)=0,"",IF(OR(A533="",B533="",C533="",D533="",NOT(ISNUMBER(E533))),"Missing / invalid input",IF(G533&gt;1,"Duplicate key in this source",IF(H533=0,"Missing in other source",IF(H533&gt;1,"Duplicate in other source",IF(SUMIFS('App Data'!$M$2:$M$1001,'App Data'!$L$2:$L$1001,SUBSTITUTE(SUBSTITUTE(SUBSTITUTE(L533,"~","~~"),"*","~*"),"?","~?"))&lt;&gt;1,"Other amount is invalid",IF(J533&lt;&gt;0,"Amount differs","Matched")))))))</x:f>
      </x:c>
      <x:c r="L533" t="str">
        <x:f>IF(COUNTA(A533:F533)=0,"",LEN(A533)&amp;":"&amp;A533&amp;LEN(B533)&amp;":"&amp;B533&amp;LEN(C533)&amp;":"&amp;C533&amp;LEN(D533)&amp;":"&amp;D533)</x:f>
      </x:c>
      <x:c r="M533" t="str">
        <x:f>IF(COUNTA(A533:F533)=0,"",IF(ISNUMBER(E533),1,0))</x:f>
      </x:c>
    </x:row>
    <x:row r="534">
      <x:c r="A534" s="11"/>
      <x:c r="B534" s="11"/>
      <x:c r="C534" s="11"/>
      <x:c r="D534" s="11"/>
      <x:c r="E534" s="12"/>
      <x:c r="F534" s="10"/>
      <x:c r="G534" s="2" t="str">
        <x:f>IF(COUNTA(A534:F534)=0,"",COUNTIFS('External Data'!$L$2:$L$1001,SUBSTITUTE(SUBSTITUTE(SUBSTITUTE(L534,"~","~~"),"*","~*"),"?","~?")))</x:f>
      </x:c>
      <x:c r="H534" s="2" t="str">
        <x:f>IF(COUNTA(A534:F534)=0,"",COUNTIFS('App Data'!$L$2:$L$1001,SUBSTITUTE(SUBSTITUTE(SUBSTITUTE(L534,"~","~~"),"*","~*"),"?","~?")))</x:f>
      </x:c>
      <x:c r="I534" s="13" t="str">
        <x:f>IF(OR(H534&lt;&gt;1,G534&lt;&gt;1),"",SUMIFS('App Data'!$E$2:$E$1001,'App Data'!$L$2:$L$1001,SUBSTITUTE(SUBSTITUTE(SUBSTITUTE(L534,"~","~~"),"*","~*"),"?","~?")))</x:f>
      </x:c>
      <x:c r="J534" s="13" t="str">
        <x:f>IF(OR(NOT(ISNUMBER(E534)),NOT(ISNUMBER(I534))),"",ROUND(E534-I534,2))</x:f>
      </x:c>
      <x:c r="K534" s="2" t="str">
        <x:f>IF(COUNTA(A534:F534)=0,"",IF(OR(A534="",B534="",C534="",D534="",NOT(ISNUMBER(E534))),"Missing / invalid input",IF(G534&gt;1,"Duplicate key in this source",IF(H534=0,"Missing in other source",IF(H534&gt;1,"Duplicate in other source",IF(SUMIFS('App Data'!$M$2:$M$1001,'App Data'!$L$2:$L$1001,SUBSTITUTE(SUBSTITUTE(SUBSTITUTE(L534,"~","~~"),"*","~*"),"?","~?"))&lt;&gt;1,"Other amount is invalid",IF(J534&lt;&gt;0,"Amount differs","Matched")))))))</x:f>
      </x:c>
      <x:c r="L534" t="str">
        <x:f>IF(COUNTA(A534:F534)=0,"",LEN(A534)&amp;":"&amp;A534&amp;LEN(B534)&amp;":"&amp;B534&amp;LEN(C534)&amp;":"&amp;C534&amp;LEN(D534)&amp;":"&amp;D534)</x:f>
      </x:c>
      <x:c r="M534" t="str">
        <x:f>IF(COUNTA(A534:F534)=0,"",IF(ISNUMBER(E534),1,0))</x:f>
      </x:c>
    </x:row>
    <x:row r="535">
      <x:c r="A535" s="11"/>
      <x:c r="B535" s="11"/>
      <x:c r="C535" s="11"/>
      <x:c r="D535" s="11"/>
      <x:c r="E535" s="12"/>
      <x:c r="F535" s="10"/>
      <x:c r="G535" s="2" t="str">
        <x:f>IF(COUNTA(A535:F535)=0,"",COUNTIFS('External Data'!$L$2:$L$1001,SUBSTITUTE(SUBSTITUTE(SUBSTITUTE(L535,"~","~~"),"*","~*"),"?","~?")))</x:f>
      </x:c>
      <x:c r="H535" s="2" t="str">
        <x:f>IF(COUNTA(A535:F535)=0,"",COUNTIFS('App Data'!$L$2:$L$1001,SUBSTITUTE(SUBSTITUTE(SUBSTITUTE(L535,"~","~~"),"*","~*"),"?","~?")))</x:f>
      </x:c>
      <x:c r="I535" s="13" t="str">
        <x:f>IF(OR(H535&lt;&gt;1,G535&lt;&gt;1),"",SUMIFS('App Data'!$E$2:$E$1001,'App Data'!$L$2:$L$1001,SUBSTITUTE(SUBSTITUTE(SUBSTITUTE(L535,"~","~~"),"*","~*"),"?","~?")))</x:f>
      </x:c>
      <x:c r="J535" s="13" t="str">
        <x:f>IF(OR(NOT(ISNUMBER(E535)),NOT(ISNUMBER(I535))),"",ROUND(E535-I535,2))</x:f>
      </x:c>
      <x:c r="K535" s="2" t="str">
        <x:f>IF(COUNTA(A535:F535)=0,"",IF(OR(A535="",B535="",C535="",D535="",NOT(ISNUMBER(E535))),"Missing / invalid input",IF(G535&gt;1,"Duplicate key in this source",IF(H535=0,"Missing in other source",IF(H535&gt;1,"Duplicate in other source",IF(SUMIFS('App Data'!$M$2:$M$1001,'App Data'!$L$2:$L$1001,SUBSTITUTE(SUBSTITUTE(SUBSTITUTE(L535,"~","~~"),"*","~*"),"?","~?"))&lt;&gt;1,"Other amount is invalid",IF(J535&lt;&gt;0,"Amount differs","Matched")))))))</x:f>
      </x:c>
      <x:c r="L535" t="str">
        <x:f>IF(COUNTA(A535:F535)=0,"",LEN(A535)&amp;":"&amp;A535&amp;LEN(B535)&amp;":"&amp;B535&amp;LEN(C535)&amp;":"&amp;C535&amp;LEN(D535)&amp;":"&amp;D535)</x:f>
      </x:c>
      <x:c r="M535" t="str">
        <x:f>IF(COUNTA(A535:F535)=0,"",IF(ISNUMBER(E535),1,0))</x:f>
      </x:c>
    </x:row>
    <x:row r="536">
      <x:c r="A536" s="11"/>
      <x:c r="B536" s="11"/>
      <x:c r="C536" s="11"/>
      <x:c r="D536" s="11"/>
      <x:c r="E536" s="12"/>
      <x:c r="F536" s="10"/>
      <x:c r="G536" s="2" t="str">
        <x:f>IF(COUNTA(A536:F536)=0,"",COUNTIFS('External Data'!$L$2:$L$1001,SUBSTITUTE(SUBSTITUTE(SUBSTITUTE(L536,"~","~~"),"*","~*"),"?","~?")))</x:f>
      </x:c>
      <x:c r="H536" s="2" t="str">
        <x:f>IF(COUNTA(A536:F536)=0,"",COUNTIFS('App Data'!$L$2:$L$1001,SUBSTITUTE(SUBSTITUTE(SUBSTITUTE(L536,"~","~~"),"*","~*"),"?","~?")))</x:f>
      </x:c>
      <x:c r="I536" s="13" t="str">
        <x:f>IF(OR(H536&lt;&gt;1,G536&lt;&gt;1),"",SUMIFS('App Data'!$E$2:$E$1001,'App Data'!$L$2:$L$1001,SUBSTITUTE(SUBSTITUTE(SUBSTITUTE(L536,"~","~~"),"*","~*"),"?","~?")))</x:f>
      </x:c>
      <x:c r="J536" s="13" t="str">
        <x:f>IF(OR(NOT(ISNUMBER(E536)),NOT(ISNUMBER(I536))),"",ROUND(E536-I536,2))</x:f>
      </x:c>
      <x:c r="K536" s="2" t="str">
        <x:f>IF(COUNTA(A536:F536)=0,"",IF(OR(A536="",B536="",C536="",D536="",NOT(ISNUMBER(E536))),"Missing / invalid input",IF(G536&gt;1,"Duplicate key in this source",IF(H536=0,"Missing in other source",IF(H536&gt;1,"Duplicate in other source",IF(SUMIFS('App Data'!$M$2:$M$1001,'App Data'!$L$2:$L$1001,SUBSTITUTE(SUBSTITUTE(SUBSTITUTE(L536,"~","~~"),"*","~*"),"?","~?"))&lt;&gt;1,"Other amount is invalid",IF(J536&lt;&gt;0,"Amount differs","Matched")))))))</x:f>
      </x:c>
      <x:c r="L536" t="str">
        <x:f>IF(COUNTA(A536:F536)=0,"",LEN(A536)&amp;":"&amp;A536&amp;LEN(B536)&amp;":"&amp;B536&amp;LEN(C536)&amp;":"&amp;C536&amp;LEN(D536)&amp;":"&amp;D536)</x:f>
      </x:c>
      <x:c r="M536" t="str">
        <x:f>IF(COUNTA(A536:F536)=0,"",IF(ISNUMBER(E536),1,0))</x:f>
      </x:c>
    </x:row>
    <x:row r="537">
      <x:c r="A537" s="11"/>
      <x:c r="B537" s="11"/>
      <x:c r="C537" s="11"/>
      <x:c r="D537" s="11"/>
      <x:c r="E537" s="12"/>
      <x:c r="F537" s="10"/>
      <x:c r="G537" s="2" t="str">
        <x:f>IF(COUNTA(A537:F537)=0,"",COUNTIFS('External Data'!$L$2:$L$1001,SUBSTITUTE(SUBSTITUTE(SUBSTITUTE(L537,"~","~~"),"*","~*"),"?","~?")))</x:f>
      </x:c>
      <x:c r="H537" s="2" t="str">
        <x:f>IF(COUNTA(A537:F537)=0,"",COUNTIFS('App Data'!$L$2:$L$1001,SUBSTITUTE(SUBSTITUTE(SUBSTITUTE(L537,"~","~~"),"*","~*"),"?","~?")))</x:f>
      </x:c>
      <x:c r="I537" s="13" t="str">
        <x:f>IF(OR(H537&lt;&gt;1,G537&lt;&gt;1),"",SUMIFS('App Data'!$E$2:$E$1001,'App Data'!$L$2:$L$1001,SUBSTITUTE(SUBSTITUTE(SUBSTITUTE(L537,"~","~~"),"*","~*"),"?","~?")))</x:f>
      </x:c>
      <x:c r="J537" s="13" t="str">
        <x:f>IF(OR(NOT(ISNUMBER(E537)),NOT(ISNUMBER(I537))),"",ROUND(E537-I537,2))</x:f>
      </x:c>
      <x:c r="K537" s="2" t="str">
        <x:f>IF(COUNTA(A537:F537)=0,"",IF(OR(A537="",B537="",C537="",D537="",NOT(ISNUMBER(E537))),"Missing / invalid input",IF(G537&gt;1,"Duplicate key in this source",IF(H537=0,"Missing in other source",IF(H537&gt;1,"Duplicate in other source",IF(SUMIFS('App Data'!$M$2:$M$1001,'App Data'!$L$2:$L$1001,SUBSTITUTE(SUBSTITUTE(SUBSTITUTE(L537,"~","~~"),"*","~*"),"?","~?"))&lt;&gt;1,"Other amount is invalid",IF(J537&lt;&gt;0,"Amount differs","Matched")))))))</x:f>
      </x:c>
      <x:c r="L537" t="str">
        <x:f>IF(COUNTA(A537:F537)=0,"",LEN(A537)&amp;":"&amp;A537&amp;LEN(B537)&amp;":"&amp;B537&amp;LEN(C537)&amp;":"&amp;C537&amp;LEN(D537)&amp;":"&amp;D537)</x:f>
      </x:c>
      <x:c r="M537" t="str">
        <x:f>IF(COUNTA(A537:F537)=0,"",IF(ISNUMBER(E537),1,0))</x:f>
      </x:c>
    </x:row>
    <x:row r="538">
      <x:c r="A538" s="11"/>
      <x:c r="B538" s="11"/>
      <x:c r="C538" s="11"/>
      <x:c r="D538" s="11"/>
      <x:c r="E538" s="12"/>
      <x:c r="F538" s="10"/>
      <x:c r="G538" s="2" t="str">
        <x:f>IF(COUNTA(A538:F538)=0,"",COUNTIFS('External Data'!$L$2:$L$1001,SUBSTITUTE(SUBSTITUTE(SUBSTITUTE(L538,"~","~~"),"*","~*"),"?","~?")))</x:f>
      </x:c>
      <x:c r="H538" s="2" t="str">
        <x:f>IF(COUNTA(A538:F538)=0,"",COUNTIFS('App Data'!$L$2:$L$1001,SUBSTITUTE(SUBSTITUTE(SUBSTITUTE(L538,"~","~~"),"*","~*"),"?","~?")))</x:f>
      </x:c>
      <x:c r="I538" s="13" t="str">
        <x:f>IF(OR(H538&lt;&gt;1,G538&lt;&gt;1),"",SUMIFS('App Data'!$E$2:$E$1001,'App Data'!$L$2:$L$1001,SUBSTITUTE(SUBSTITUTE(SUBSTITUTE(L538,"~","~~"),"*","~*"),"?","~?")))</x:f>
      </x:c>
      <x:c r="J538" s="13" t="str">
        <x:f>IF(OR(NOT(ISNUMBER(E538)),NOT(ISNUMBER(I538))),"",ROUND(E538-I538,2))</x:f>
      </x:c>
      <x:c r="K538" s="2" t="str">
        <x:f>IF(COUNTA(A538:F538)=0,"",IF(OR(A538="",B538="",C538="",D538="",NOT(ISNUMBER(E538))),"Missing / invalid input",IF(G538&gt;1,"Duplicate key in this source",IF(H538=0,"Missing in other source",IF(H538&gt;1,"Duplicate in other source",IF(SUMIFS('App Data'!$M$2:$M$1001,'App Data'!$L$2:$L$1001,SUBSTITUTE(SUBSTITUTE(SUBSTITUTE(L538,"~","~~"),"*","~*"),"?","~?"))&lt;&gt;1,"Other amount is invalid",IF(J538&lt;&gt;0,"Amount differs","Matched")))))))</x:f>
      </x:c>
      <x:c r="L538" t="str">
        <x:f>IF(COUNTA(A538:F538)=0,"",LEN(A538)&amp;":"&amp;A538&amp;LEN(B538)&amp;":"&amp;B538&amp;LEN(C538)&amp;":"&amp;C538&amp;LEN(D538)&amp;":"&amp;D538)</x:f>
      </x:c>
      <x:c r="M538" t="str">
        <x:f>IF(COUNTA(A538:F538)=0,"",IF(ISNUMBER(E538),1,0))</x:f>
      </x:c>
    </x:row>
    <x:row r="539">
      <x:c r="A539" s="11"/>
      <x:c r="B539" s="11"/>
      <x:c r="C539" s="11"/>
      <x:c r="D539" s="11"/>
      <x:c r="E539" s="12"/>
      <x:c r="F539" s="10"/>
      <x:c r="G539" s="2" t="str">
        <x:f>IF(COUNTA(A539:F539)=0,"",COUNTIFS('External Data'!$L$2:$L$1001,SUBSTITUTE(SUBSTITUTE(SUBSTITUTE(L539,"~","~~"),"*","~*"),"?","~?")))</x:f>
      </x:c>
      <x:c r="H539" s="2" t="str">
        <x:f>IF(COUNTA(A539:F539)=0,"",COUNTIFS('App Data'!$L$2:$L$1001,SUBSTITUTE(SUBSTITUTE(SUBSTITUTE(L539,"~","~~"),"*","~*"),"?","~?")))</x:f>
      </x:c>
      <x:c r="I539" s="13" t="str">
        <x:f>IF(OR(H539&lt;&gt;1,G539&lt;&gt;1),"",SUMIFS('App Data'!$E$2:$E$1001,'App Data'!$L$2:$L$1001,SUBSTITUTE(SUBSTITUTE(SUBSTITUTE(L539,"~","~~"),"*","~*"),"?","~?")))</x:f>
      </x:c>
      <x:c r="J539" s="13" t="str">
        <x:f>IF(OR(NOT(ISNUMBER(E539)),NOT(ISNUMBER(I539))),"",ROUND(E539-I539,2))</x:f>
      </x:c>
      <x:c r="K539" s="2" t="str">
        <x:f>IF(COUNTA(A539:F539)=0,"",IF(OR(A539="",B539="",C539="",D539="",NOT(ISNUMBER(E539))),"Missing / invalid input",IF(G539&gt;1,"Duplicate key in this source",IF(H539=0,"Missing in other source",IF(H539&gt;1,"Duplicate in other source",IF(SUMIFS('App Data'!$M$2:$M$1001,'App Data'!$L$2:$L$1001,SUBSTITUTE(SUBSTITUTE(SUBSTITUTE(L539,"~","~~"),"*","~*"),"?","~?"))&lt;&gt;1,"Other amount is invalid",IF(J539&lt;&gt;0,"Amount differs","Matched")))))))</x:f>
      </x:c>
      <x:c r="L539" t="str">
        <x:f>IF(COUNTA(A539:F539)=0,"",LEN(A539)&amp;":"&amp;A539&amp;LEN(B539)&amp;":"&amp;B539&amp;LEN(C539)&amp;":"&amp;C539&amp;LEN(D539)&amp;":"&amp;D539)</x:f>
      </x:c>
      <x:c r="M539" t="str">
        <x:f>IF(COUNTA(A539:F539)=0,"",IF(ISNUMBER(E539),1,0))</x:f>
      </x:c>
    </x:row>
    <x:row r="540">
      <x:c r="A540" s="11"/>
      <x:c r="B540" s="11"/>
      <x:c r="C540" s="11"/>
      <x:c r="D540" s="11"/>
      <x:c r="E540" s="12"/>
      <x:c r="F540" s="10"/>
      <x:c r="G540" s="2" t="str">
        <x:f>IF(COUNTA(A540:F540)=0,"",COUNTIFS('External Data'!$L$2:$L$1001,SUBSTITUTE(SUBSTITUTE(SUBSTITUTE(L540,"~","~~"),"*","~*"),"?","~?")))</x:f>
      </x:c>
      <x:c r="H540" s="2" t="str">
        <x:f>IF(COUNTA(A540:F540)=0,"",COUNTIFS('App Data'!$L$2:$L$1001,SUBSTITUTE(SUBSTITUTE(SUBSTITUTE(L540,"~","~~"),"*","~*"),"?","~?")))</x:f>
      </x:c>
      <x:c r="I540" s="13" t="str">
        <x:f>IF(OR(H540&lt;&gt;1,G540&lt;&gt;1),"",SUMIFS('App Data'!$E$2:$E$1001,'App Data'!$L$2:$L$1001,SUBSTITUTE(SUBSTITUTE(SUBSTITUTE(L540,"~","~~"),"*","~*"),"?","~?")))</x:f>
      </x:c>
      <x:c r="J540" s="13" t="str">
        <x:f>IF(OR(NOT(ISNUMBER(E540)),NOT(ISNUMBER(I540))),"",ROUND(E540-I540,2))</x:f>
      </x:c>
      <x:c r="K540" s="2" t="str">
        <x:f>IF(COUNTA(A540:F540)=0,"",IF(OR(A540="",B540="",C540="",D540="",NOT(ISNUMBER(E540))),"Missing / invalid input",IF(G540&gt;1,"Duplicate key in this source",IF(H540=0,"Missing in other source",IF(H540&gt;1,"Duplicate in other source",IF(SUMIFS('App Data'!$M$2:$M$1001,'App Data'!$L$2:$L$1001,SUBSTITUTE(SUBSTITUTE(SUBSTITUTE(L540,"~","~~"),"*","~*"),"?","~?"))&lt;&gt;1,"Other amount is invalid",IF(J540&lt;&gt;0,"Amount differs","Matched")))))))</x:f>
      </x:c>
      <x:c r="L540" t="str">
        <x:f>IF(COUNTA(A540:F540)=0,"",LEN(A540)&amp;":"&amp;A540&amp;LEN(B540)&amp;":"&amp;B540&amp;LEN(C540)&amp;":"&amp;C540&amp;LEN(D540)&amp;":"&amp;D540)</x:f>
      </x:c>
      <x:c r="M540" t="str">
        <x:f>IF(COUNTA(A540:F540)=0,"",IF(ISNUMBER(E540),1,0))</x:f>
      </x:c>
    </x:row>
    <x:row r="541">
      <x:c r="A541" s="11"/>
      <x:c r="B541" s="11"/>
      <x:c r="C541" s="11"/>
      <x:c r="D541" s="11"/>
      <x:c r="E541" s="12"/>
      <x:c r="F541" s="10"/>
      <x:c r="G541" s="2" t="str">
        <x:f>IF(COUNTA(A541:F541)=0,"",COUNTIFS('External Data'!$L$2:$L$1001,SUBSTITUTE(SUBSTITUTE(SUBSTITUTE(L541,"~","~~"),"*","~*"),"?","~?")))</x:f>
      </x:c>
      <x:c r="H541" s="2" t="str">
        <x:f>IF(COUNTA(A541:F541)=0,"",COUNTIFS('App Data'!$L$2:$L$1001,SUBSTITUTE(SUBSTITUTE(SUBSTITUTE(L541,"~","~~"),"*","~*"),"?","~?")))</x:f>
      </x:c>
      <x:c r="I541" s="13" t="str">
        <x:f>IF(OR(H541&lt;&gt;1,G541&lt;&gt;1),"",SUMIFS('App Data'!$E$2:$E$1001,'App Data'!$L$2:$L$1001,SUBSTITUTE(SUBSTITUTE(SUBSTITUTE(L541,"~","~~"),"*","~*"),"?","~?")))</x:f>
      </x:c>
      <x:c r="J541" s="13" t="str">
        <x:f>IF(OR(NOT(ISNUMBER(E541)),NOT(ISNUMBER(I541))),"",ROUND(E541-I541,2))</x:f>
      </x:c>
      <x:c r="K541" s="2" t="str">
        <x:f>IF(COUNTA(A541:F541)=0,"",IF(OR(A541="",B541="",C541="",D541="",NOT(ISNUMBER(E541))),"Missing / invalid input",IF(G541&gt;1,"Duplicate key in this source",IF(H541=0,"Missing in other source",IF(H541&gt;1,"Duplicate in other source",IF(SUMIFS('App Data'!$M$2:$M$1001,'App Data'!$L$2:$L$1001,SUBSTITUTE(SUBSTITUTE(SUBSTITUTE(L541,"~","~~"),"*","~*"),"?","~?"))&lt;&gt;1,"Other amount is invalid",IF(J541&lt;&gt;0,"Amount differs","Matched")))))))</x:f>
      </x:c>
      <x:c r="L541" t="str">
        <x:f>IF(COUNTA(A541:F541)=0,"",LEN(A541)&amp;":"&amp;A541&amp;LEN(B541)&amp;":"&amp;B541&amp;LEN(C541)&amp;":"&amp;C541&amp;LEN(D541)&amp;":"&amp;D541)</x:f>
      </x:c>
      <x:c r="M541" t="str">
        <x:f>IF(COUNTA(A541:F541)=0,"",IF(ISNUMBER(E541),1,0))</x:f>
      </x:c>
    </x:row>
    <x:row r="542">
      <x:c r="A542" s="11"/>
      <x:c r="B542" s="11"/>
      <x:c r="C542" s="11"/>
      <x:c r="D542" s="11"/>
      <x:c r="E542" s="12"/>
      <x:c r="F542" s="10"/>
      <x:c r="G542" s="2" t="str">
        <x:f>IF(COUNTA(A542:F542)=0,"",COUNTIFS('External Data'!$L$2:$L$1001,SUBSTITUTE(SUBSTITUTE(SUBSTITUTE(L542,"~","~~"),"*","~*"),"?","~?")))</x:f>
      </x:c>
      <x:c r="H542" s="2" t="str">
        <x:f>IF(COUNTA(A542:F542)=0,"",COUNTIFS('App Data'!$L$2:$L$1001,SUBSTITUTE(SUBSTITUTE(SUBSTITUTE(L542,"~","~~"),"*","~*"),"?","~?")))</x:f>
      </x:c>
      <x:c r="I542" s="13" t="str">
        <x:f>IF(OR(H542&lt;&gt;1,G542&lt;&gt;1),"",SUMIFS('App Data'!$E$2:$E$1001,'App Data'!$L$2:$L$1001,SUBSTITUTE(SUBSTITUTE(SUBSTITUTE(L542,"~","~~"),"*","~*"),"?","~?")))</x:f>
      </x:c>
      <x:c r="J542" s="13" t="str">
        <x:f>IF(OR(NOT(ISNUMBER(E542)),NOT(ISNUMBER(I542))),"",ROUND(E542-I542,2))</x:f>
      </x:c>
      <x:c r="K542" s="2" t="str">
        <x:f>IF(COUNTA(A542:F542)=0,"",IF(OR(A542="",B542="",C542="",D542="",NOT(ISNUMBER(E542))),"Missing / invalid input",IF(G542&gt;1,"Duplicate key in this source",IF(H542=0,"Missing in other source",IF(H542&gt;1,"Duplicate in other source",IF(SUMIFS('App Data'!$M$2:$M$1001,'App Data'!$L$2:$L$1001,SUBSTITUTE(SUBSTITUTE(SUBSTITUTE(L542,"~","~~"),"*","~*"),"?","~?"))&lt;&gt;1,"Other amount is invalid",IF(J542&lt;&gt;0,"Amount differs","Matched")))))))</x:f>
      </x:c>
      <x:c r="L542" t="str">
        <x:f>IF(COUNTA(A542:F542)=0,"",LEN(A542)&amp;":"&amp;A542&amp;LEN(B542)&amp;":"&amp;B542&amp;LEN(C542)&amp;":"&amp;C542&amp;LEN(D542)&amp;":"&amp;D542)</x:f>
      </x:c>
      <x:c r="M542" t="str">
        <x:f>IF(COUNTA(A542:F542)=0,"",IF(ISNUMBER(E542),1,0))</x:f>
      </x:c>
    </x:row>
    <x:row r="543">
      <x:c r="A543" s="11"/>
      <x:c r="B543" s="11"/>
      <x:c r="C543" s="11"/>
      <x:c r="D543" s="11"/>
      <x:c r="E543" s="12"/>
      <x:c r="F543" s="10"/>
      <x:c r="G543" s="2" t="str">
        <x:f>IF(COUNTA(A543:F543)=0,"",COUNTIFS('External Data'!$L$2:$L$1001,SUBSTITUTE(SUBSTITUTE(SUBSTITUTE(L543,"~","~~"),"*","~*"),"?","~?")))</x:f>
      </x:c>
      <x:c r="H543" s="2" t="str">
        <x:f>IF(COUNTA(A543:F543)=0,"",COUNTIFS('App Data'!$L$2:$L$1001,SUBSTITUTE(SUBSTITUTE(SUBSTITUTE(L543,"~","~~"),"*","~*"),"?","~?")))</x:f>
      </x:c>
      <x:c r="I543" s="13" t="str">
        <x:f>IF(OR(H543&lt;&gt;1,G543&lt;&gt;1),"",SUMIFS('App Data'!$E$2:$E$1001,'App Data'!$L$2:$L$1001,SUBSTITUTE(SUBSTITUTE(SUBSTITUTE(L543,"~","~~"),"*","~*"),"?","~?")))</x:f>
      </x:c>
      <x:c r="J543" s="13" t="str">
        <x:f>IF(OR(NOT(ISNUMBER(E543)),NOT(ISNUMBER(I543))),"",ROUND(E543-I543,2))</x:f>
      </x:c>
      <x:c r="K543" s="2" t="str">
        <x:f>IF(COUNTA(A543:F543)=0,"",IF(OR(A543="",B543="",C543="",D543="",NOT(ISNUMBER(E543))),"Missing / invalid input",IF(G543&gt;1,"Duplicate key in this source",IF(H543=0,"Missing in other source",IF(H543&gt;1,"Duplicate in other source",IF(SUMIFS('App Data'!$M$2:$M$1001,'App Data'!$L$2:$L$1001,SUBSTITUTE(SUBSTITUTE(SUBSTITUTE(L543,"~","~~"),"*","~*"),"?","~?"))&lt;&gt;1,"Other amount is invalid",IF(J543&lt;&gt;0,"Amount differs","Matched")))))))</x:f>
      </x:c>
      <x:c r="L543" t="str">
        <x:f>IF(COUNTA(A543:F543)=0,"",LEN(A543)&amp;":"&amp;A543&amp;LEN(B543)&amp;":"&amp;B543&amp;LEN(C543)&amp;":"&amp;C543&amp;LEN(D543)&amp;":"&amp;D543)</x:f>
      </x:c>
      <x:c r="M543" t="str">
        <x:f>IF(COUNTA(A543:F543)=0,"",IF(ISNUMBER(E543),1,0))</x:f>
      </x:c>
    </x:row>
    <x:row r="544">
      <x:c r="A544" s="11"/>
      <x:c r="B544" s="11"/>
      <x:c r="C544" s="11"/>
      <x:c r="D544" s="11"/>
      <x:c r="E544" s="12"/>
      <x:c r="F544" s="10"/>
      <x:c r="G544" s="2" t="str">
        <x:f>IF(COUNTA(A544:F544)=0,"",COUNTIFS('External Data'!$L$2:$L$1001,SUBSTITUTE(SUBSTITUTE(SUBSTITUTE(L544,"~","~~"),"*","~*"),"?","~?")))</x:f>
      </x:c>
      <x:c r="H544" s="2" t="str">
        <x:f>IF(COUNTA(A544:F544)=0,"",COUNTIFS('App Data'!$L$2:$L$1001,SUBSTITUTE(SUBSTITUTE(SUBSTITUTE(L544,"~","~~"),"*","~*"),"?","~?")))</x:f>
      </x:c>
      <x:c r="I544" s="13" t="str">
        <x:f>IF(OR(H544&lt;&gt;1,G544&lt;&gt;1),"",SUMIFS('App Data'!$E$2:$E$1001,'App Data'!$L$2:$L$1001,SUBSTITUTE(SUBSTITUTE(SUBSTITUTE(L544,"~","~~"),"*","~*"),"?","~?")))</x:f>
      </x:c>
      <x:c r="J544" s="13" t="str">
        <x:f>IF(OR(NOT(ISNUMBER(E544)),NOT(ISNUMBER(I544))),"",ROUND(E544-I544,2))</x:f>
      </x:c>
      <x:c r="K544" s="2" t="str">
        <x:f>IF(COUNTA(A544:F544)=0,"",IF(OR(A544="",B544="",C544="",D544="",NOT(ISNUMBER(E544))),"Missing / invalid input",IF(G544&gt;1,"Duplicate key in this source",IF(H544=0,"Missing in other source",IF(H544&gt;1,"Duplicate in other source",IF(SUMIFS('App Data'!$M$2:$M$1001,'App Data'!$L$2:$L$1001,SUBSTITUTE(SUBSTITUTE(SUBSTITUTE(L544,"~","~~"),"*","~*"),"?","~?"))&lt;&gt;1,"Other amount is invalid",IF(J544&lt;&gt;0,"Amount differs","Matched")))))))</x:f>
      </x:c>
      <x:c r="L544" t="str">
        <x:f>IF(COUNTA(A544:F544)=0,"",LEN(A544)&amp;":"&amp;A544&amp;LEN(B544)&amp;":"&amp;B544&amp;LEN(C544)&amp;":"&amp;C544&amp;LEN(D544)&amp;":"&amp;D544)</x:f>
      </x:c>
      <x:c r="M544" t="str">
        <x:f>IF(COUNTA(A544:F544)=0,"",IF(ISNUMBER(E544),1,0))</x:f>
      </x:c>
    </x:row>
    <x:row r="545">
      <x:c r="A545" s="11"/>
      <x:c r="B545" s="11"/>
      <x:c r="C545" s="11"/>
      <x:c r="D545" s="11"/>
      <x:c r="E545" s="12"/>
      <x:c r="F545" s="10"/>
      <x:c r="G545" s="2" t="str">
        <x:f>IF(COUNTA(A545:F545)=0,"",COUNTIFS('External Data'!$L$2:$L$1001,SUBSTITUTE(SUBSTITUTE(SUBSTITUTE(L545,"~","~~"),"*","~*"),"?","~?")))</x:f>
      </x:c>
      <x:c r="H545" s="2" t="str">
        <x:f>IF(COUNTA(A545:F545)=0,"",COUNTIFS('App Data'!$L$2:$L$1001,SUBSTITUTE(SUBSTITUTE(SUBSTITUTE(L545,"~","~~"),"*","~*"),"?","~?")))</x:f>
      </x:c>
      <x:c r="I545" s="13" t="str">
        <x:f>IF(OR(H545&lt;&gt;1,G545&lt;&gt;1),"",SUMIFS('App Data'!$E$2:$E$1001,'App Data'!$L$2:$L$1001,SUBSTITUTE(SUBSTITUTE(SUBSTITUTE(L545,"~","~~"),"*","~*"),"?","~?")))</x:f>
      </x:c>
      <x:c r="J545" s="13" t="str">
        <x:f>IF(OR(NOT(ISNUMBER(E545)),NOT(ISNUMBER(I545))),"",ROUND(E545-I545,2))</x:f>
      </x:c>
      <x:c r="K545" s="2" t="str">
        <x:f>IF(COUNTA(A545:F545)=0,"",IF(OR(A545="",B545="",C545="",D545="",NOT(ISNUMBER(E545))),"Missing / invalid input",IF(G545&gt;1,"Duplicate key in this source",IF(H545=0,"Missing in other source",IF(H545&gt;1,"Duplicate in other source",IF(SUMIFS('App Data'!$M$2:$M$1001,'App Data'!$L$2:$L$1001,SUBSTITUTE(SUBSTITUTE(SUBSTITUTE(L545,"~","~~"),"*","~*"),"?","~?"))&lt;&gt;1,"Other amount is invalid",IF(J545&lt;&gt;0,"Amount differs","Matched")))))))</x:f>
      </x:c>
      <x:c r="L545" t="str">
        <x:f>IF(COUNTA(A545:F545)=0,"",LEN(A545)&amp;":"&amp;A545&amp;LEN(B545)&amp;":"&amp;B545&amp;LEN(C545)&amp;":"&amp;C545&amp;LEN(D545)&amp;":"&amp;D545)</x:f>
      </x:c>
      <x:c r="M545" t="str">
        <x:f>IF(COUNTA(A545:F545)=0,"",IF(ISNUMBER(E545),1,0))</x:f>
      </x:c>
    </x:row>
    <x:row r="546">
      <x:c r="A546" s="11"/>
      <x:c r="B546" s="11"/>
      <x:c r="C546" s="11"/>
      <x:c r="D546" s="11"/>
      <x:c r="E546" s="12"/>
      <x:c r="F546" s="10"/>
      <x:c r="G546" s="2" t="str">
        <x:f>IF(COUNTA(A546:F546)=0,"",COUNTIFS('External Data'!$L$2:$L$1001,SUBSTITUTE(SUBSTITUTE(SUBSTITUTE(L546,"~","~~"),"*","~*"),"?","~?")))</x:f>
      </x:c>
      <x:c r="H546" s="2" t="str">
        <x:f>IF(COUNTA(A546:F546)=0,"",COUNTIFS('App Data'!$L$2:$L$1001,SUBSTITUTE(SUBSTITUTE(SUBSTITUTE(L546,"~","~~"),"*","~*"),"?","~?")))</x:f>
      </x:c>
      <x:c r="I546" s="13" t="str">
        <x:f>IF(OR(H546&lt;&gt;1,G546&lt;&gt;1),"",SUMIFS('App Data'!$E$2:$E$1001,'App Data'!$L$2:$L$1001,SUBSTITUTE(SUBSTITUTE(SUBSTITUTE(L546,"~","~~"),"*","~*"),"?","~?")))</x:f>
      </x:c>
      <x:c r="J546" s="13" t="str">
        <x:f>IF(OR(NOT(ISNUMBER(E546)),NOT(ISNUMBER(I546))),"",ROUND(E546-I546,2))</x:f>
      </x:c>
      <x:c r="K546" s="2" t="str">
        <x:f>IF(COUNTA(A546:F546)=0,"",IF(OR(A546="",B546="",C546="",D546="",NOT(ISNUMBER(E546))),"Missing / invalid input",IF(G546&gt;1,"Duplicate key in this source",IF(H546=0,"Missing in other source",IF(H546&gt;1,"Duplicate in other source",IF(SUMIFS('App Data'!$M$2:$M$1001,'App Data'!$L$2:$L$1001,SUBSTITUTE(SUBSTITUTE(SUBSTITUTE(L546,"~","~~"),"*","~*"),"?","~?"))&lt;&gt;1,"Other amount is invalid",IF(J546&lt;&gt;0,"Amount differs","Matched")))))))</x:f>
      </x:c>
      <x:c r="L546" t="str">
        <x:f>IF(COUNTA(A546:F546)=0,"",LEN(A546)&amp;":"&amp;A546&amp;LEN(B546)&amp;":"&amp;B546&amp;LEN(C546)&amp;":"&amp;C546&amp;LEN(D546)&amp;":"&amp;D546)</x:f>
      </x:c>
      <x:c r="M546" t="str">
        <x:f>IF(COUNTA(A546:F546)=0,"",IF(ISNUMBER(E546),1,0))</x:f>
      </x:c>
    </x:row>
    <x:row r="547">
      <x:c r="A547" s="11"/>
      <x:c r="B547" s="11"/>
      <x:c r="C547" s="11"/>
      <x:c r="D547" s="11"/>
      <x:c r="E547" s="12"/>
      <x:c r="F547" s="10"/>
      <x:c r="G547" s="2" t="str">
        <x:f>IF(COUNTA(A547:F547)=0,"",COUNTIFS('External Data'!$L$2:$L$1001,SUBSTITUTE(SUBSTITUTE(SUBSTITUTE(L547,"~","~~"),"*","~*"),"?","~?")))</x:f>
      </x:c>
      <x:c r="H547" s="2" t="str">
        <x:f>IF(COUNTA(A547:F547)=0,"",COUNTIFS('App Data'!$L$2:$L$1001,SUBSTITUTE(SUBSTITUTE(SUBSTITUTE(L547,"~","~~"),"*","~*"),"?","~?")))</x:f>
      </x:c>
      <x:c r="I547" s="13" t="str">
        <x:f>IF(OR(H547&lt;&gt;1,G547&lt;&gt;1),"",SUMIFS('App Data'!$E$2:$E$1001,'App Data'!$L$2:$L$1001,SUBSTITUTE(SUBSTITUTE(SUBSTITUTE(L547,"~","~~"),"*","~*"),"?","~?")))</x:f>
      </x:c>
      <x:c r="J547" s="13" t="str">
        <x:f>IF(OR(NOT(ISNUMBER(E547)),NOT(ISNUMBER(I547))),"",ROUND(E547-I547,2))</x:f>
      </x:c>
      <x:c r="K547" s="2" t="str">
        <x:f>IF(COUNTA(A547:F547)=0,"",IF(OR(A547="",B547="",C547="",D547="",NOT(ISNUMBER(E547))),"Missing / invalid input",IF(G547&gt;1,"Duplicate key in this source",IF(H547=0,"Missing in other source",IF(H547&gt;1,"Duplicate in other source",IF(SUMIFS('App Data'!$M$2:$M$1001,'App Data'!$L$2:$L$1001,SUBSTITUTE(SUBSTITUTE(SUBSTITUTE(L547,"~","~~"),"*","~*"),"?","~?"))&lt;&gt;1,"Other amount is invalid",IF(J547&lt;&gt;0,"Amount differs","Matched")))))))</x:f>
      </x:c>
      <x:c r="L547" t="str">
        <x:f>IF(COUNTA(A547:F547)=0,"",LEN(A547)&amp;":"&amp;A547&amp;LEN(B547)&amp;":"&amp;B547&amp;LEN(C547)&amp;":"&amp;C547&amp;LEN(D547)&amp;":"&amp;D547)</x:f>
      </x:c>
      <x:c r="M547" t="str">
        <x:f>IF(COUNTA(A547:F547)=0,"",IF(ISNUMBER(E547),1,0))</x:f>
      </x:c>
    </x:row>
    <x:row r="548">
      <x:c r="A548" s="11"/>
      <x:c r="B548" s="11"/>
      <x:c r="C548" s="11"/>
      <x:c r="D548" s="11"/>
      <x:c r="E548" s="12"/>
      <x:c r="F548" s="10"/>
      <x:c r="G548" s="2" t="str">
        <x:f>IF(COUNTA(A548:F548)=0,"",COUNTIFS('External Data'!$L$2:$L$1001,SUBSTITUTE(SUBSTITUTE(SUBSTITUTE(L548,"~","~~"),"*","~*"),"?","~?")))</x:f>
      </x:c>
      <x:c r="H548" s="2" t="str">
        <x:f>IF(COUNTA(A548:F548)=0,"",COUNTIFS('App Data'!$L$2:$L$1001,SUBSTITUTE(SUBSTITUTE(SUBSTITUTE(L548,"~","~~"),"*","~*"),"?","~?")))</x:f>
      </x:c>
      <x:c r="I548" s="13" t="str">
        <x:f>IF(OR(H548&lt;&gt;1,G548&lt;&gt;1),"",SUMIFS('App Data'!$E$2:$E$1001,'App Data'!$L$2:$L$1001,SUBSTITUTE(SUBSTITUTE(SUBSTITUTE(L548,"~","~~"),"*","~*"),"?","~?")))</x:f>
      </x:c>
      <x:c r="J548" s="13" t="str">
        <x:f>IF(OR(NOT(ISNUMBER(E548)),NOT(ISNUMBER(I548))),"",ROUND(E548-I548,2))</x:f>
      </x:c>
      <x:c r="K548" s="2" t="str">
        <x:f>IF(COUNTA(A548:F548)=0,"",IF(OR(A548="",B548="",C548="",D548="",NOT(ISNUMBER(E548))),"Missing / invalid input",IF(G548&gt;1,"Duplicate key in this source",IF(H548=0,"Missing in other source",IF(H548&gt;1,"Duplicate in other source",IF(SUMIFS('App Data'!$M$2:$M$1001,'App Data'!$L$2:$L$1001,SUBSTITUTE(SUBSTITUTE(SUBSTITUTE(L548,"~","~~"),"*","~*"),"?","~?"))&lt;&gt;1,"Other amount is invalid",IF(J548&lt;&gt;0,"Amount differs","Matched")))))))</x:f>
      </x:c>
      <x:c r="L548" t="str">
        <x:f>IF(COUNTA(A548:F548)=0,"",LEN(A548)&amp;":"&amp;A548&amp;LEN(B548)&amp;":"&amp;B548&amp;LEN(C548)&amp;":"&amp;C548&amp;LEN(D548)&amp;":"&amp;D548)</x:f>
      </x:c>
      <x:c r="M548" t="str">
        <x:f>IF(COUNTA(A548:F548)=0,"",IF(ISNUMBER(E548),1,0))</x:f>
      </x:c>
    </x:row>
    <x:row r="549">
      <x:c r="A549" s="11"/>
      <x:c r="B549" s="11"/>
      <x:c r="C549" s="11"/>
      <x:c r="D549" s="11"/>
      <x:c r="E549" s="12"/>
      <x:c r="F549" s="10"/>
      <x:c r="G549" s="2" t="str">
        <x:f>IF(COUNTA(A549:F549)=0,"",COUNTIFS('External Data'!$L$2:$L$1001,SUBSTITUTE(SUBSTITUTE(SUBSTITUTE(L549,"~","~~"),"*","~*"),"?","~?")))</x:f>
      </x:c>
      <x:c r="H549" s="2" t="str">
        <x:f>IF(COUNTA(A549:F549)=0,"",COUNTIFS('App Data'!$L$2:$L$1001,SUBSTITUTE(SUBSTITUTE(SUBSTITUTE(L549,"~","~~"),"*","~*"),"?","~?")))</x:f>
      </x:c>
      <x:c r="I549" s="13" t="str">
        <x:f>IF(OR(H549&lt;&gt;1,G549&lt;&gt;1),"",SUMIFS('App Data'!$E$2:$E$1001,'App Data'!$L$2:$L$1001,SUBSTITUTE(SUBSTITUTE(SUBSTITUTE(L549,"~","~~"),"*","~*"),"?","~?")))</x:f>
      </x:c>
      <x:c r="J549" s="13" t="str">
        <x:f>IF(OR(NOT(ISNUMBER(E549)),NOT(ISNUMBER(I549))),"",ROUND(E549-I549,2))</x:f>
      </x:c>
      <x:c r="K549" s="2" t="str">
        <x:f>IF(COUNTA(A549:F549)=0,"",IF(OR(A549="",B549="",C549="",D549="",NOT(ISNUMBER(E549))),"Missing / invalid input",IF(G549&gt;1,"Duplicate key in this source",IF(H549=0,"Missing in other source",IF(H549&gt;1,"Duplicate in other source",IF(SUMIFS('App Data'!$M$2:$M$1001,'App Data'!$L$2:$L$1001,SUBSTITUTE(SUBSTITUTE(SUBSTITUTE(L549,"~","~~"),"*","~*"),"?","~?"))&lt;&gt;1,"Other amount is invalid",IF(J549&lt;&gt;0,"Amount differs","Matched")))))))</x:f>
      </x:c>
      <x:c r="L549" t="str">
        <x:f>IF(COUNTA(A549:F549)=0,"",LEN(A549)&amp;":"&amp;A549&amp;LEN(B549)&amp;":"&amp;B549&amp;LEN(C549)&amp;":"&amp;C549&amp;LEN(D549)&amp;":"&amp;D549)</x:f>
      </x:c>
      <x:c r="M549" t="str">
        <x:f>IF(COUNTA(A549:F549)=0,"",IF(ISNUMBER(E549),1,0))</x:f>
      </x:c>
    </x:row>
    <x:row r="550">
      <x:c r="A550" s="11"/>
      <x:c r="B550" s="11"/>
      <x:c r="C550" s="11"/>
      <x:c r="D550" s="11"/>
      <x:c r="E550" s="12"/>
      <x:c r="F550" s="10"/>
      <x:c r="G550" s="2" t="str">
        <x:f>IF(COUNTA(A550:F550)=0,"",COUNTIFS('External Data'!$L$2:$L$1001,SUBSTITUTE(SUBSTITUTE(SUBSTITUTE(L550,"~","~~"),"*","~*"),"?","~?")))</x:f>
      </x:c>
      <x:c r="H550" s="2" t="str">
        <x:f>IF(COUNTA(A550:F550)=0,"",COUNTIFS('App Data'!$L$2:$L$1001,SUBSTITUTE(SUBSTITUTE(SUBSTITUTE(L550,"~","~~"),"*","~*"),"?","~?")))</x:f>
      </x:c>
      <x:c r="I550" s="13" t="str">
        <x:f>IF(OR(H550&lt;&gt;1,G550&lt;&gt;1),"",SUMIFS('App Data'!$E$2:$E$1001,'App Data'!$L$2:$L$1001,SUBSTITUTE(SUBSTITUTE(SUBSTITUTE(L550,"~","~~"),"*","~*"),"?","~?")))</x:f>
      </x:c>
      <x:c r="J550" s="13" t="str">
        <x:f>IF(OR(NOT(ISNUMBER(E550)),NOT(ISNUMBER(I550))),"",ROUND(E550-I550,2))</x:f>
      </x:c>
      <x:c r="K550" s="2" t="str">
        <x:f>IF(COUNTA(A550:F550)=0,"",IF(OR(A550="",B550="",C550="",D550="",NOT(ISNUMBER(E550))),"Missing / invalid input",IF(G550&gt;1,"Duplicate key in this source",IF(H550=0,"Missing in other source",IF(H550&gt;1,"Duplicate in other source",IF(SUMIFS('App Data'!$M$2:$M$1001,'App Data'!$L$2:$L$1001,SUBSTITUTE(SUBSTITUTE(SUBSTITUTE(L550,"~","~~"),"*","~*"),"?","~?"))&lt;&gt;1,"Other amount is invalid",IF(J550&lt;&gt;0,"Amount differs","Matched")))))))</x:f>
      </x:c>
      <x:c r="L550" t="str">
        <x:f>IF(COUNTA(A550:F550)=0,"",LEN(A550)&amp;":"&amp;A550&amp;LEN(B550)&amp;":"&amp;B550&amp;LEN(C550)&amp;":"&amp;C550&amp;LEN(D550)&amp;":"&amp;D550)</x:f>
      </x:c>
      <x:c r="M550" t="str">
        <x:f>IF(COUNTA(A550:F550)=0,"",IF(ISNUMBER(E550),1,0))</x:f>
      </x:c>
    </x:row>
    <x:row r="551">
      <x:c r="A551" s="11"/>
      <x:c r="B551" s="11"/>
      <x:c r="C551" s="11"/>
      <x:c r="D551" s="11"/>
      <x:c r="E551" s="12"/>
      <x:c r="F551" s="10"/>
      <x:c r="G551" s="2" t="str">
        <x:f>IF(COUNTA(A551:F551)=0,"",COUNTIFS('External Data'!$L$2:$L$1001,SUBSTITUTE(SUBSTITUTE(SUBSTITUTE(L551,"~","~~"),"*","~*"),"?","~?")))</x:f>
      </x:c>
      <x:c r="H551" s="2" t="str">
        <x:f>IF(COUNTA(A551:F551)=0,"",COUNTIFS('App Data'!$L$2:$L$1001,SUBSTITUTE(SUBSTITUTE(SUBSTITUTE(L551,"~","~~"),"*","~*"),"?","~?")))</x:f>
      </x:c>
      <x:c r="I551" s="13" t="str">
        <x:f>IF(OR(H551&lt;&gt;1,G551&lt;&gt;1),"",SUMIFS('App Data'!$E$2:$E$1001,'App Data'!$L$2:$L$1001,SUBSTITUTE(SUBSTITUTE(SUBSTITUTE(L551,"~","~~"),"*","~*"),"?","~?")))</x:f>
      </x:c>
      <x:c r="J551" s="13" t="str">
        <x:f>IF(OR(NOT(ISNUMBER(E551)),NOT(ISNUMBER(I551))),"",ROUND(E551-I551,2))</x:f>
      </x:c>
      <x:c r="K551" s="2" t="str">
        <x:f>IF(COUNTA(A551:F551)=0,"",IF(OR(A551="",B551="",C551="",D551="",NOT(ISNUMBER(E551))),"Missing / invalid input",IF(G551&gt;1,"Duplicate key in this source",IF(H551=0,"Missing in other source",IF(H551&gt;1,"Duplicate in other source",IF(SUMIFS('App Data'!$M$2:$M$1001,'App Data'!$L$2:$L$1001,SUBSTITUTE(SUBSTITUTE(SUBSTITUTE(L551,"~","~~"),"*","~*"),"?","~?"))&lt;&gt;1,"Other amount is invalid",IF(J551&lt;&gt;0,"Amount differs","Matched")))))))</x:f>
      </x:c>
      <x:c r="L551" t="str">
        <x:f>IF(COUNTA(A551:F551)=0,"",LEN(A551)&amp;":"&amp;A551&amp;LEN(B551)&amp;":"&amp;B551&amp;LEN(C551)&amp;":"&amp;C551&amp;LEN(D551)&amp;":"&amp;D551)</x:f>
      </x:c>
      <x:c r="M551" t="str">
        <x:f>IF(COUNTA(A551:F551)=0,"",IF(ISNUMBER(E551),1,0))</x:f>
      </x:c>
    </x:row>
    <x:row r="552">
      <x:c r="A552" s="11"/>
      <x:c r="B552" s="11"/>
      <x:c r="C552" s="11"/>
      <x:c r="D552" s="11"/>
      <x:c r="E552" s="12"/>
      <x:c r="F552" s="10"/>
      <x:c r="G552" s="2" t="str">
        <x:f>IF(COUNTA(A552:F552)=0,"",COUNTIFS('External Data'!$L$2:$L$1001,SUBSTITUTE(SUBSTITUTE(SUBSTITUTE(L552,"~","~~"),"*","~*"),"?","~?")))</x:f>
      </x:c>
      <x:c r="H552" s="2" t="str">
        <x:f>IF(COUNTA(A552:F552)=0,"",COUNTIFS('App Data'!$L$2:$L$1001,SUBSTITUTE(SUBSTITUTE(SUBSTITUTE(L552,"~","~~"),"*","~*"),"?","~?")))</x:f>
      </x:c>
      <x:c r="I552" s="13" t="str">
        <x:f>IF(OR(H552&lt;&gt;1,G552&lt;&gt;1),"",SUMIFS('App Data'!$E$2:$E$1001,'App Data'!$L$2:$L$1001,SUBSTITUTE(SUBSTITUTE(SUBSTITUTE(L552,"~","~~"),"*","~*"),"?","~?")))</x:f>
      </x:c>
      <x:c r="J552" s="13" t="str">
        <x:f>IF(OR(NOT(ISNUMBER(E552)),NOT(ISNUMBER(I552))),"",ROUND(E552-I552,2))</x:f>
      </x:c>
      <x:c r="K552" s="2" t="str">
        <x:f>IF(COUNTA(A552:F552)=0,"",IF(OR(A552="",B552="",C552="",D552="",NOT(ISNUMBER(E552))),"Missing / invalid input",IF(G552&gt;1,"Duplicate key in this source",IF(H552=0,"Missing in other source",IF(H552&gt;1,"Duplicate in other source",IF(SUMIFS('App Data'!$M$2:$M$1001,'App Data'!$L$2:$L$1001,SUBSTITUTE(SUBSTITUTE(SUBSTITUTE(L552,"~","~~"),"*","~*"),"?","~?"))&lt;&gt;1,"Other amount is invalid",IF(J552&lt;&gt;0,"Amount differs","Matched")))))))</x:f>
      </x:c>
      <x:c r="L552" t="str">
        <x:f>IF(COUNTA(A552:F552)=0,"",LEN(A552)&amp;":"&amp;A552&amp;LEN(B552)&amp;":"&amp;B552&amp;LEN(C552)&amp;":"&amp;C552&amp;LEN(D552)&amp;":"&amp;D552)</x:f>
      </x:c>
      <x:c r="M552" t="str">
        <x:f>IF(COUNTA(A552:F552)=0,"",IF(ISNUMBER(E552),1,0))</x:f>
      </x:c>
    </x:row>
    <x:row r="553">
      <x:c r="A553" s="11"/>
      <x:c r="B553" s="11"/>
      <x:c r="C553" s="11"/>
      <x:c r="D553" s="11"/>
      <x:c r="E553" s="12"/>
      <x:c r="F553" s="10"/>
      <x:c r="G553" s="2" t="str">
        <x:f>IF(COUNTA(A553:F553)=0,"",COUNTIFS('External Data'!$L$2:$L$1001,SUBSTITUTE(SUBSTITUTE(SUBSTITUTE(L553,"~","~~"),"*","~*"),"?","~?")))</x:f>
      </x:c>
      <x:c r="H553" s="2" t="str">
        <x:f>IF(COUNTA(A553:F553)=0,"",COUNTIFS('App Data'!$L$2:$L$1001,SUBSTITUTE(SUBSTITUTE(SUBSTITUTE(L553,"~","~~"),"*","~*"),"?","~?")))</x:f>
      </x:c>
      <x:c r="I553" s="13" t="str">
        <x:f>IF(OR(H553&lt;&gt;1,G553&lt;&gt;1),"",SUMIFS('App Data'!$E$2:$E$1001,'App Data'!$L$2:$L$1001,SUBSTITUTE(SUBSTITUTE(SUBSTITUTE(L553,"~","~~"),"*","~*"),"?","~?")))</x:f>
      </x:c>
      <x:c r="J553" s="13" t="str">
        <x:f>IF(OR(NOT(ISNUMBER(E553)),NOT(ISNUMBER(I553))),"",ROUND(E553-I553,2))</x:f>
      </x:c>
      <x:c r="K553" s="2" t="str">
        <x:f>IF(COUNTA(A553:F553)=0,"",IF(OR(A553="",B553="",C553="",D553="",NOT(ISNUMBER(E553))),"Missing / invalid input",IF(G553&gt;1,"Duplicate key in this source",IF(H553=0,"Missing in other source",IF(H553&gt;1,"Duplicate in other source",IF(SUMIFS('App Data'!$M$2:$M$1001,'App Data'!$L$2:$L$1001,SUBSTITUTE(SUBSTITUTE(SUBSTITUTE(L553,"~","~~"),"*","~*"),"?","~?"))&lt;&gt;1,"Other amount is invalid",IF(J553&lt;&gt;0,"Amount differs","Matched")))))))</x:f>
      </x:c>
      <x:c r="L553" t="str">
        <x:f>IF(COUNTA(A553:F553)=0,"",LEN(A553)&amp;":"&amp;A553&amp;LEN(B553)&amp;":"&amp;B553&amp;LEN(C553)&amp;":"&amp;C553&amp;LEN(D553)&amp;":"&amp;D553)</x:f>
      </x:c>
      <x:c r="M553" t="str">
        <x:f>IF(COUNTA(A553:F553)=0,"",IF(ISNUMBER(E553),1,0))</x:f>
      </x:c>
    </x:row>
    <x:row r="554">
      <x:c r="A554" s="11"/>
      <x:c r="B554" s="11"/>
      <x:c r="C554" s="11"/>
      <x:c r="D554" s="11"/>
      <x:c r="E554" s="12"/>
      <x:c r="F554" s="10"/>
      <x:c r="G554" s="2" t="str">
        <x:f>IF(COUNTA(A554:F554)=0,"",COUNTIFS('External Data'!$L$2:$L$1001,SUBSTITUTE(SUBSTITUTE(SUBSTITUTE(L554,"~","~~"),"*","~*"),"?","~?")))</x:f>
      </x:c>
      <x:c r="H554" s="2" t="str">
        <x:f>IF(COUNTA(A554:F554)=0,"",COUNTIFS('App Data'!$L$2:$L$1001,SUBSTITUTE(SUBSTITUTE(SUBSTITUTE(L554,"~","~~"),"*","~*"),"?","~?")))</x:f>
      </x:c>
      <x:c r="I554" s="13" t="str">
        <x:f>IF(OR(H554&lt;&gt;1,G554&lt;&gt;1),"",SUMIFS('App Data'!$E$2:$E$1001,'App Data'!$L$2:$L$1001,SUBSTITUTE(SUBSTITUTE(SUBSTITUTE(L554,"~","~~"),"*","~*"),"?","~?")))</x:f>
      </x:c>
      <x:c r="J554" s="13" t="str">
        <x:f>IF(OR(NOT(ISNUMBER(E554)),NOT(ISNUMBER(I554))),"",ROUND(E554-I554,2))</x:f>
      </x:c>
      <x:c r="K554" s="2" t="str">
        <x:f>IF(COUNTA(A554:F554)=0,"",IF(OR(A554="",B554="",C554="",D554="",NOT(ISNUMBER(E554))),"Missing / invalid input",IF(G554&gt;1,"Duplicate key in this source",IF(H554=0,"Missing in other source",IF(H554&gt;1,"Duplicate in other source",IF(SUMIFS('App Data'!$M$2:$M$1001,'App Data'!$L$2:$L$1001,SUBSTITUTE(SUBSTITUTE(SUBSTITUTE(L554,"~","~~"),"*","~*"),"?","~?"))&lt;&gt;1,"Other amount is invalid",IF(J554&lt;&gt;0,"Amount differs","Matched")))))))</x:f>
      </x:c>
      <x:c r="L554" t="str">
        <x:f>IF(COUNTA(A554:F554)=0,"",LEN(A554)&amp;":"&amp;A554&amp;LEN(B554)&amp;":"&amp;B554&amp;LEN(C554)&amp;":"&amp;C554&amp;LEN(D554)&amp;":"&amp;D554)</x:f>
      </x:c>
      <x:c r="M554" t="str">
        <x:f>IF(COUNTA(A554:F554)=0,"",IF(ISNUMBER(E554),1,0))</x:f>
      </x:c>
    </x:row>
    <x:row r="555">
      <x:c r="A555" s="11"/>
      <x:c r="B555" s="11"/>
      <x:c r="C555" s="11"/>
      <x:c r="D555" s="11"/>
      <x:c r="E555" s="12"/>
      <x:c r="F555" s="10"/>
      <x:c r="G555" s="2" t="str">
        <x:f>IF(COUNTA(A555:F555)=0,"",COUNTIFS('External Data'!$L$2:$L$1001,SUBSTITUTE(SUBSTITUTE(SUBSTITUTE(L555,"~","~~"),"*","~*"),"?","~?")))</x:f>
      </x:c>
      <x:c r="H555" s="2" t="str">
        <x:f>IF(COUNTA(A555:F555)=0,"",COUNTIFS('App Data'!$L$2:$L$1001,SUBSTITUTE(SUBSTITUTE(SUBSTITUTE(L555,"~","~~"),"*","~*"),"?","~?")))</x:f>
      </x:c>
      <x:c r="I555" s="13" t="str">
        <x:f>IF(OR(H555&lt;&gt;1,G555&lt;&gt;1),"",SUMIFS('App Data'!$E$2:$E$1001,'App Data'!$L$2:$L$1001,SUBSTITUTE(SUBSTITUTE(SUBSTITUTE(L555,"~","~~"),"*","~*"),"?","~?")))</x:f>
      </x:c>
      <x:c r="J555" s="13" t="str">
        <x:f>IF(OR(NOT(ISNUMBER(E555)),NOT(ISNUMBER(I555))),"",ROUND(E555-I555,2))</x:f>
      </x:c>
      <x:c r="K555" s="2" t="str">
        <x:f>IF(COUNTA(A555:F555)=0,"",IF(OR(A555="",B555="",C555="",D555="",NOT(ISNUMBER(E555))),"Missing / invalid input",IF(G555&gt;1,"Duplicate key in this source",IF(H555=0,"Missing in other source",IF(H555&gt;1,"Duplicate in other source",IF(SUMIFS('App Data'!$M$2:$M$1001,'App Data'!$L$2:$L$1001,SUBSTITUTE(SUBSTITUTE(SUBSTITUTE(L555,"~","~~"),"*","~*"),"?","~?"))&lt;&gt;1,"Other amount is invalid",IF(J555&lt;&gt;0,"Amount differs","Matched")))))))</x:f>
      </x:c>
      <x:c r="L555" t="str">
        <x:f>IF(COUNTA(A555:F555)=0,"",LEN(A555)&amp;":"&amp;A555&amp;LEN(B555)&amp;":"&amp;B555&amp;LEN(C555)&amp;":"&amp;C555&amp;LEN(D555)&amp;":"&amp;D555)</x:f>
      </x:c>
      <x:c r="M555" t="str">
        <x:f>IF(COUNTA(A555:F555)=0,"",IF(ISNUMBER(E555),1,0))</x:f>
      </x:c>
    </x:row>
    <x:row r="556">
      <x:c r="A556" s="11"/>
      <x:c r="B556" s="11"/>
      <x:c r="C556" s="11"/>
      <x:c r="D556" s="11"/>
      <x:c r="E556" s="12"/>
      <x:c r="F556" s="10"/>
      <x:c r="G556" s="2" t="str">
        <x:f>IF(COUNTA(A556:F556)=0,"",COUNTIFS('External Data'!$L$2:$L$1001,SUBSTITUTE(SUBSTITUTE(SUBSTITUTE(L556,"~","~~"),"*","~*"),"?","~?")))</x:f>
      </x:c>
      <x:c r="H556" s="2" t="str">
        <x:f>IF(COUNTA(A556:F556)=0,"",COUNTIFS('App Data'!$L$2:$L$1001,SUBSTITUTE(SUBSTITUTE(SUBSTITUTE(L556,"~","~~"),"*","~*"),"?","~?")))</x:f>
      </x:c>
      <x:c r="I556" s="13" t="str">
        <x:f>IF(OR(H556&lt;&gt;1,G556&lt;&gt;1),"",SUMIFS('App Data'!$E$2:$E$1001,'App Data'!$L$2:$L$1001,SUBSTITUTE(SUBSTITUTE(SUBSTITUTE(L556,"~","~~"),"*","~*"),"?","~?")))</x:f>
      </x:c>
      <x:c r="J556" s="13" t="str">
        <x:f>IF(OR(NOT(ISNUMBER(E556)),NOT(ISNUMBER(I556))),"",ROUND(E556-I556,2))</x:f>
      </x:c>
      <x:c r="K556" s="2" t="str">
        <x:f>IF(COUNTA(A556:F556)=0,"",IF(OR(A556="",B556="",C556="",D556="",NOT(ISNUMBER(E556))),"Missing / invalid input",IF(G556&gt;1,"Duplicate key in this source",IF(H556=0,"Missing in other source",IF(H556&gt;1,"Duplicate in other source",IF(SUMIFS('App Data'!$M$2:$M$1001,'App Data'!$L$2:$L$1001,SUBSTITUTE(SUBSTITUTE(SUBSTITUTE(L556,"~","~~"),"*","~*"),"?","~?"))&lt;&gt;1,"Other amount is invalid",IF(J556&lt;&gt;0,"Amount differs","Matched")))))))</x:f>
      </x:c>
      <x:c r="L556" t="str">
        <x:f>IF(COUNTA(A556:F556)=0,"",LEN(A556)&amp;":"&amp;A556&amp;LEN(B556)&amp;":"&amp;B556&amp;LEN(C556)&amp;":"&amp;C556&amp;LEN(D556)&amp;":"&amp;D556)</x:f>
      </x:c>
      <x:c r="M556" t="str">
        <x:f>IF(COUNTA(A556:F556)=0,"",IF(ISNUMBER(E556),1,0))</x:f>
      </x:c>
    </x:row>
    <x:row r="557">
      <x:c r="A557" s="11"/>
      <x:c r="B557" s="11"/>
      <x:c r="C557" s="11"/>
      <x:c r="D557" s="11"/>
      <x:c r="E557" s="12"/>
      <x:c r="F557" s="10"/>
      <x:c r="G557" s="2" t="str">
        <x:f>IF(COUNTA(A557:F557)=0,"",COUNTIFS('External Data'!$L$2:$L$1001,SUBSTITUTE(SUBSTITUTE(SUBSTITUTE(L557,"~","~~"),"*","~*"),"?","~?")))</x:f>
      </x:c>
      <x:c r="H557" s="2" t="str">
        <x:f>IF(COUNTA(A557:F557)=0,"",COUNTIFS('App Data'!$L$2:$L$1001,SUBSTITUTE(SUBSTITUTE(SUBSTITUTE(L557,"~","~~"),"*","~*"),"?","~?")))</x:f>
      </x:c>
      <x:c r="I557" s="13" t="str">
        <x:f>IF(OR(H557&lt;&gt;1,G557&lt;&gt;1),"",SUMIFS('App Data'!$E$2:$E$1001,'App Data'!$L$2:$L$1001,SUBSTITUTE(SUBSTITUTE(SUBSTITUTE(L557,"~","~~"),"*","~*"),"?","~?")))</x:f>
      </x:c>
      <x:c r="J557" s="13" t="str">
        <x:f>IF(OR(NOT(ISNUMBER(E557)),NOT(ISNUMBER(I557))),"",ROUND(E557-I557,2))</x:f>
      </x:c>
      <x:c r="K557" s="2" t="str">
        <x:f>IF(COUNTA(A557:F557)=0,"",IF(OR(A557="",B557="",C557="",D557="",NOT(ISNUMBER(E557))),"Missing / invalid input",IF(G557&gt;1,"Duplicate key in this source",IF(H557=0,"Missing in other source",IF(H557&gt;1,"Duplicate in other source",IF(SUMIFS('App Data'!$M$2:$M$1001,'App Data'!$L$2:$L$1001,SUBSTITUTE(SUBSTITUTE(SUBSTITUTE(L557,"~","~~"),"*","~*"),"?","~?"))&lt;&gt;1,"Other amount is invalid",IF(J557&lt;&gt;0,"Amount differs","Matched")))))))</x:f>
      </x:c>
      <x:c r="L557" t="str">
        <x:f>IF(COUNTA(A557:F557)=0,"",LEN(A557)&amp;":"&amp;A557&amp;LEN(B557)&amp;":"&amp;B557&amp;LEN(C557)&amp;":"&amp;C557&amp;LEN(D557)&amp;":"&amp;D557)</x:f>
      </x:c>
      <x:c r="M557" t="str">
        <x:f>IF(COUNTA(A557:F557)=0,"",IF(ISNUMBER(E557),1,0))</x:f>
      </x:c>
    </x:row>
    <x:row r="558">
      <x:c r="A558" s="11"/>
      <x:c r="B558" s="11"/>
      <x:c r="C558" s="11"/>
      <x:c r="D558" s="11"/>
      <x:c r="E558" s="12"/>
      <x:c r="F558" s="10"/>
      <x:c r="G558" s="2" t="str">
        <x:f>IF(COUNTA(A558:F558)=0,"",COUNTIFS('External Data'!$L$2:$L$1001,SUBSTITUTE(SUBSTITUTE(SUBSTITUTE(L558,"~","~~"),"*","~*"),"?","~?")))</x:f>
      </x:c>
      <x:c r="H558" s="2" t="str">
        <x:f>IF(COUNTA(A558:F558)=0,"",COUNTIFS('App Data'!$L$2:$L$1001,SUBSTITUTE(SUBSTITUTE(SUBSTITUTE(L558,"~","~~"),"*","~*"),"?","~?")))</x:f>
      </x:c>
      <x:c r="I558" s="13" t="str">
        <x:f>IF(OR(H558&lt;&gt;1,G558&lt;&gt;1),"",SUMIFS('App Data'!$E$2:$E$1001,'App Data'!$L$2:$L$1001,SUBSTITUTE(SUBSTITUTE(SUBSTITUTE(L558,"~","~~"),"*","~*"),"?","~?")))</x:f>
      </x:c>
      <x:c r="J558" s="13" t="str">
        <x:f>IF(OR(NOT(ISNUMBER(E558)),NOT(ISNUMBER(I558))),"",ROUND(E558-I558,2))</x:f>
      </x:c>
      <x:c r="K558" s="2" t="str">
        <x:f>IF(COUNTA(A558:F558)=0,"",IF(OR(A558="",B558="",C558="",D558="",NOT(ISNUMBER(E558))),"Missing / invalid input",IF(G558&gt;1,"Duplicate key in this source",IF(H558=0,"Missing in other source",IF(H558&gt;1,"Duplicate in other source",IF(SUMIFS('App Data'!$M$2:$M$1001,'App Data'!$L$2:$L$1001,SUBSTITUTE(SUBSTITUTE(SUBSTITUTE(L558,"~","~~"),"*","~*"),"?","~?"))&lt;&gt;1,"Other amount is invalid",IF(J558&lt;&gt;0,"Amount differs","Matched")))))))</x:f>
      </x:c>
      <x:c r="L558" t="str">
        <x:f>IF(COUNTA(A558:F558)=0,"",LEN(A558)&amp;":"&amp;A558&amp;LEN(B558)&amp;":"&amp;B558&amp;LEN(C558)&amp;":"&amp;C558&amp;LEN(D558)&amp;":"&amp;D558)</x:f>
      </x:c>
      <x:c r="M558" t="str">
        <x:f>IF(COUNTA(A558:F558)=0,"",IF(ISNUMBER(E558),1,0))</x:f>
      </x:c>
    </x:row>
    <x:row r="559">
      <x:c r="A559" s="11"/>
      <x:c r="B559" s="11"/>
      <x:c r="C559" s="11"/>
      <x:c r="D559" s="11"/>
      <x:c r="E559" s="12"/>
      <x:c r="F559" s="10"/>
      <x:c r="G559" s="2" t="str">
        <x:f>IF(COUNTA(A559:F559)=0,"",COUNTIFS('External Data'!$L$2:$L$1001,SUBSTITUTE(SUBSTITUTE(SUBSTITUTE(L559,"~","~~"),"*","~*"),"?","~?")))</x:f>
      </x:c>
      <x:c r="H559" s="2" t="str">
        <x:f>IF(COUNTA(A559:F559)=0,"",COUNTIFS('App Data'!$L$2:$L$1001,SUBSTITUTE(SUBSTITUTE(SUBSTITUTE(L559,"~","~~"),"*","~*"),"?","~?")))</x:f>
      </x:c>
      <x:c r="I559" s="13" t="str">
        <x:f>IF(OR(H559&lt;&gt;1,G559&lt;&gt;1),"",SUMIFS('App Data'!$E$2:$E$1001,'App Data'!$L$2:$L$1001,SUBSTITUTE(SUBSTITUTE(SUBSTITUTE(L559,"~","~~"),"*","~*"),"?","~?")))</x:f>
      </x:c>
      <x:c r="J559" s="13" t="str">
        <x:f>IF(OR(NOT(ISNUMBER(E559)),NOT(ISNUMBER(I559))),"",ROUND(E559-I559,2))</x:f>
      </x:c>
      <x:c r="K559" s="2" t="str">
        <x:f>IF(COUNTA(A559:F559)=0,"",IF(OR(A559="",B559="",C559="",D559="",NOT(ISNUMBER(E559))),"Missing / invalid input",IF(G559&gt;1,"Duplicate key in this source",IF(H559=0,"Missing in other source",IF(H559&gt;1,"Duplicate in other source",IF(SUMIFS('App Data'!$M$2:$M$1001,'App Data'!$L$2:$L$1001,SUBSTITUTE(SUBSTITUTE(SUBSTITUTE(L559,"~","~~"),"*","~*"),"?","~?"))&lt;&gt;1,"Other amount is invalid",IF(J559&lt;&gt;0,"Amount differs","Matched")))))))</x:f>
      </x:c>
      <x:c r="L559" t="str">
        <x:f>IF(COUNTA(A559:F559)=0,"",LEN(A559)&amp;":"&amp;A559&amp;LEN(B559)&amp;":"&amp;B559&amp;LEN(C559)&amp;":"&amp;C559&amp;LEN(D559)&amp;":"&amp;D559)</x:f>
      </x:c>
      <x:c r="M559" t="str">
        <x:f>IF(COUNTA(A559:F559)=0,"",IF(ISNUMBER(E559),1,0))</x:f>
      </x:c>
    </x:row>
    <x:row r="560">
      <x:c r="A560" s="11"/>
      <x:c r="B560" s="11"/>
      <x:c r="C560" s="11"/>
      <x:c r="D560" s="11"/>
      <x:c r="E560" s="12"/>
      <x:c r="F560" s="10"/>
      <x:c r="G560" s="2" t="str">
        <x:f>IF(COUNTA(A560:F560)=0,"",COUNTIFS('External Data'!$L$2:$L$1001,SUBSTITUTE(SUBSTITUTE(SUBSTITUTE(L560,"~","~~"),"*","~*"),"?","~?")))</x:f>
      </x:c>
      <x:c r="H560" s="2" t="str">
        <x:f>IF(COUNTA(A560:F560)=0,"",COUNTIFS('App Data'!$L$2:$L$1001,SUBSTITUTE(SUBSTITUTE(SUBSTITUTE(L560,"~","~~"),"*","~*"),"?","~?")))</x:f>
      </x:c>
      <x:c r="I560" s="13" t="str">
        <x:f>IF(OR(H560&lt;&gt;1,G560&lt;&gt;1),"",SUMIFS('App Data'!$E$2:$E$1001,'App Data'!$L$2:$L$1001,SUBSTITUTE(SUBSTITUTE(SUBSTITUTE(L560,"~","~~"),"*","~*"),"?","~?")))</x:f>
      </x:c>
      <x:c r="J560" s="13" t="str">
        <x:f>IF(OR(NOT(ISNUMBER(E560)),NOT(ISNUMBER(I560))),"",ROUND(E560-I560,2))</x:f>
      </x:c>
      <x:c r="K560" s="2" t="str">
        <x:f>IF(COUNTA(A560:F560)=0,"",IF(OR(A560="",B560="",C560="",D560="",NOT(ISNUMBER(E560))),"Missing / invalid input",IF(G560&gt;1,"Duplicate key in this source",IF(H560=0,"Missing in other source",IF(H560&gt;1,"Duplicate in other source",IF(SUMIFS('App Data'!$M$2:$M$1001,'App Data'!$L$2:$L$1001,SUBSTITUTE(SUBSTITUTE(SUBSTITUTE(L560,"~","~~"),"*","~*"),"?","~?"))&lt;&gt;1,"Other amount is invalid",IF(J560&lt;&gt;0,"Amount differs","Matched")))))))</x:f>
      </x:c>
      <x:c r="L560" t="str">
        <x:f>IF(COUNTA(A560:F560)=0,"",LEN(A560)&amp;":"&amp;A560&amp;LEN(B560)&amp;":"&amp;B560&amp;LEN(C560)&amp;":"&amp;C560&amp;LEN(D560)&amp;":"&amp;D560)</x:f>
      </x:c>
      <x:c r="M560" t="str">
        <x:f>IF(COUNTA(A560:F560)=0,"",IF(ISNUMBER(E560),1,0))</x:f>
      </x:c>
    </x:row>
    <x:row r="561">
      <x:c r="A561" s="11"/>
      <x:c r="B561" s="11"/>
      <x:c r="C561" s="11"/>
      <x:c r="D561" s="11"/>
      <x:c r="E561" s="12"/>
      <x:c r="F561" s="10"/>
      <x:c r="G561" s="2" t="str">
        <x:f>IF(COUNTA(A561:F561)=0,"",COUNTIFS('External Data'!$L$2:$L$1001,SUBSTITUTE(SUBSTITUTE(SUBSTITUTE(L561,"~","~~"),"*","~*"),"?","~?")))</x:f>
      </x:c>
      <x:c r="H561" s="2" t="str">
        <x:f>IF(COUNTA(A561:F561)=0,"",COUNTIFS('App Data'!$L$2:$L$1001,SUBSTITUTE(SUBSTITUTE(SUBSTITUTE(L561,"~","~~"),"*","~*"),"?","~?")))</x:f>
      </x:c>
      <x:c r="I561" s="13" t="str">
        <x:f>IF(OR(H561&lt;&gt;1,G561&lt;&gt;1),"",SUMIFS('App Data'!$E$2:$E$1001,'App Data'!$L$2:$L$1001,SUBSTITUTE(SUBSTITUTE(SUBSTITUTE(L561,"~","~~"),"*","~*"),"?","~?")))</x:f>
      </x:c>
      <x:c r="J561" s="13" t="str">
        <x:f>IF(OR(NOT(ISNUMBER(E561)),NOT(ISNUMBER(I561))),"",ROUND(E561-I561,2))</x:f>
      </x:c>
      <x:c r="K561" s="2" t="str">
        <x:f>IF(COUNTA(A561:F561)=0,"",IF(OR(A561="",B561="",C561="",D561="",NOT(ISNUMBER(E561))),"Missing / invalid input",IF(G561&gt;1,"Duplicate key in this source",IF(H561=0,"Missing in other source",IF(H561&gt;1,"Duplicate in other source",IF(SUMIFS('App Data'!$M$2:$M$1001,'App Data'!$L$2:$L$1001,SUBSTITUTE(SUBSTITUTE(SUBSTITUTE(L561,"~","~~"),"*","~*"),"?","~?"))&lt;&gt;1,"Other amount is invalid",IF(J561&lt;&gt;0,"Amount differs","Matched")))))))</x:f>
      </x:c>
      <x:c r="L561" t="str">
        <x:f>IF(COUNTA(A561:F561)=0,"",LEN(A561)&amp;":"&amp;A561&amp;LEN(B561)&amp;":"&amp;B561&amp;LEN(C561)&amp;":"&amp;C561&amp;LEN(D561)&amp;":"&amp;D561)</x:f>
      </x:c>
      <x:c r="M561" t="str">
        <x:f>IF(COUNTA(A561:F561)=0,"",IF(ISNUMBER(E561),1,0))</x:f>
      </x:c>
    </x:row>
    <x:row r="562">
      <x:c r="A562" s="11"/>
      <x:c r="B562" s="11"/>
      <x:c r="C562" s="11"/>
      <x:c r="D562" s="11"/>
      <x:c r="E562" s="12"/>
      <x:c r="F562" s="10"/>
      <x:c r="G562" s="2" t="str">
        <x:f>IF(COUNTA(A562:F562)=0,"",COUNTIFS('External Data'!$L$2:$L$1001,SUBSTITUTE(SUBSTITUTE(SUBSTITUTE(L562,"~","~~"),"*","~*"),"?","~?")))</x:f>
      </x:c>
      <x:c r="H562" s="2" t="str">
        <x:f>IF(COUNTA(A562:F562)=0,"",COUNTIFS('App Data'!$L$2:$L$1001,SUBSTITUTE(SUBSTITUTE(SUBSTITUTE(L562,"~","~~"),"*","~*"),"?","~?")))</x:f>
      </x:c>
      <x:c r="I562" s="13" t="str">
        <x:f>IF(OR(H562&lt;&gt;1,G562&lt;&gt;1),"",SUMIFS('App Data'!$E$2:$E$1001,'App Data'!$L$2:$L$1001,SUBSTITUTE(SUBSTITUTE(SUBSTITUTE(L562,"~","~~"),"*","~*"),"?","~?")))</x:f>
      </x:c>
      <x:c r="J562" s="13" t="str">
        <x:f>IF(OR(NOT(ISNUMBER(E562)),NOT(ISNUMBER(I562))),"",ROUND(E562-I562,2))</x:f>
      </x:c>
      <x:c r="K562" s="2" t="str">
        <x:f>IF(COUNTA(A562:F562)=0,"",IF(OR(A562="",B562="",C562="",D562="",NOT(ISNUMBER(E562))),"Missing / invalid input",IF(G562&gt;1,"Duplicate key in this source",IF(H562=0,"Missing in other source",IF(H562&gt;1,"Duplicate in other source",IF(SUMIFS('App Data'!$M$2:$M$1001,'App Data'!$L$2:$L$1001,SUBSTITUTE(SUBSTITUTE(SUBSTITUTE(L562,"~","~~"),"*","~*"),"?","~?"))&lt;&gt;1,"Other amount is invalid",IF(J562&lt;&gt;0,"Amount differs","Matched")))))))</x:f>
      </x:c>
      <x:c r="L562" t="str">
        <x:f>IF(COUNTA(A562:F562)=0,"",LEN(A562)&amp;":"&amp;A562&amp;LEN(B562)&amp;":"&amp;B562&amp;LEN(C562)&amp;":"&amp;C562&amp;LEN(D562)&amp;":"&amp;D562)</x:f>
      </x:c>
      <x:c r="M562" t="str">
        <x:f>IF(COUNTA(A562:F562)=0,"",IF(ISNUMBER(E562),1,0))</x:f>
      </x:c>
    </x:row>
    <x:row r="563">
      <x:c r="A563" s="11"/>
      <x:c r="B563" s="11"/>
      <x:c r="C563" s="11"/>
      <x:c r="D563" s="11"/>
      <x:c r="E563" s="12"/>
      <x:c r="F563" s="10"/>
      <x:c r="G563" s="2" t="str">
        <x:f>IF(COUNTA(A563:F563)=0,"",COUNTIFS('External Data'!$L$2:$L$1001,SUBSTITUTE(SUBSTITUTE(SUBSTITUTE(L563,"~","~~"),"*","~*"),"?","~?")))</x:f>
      </x:c>
      <x:c r="H563" s="2" t="str">
        <x:f>IF(COUNTA(A563:F563)=0,"",COUNTIFS('App Data'!$L$2:$L$1001,SUBSTITUTE(SUBSTITUTE(SUBSTITUTE(L563,"~","~~"),"*","~*"),"?","~?")))</x:f>
      </x:c>
      <x:c r="I563" s="13" t="str">
        <x:f>IF(OR(H563&lt;&gt;1,G563&lt;&gt;1),"",SUMIFS('App Data'!$E$2:$E$1001,'App Data'!$L$2:$L$1001,SUBSTITUTE(SUBSTITUTE(SUBSTITUTE(L563,"~","~~"),"*","~*"),"?","~?")))</x:f>
      </x:c>
      <x:c r="J563" s="13" t="str">
        <x:f>IF(OR(NOT(ISNUMBER(E563)),NOT(ISNUMBER(I563))),"",ROUND(E563-I563,2))</x:f>
      </x:c>
      <x:c r="K563" s="2" t="str">
        <x:f>IF(COUNTA(A563:F563)=0,"",IF(OR(A563="",B563="",C563="",D563="",NOT(ISNUMBER(E563))),"Missing / invalid input",IF(G563&gt;1,"Duplicate key in this source",IF(H563=0,"Missing in other source",IF(H563&gt;1,"Duplicate in other source",IF(SUMIFS('App Data'!$M$2:$M$1001,'App Data'!$L$2:$L$1001,SUBSTITUTE(SUBSTITUTE(SUBSTITUTE(L563,"~","~~"),"*","~*"),"?","~?"))&lt;&gt;1,"Other amount is invalid",IF(J563&lt;&gt;0,"Amount differs","Matched")))))))</x:f>
      </x:c>
      <x:c r="L563" t="str">
        <x:f>IF(COUNTA(A563:F563)=0,"",LEN(A563)&amp;":"&amp;A563&amp;LEN(B563)&amp;":"&amp;B563&amp;LEN(C563)&amp;":"&amp;C563&amp;LEN(D563)&amp;":"&amp;D563)</x:f>
      </x:c>
      <x:c r="M563" t="str">
        <x:f>IF(COUNTA(A563:F563)=0,"",IF(ISNUMBER(E563),1,0))</x:f>
      </x:c>
    </x:row>
    <x:row r="564">
      <x:c r="A564" s="11"/>
      <x:c r="B564" s="11"/>
      <x:c r="C564" s="11"/>
      <x:c r="D564" s="11"/>
      <x:c r="E564" s="12"/>
      <x:c r="F564" s="10"/>
      <x:c r="G564" s="2" t="str">
        <x:f>IF(COUNTA(A564:F564)=0,"",COUNTIFS('External Data'!$L$2:$L$1001,SUBSTITUTE(SUBSTITUTE(SUBSTITUTE(L564,"~","~~"),"*","~*"),"?","~?")))</x:f>
      </x:c>
      <x:c r="H564" s="2" t="str">
        <x:f>IF(COUNTA(A564:F564)=0,"",COUNTIFS('App Data'!$L$2:$L$1001,SUBSTITUTE(SUBSTITUTE(SUBSTITUTE(L564,"~","~~"),"*","~*"),"?","~?")))</x:f>
      </x:c>
      <x:c r="I564" s="13" t="str">
        <x:f>IF(OR(H564&lt;&gt;1,G564&lt;&gt;1),"",SUMIFS('App Data'!$E$2:$E$1001,'App Data'!$L$2:$L$1001,SUBSTITUTE(SUBSTITUTE(SUBSTITUTE(L564,"~","~~"),"*","~*"),"?","~?")))</x:f>
      </x:c>
      <x:c r="J564" s="13" t="str">
        <x:f>IF(OR(NOT(ISNUMBER(E564)),NOT(ISNUMBER(I564))),"",ROUND(E564-I564,2))</x:f>
      </x:c>
      <x:c r="K564" s="2" t="str">
        <x:f>IF(COUNTA(A564:F564)=0,"",IF(OR(A564="",B564="",C564="",D564="",NOT(ISNUMBER(E564))),"Missing / invalid input",IF(G564&gt;1,"Duplicate key in this source",IF(H564=0,"Missing in other source",IF(H564&gt;1,"Duplicate in other source",IF(SUMIFS('App Data'!$M$2:$M$1001,'App Data'!$L$2:$L$1001,SUBSTITUTE(SUBSTITUTE(SUBSTITUTE(L564,"~","~~"),"*","~*"),"?","~?"))&lt;&gt;1,"Other amount is invalid",IF(J564&lt;&gt;0,"Amount differs","Matched")))))))</x:f>
      </x:c>
      <x:c r="L564" t="str">
        <x:f>IF(COUNTA(A564:F564)=0,"",LEN(A564)&amp;":"&amp;A564&amp;LEN(B564)&amp;":"&amp;B564&amp;LEN(C564)&amp;":"&amp;C564&amp;LEN(D564)&amp;":"&amp;D564)</x:f>
      </x:c>
      <x:c r="M564" t="str">
        <x:f>IF(COUNTA(A564:F564)=0,"",IF(ISNUMBER(E564),1,0))</x:f>
      </x:c>
    </x:row>
    <x:row r="565">
      <x:c r="A565" s="11"/>
      <x:c r="B565" s="11"/>
      <x:c r="C565" s="11"/>
      <x:c r="D565" s="11"/>
      <x:c r="E565" s="12"/>
      <x:c r="F565" s="10"/>
      <x:c r="G565" s="2" t="str">
        <x:f>IF(COUNTA(A565:F565)=0,"",COUNTIFS('External Data'!$L$2:$L$1001,SUBSTITUTE(SUBSTITUTE(SUBSTITUTE(L565,"~","~~"),"*","~*"),"?","~?")))</x:f>
      </x:c>
      <x:c r="H565" s="2" t="str">
        <x:f>IF(COUNTA(A565:F565)=0,"",COUNTIFS('App Data'!$L$2:$L$1001,SUBSTITUTE(SUBSTITUTE(SUBSTITUTE(L565,"~","~~"),"*","~*"),"?","~?")))</x:f>
      </x:c>
      <x:c r="I565" s="13" t="str">
        <x:f>IF(OR(H565&lt;&gt;1,G565&lt;&gt;1),"",SUMIFS('App Data'!$E$2:$E$1001,'App Data'!$L$2:$L$1001,SUBSTITUTE(SUBSTITUTE(SUBSTITUTE(L565,"~","~~"),"*","~*"),"?","~?")))</x:f>
      </x:c>
      <x:c r="J565" s="13" t="str">
        <x:f>IF(OR(NOT(ISNUMBER(E565)),NOT(ISNUMBER(I565))),"",ROUND(E565-I565,2))</x:f>
      </x:c>
      <x:c r="K565" s="2" t="str">
        <x:f>IF(COUNTA(A565:F565)=0,"",IF(OR(A565="",B565="",C565="",D565="",NOT(ISNUMBER(E565))),"Missing / invalid input",IF(G565&gt;1,"Duplicate key in this source",IF(H565=0,"Missing in other source",IF(H565&gt;1,"Duplicate in other source",IF(SUMIFS('App Data'!$M$2:$M$1001,'App Data'!$L$2:$L$1001,SUBSTITUTE(SUBSTITUTE(SUBSTITUTE(L565,"~","~~"),"*","~*"),"?","~?"))&lt;&gt;1,"Other amount is invalid",IF(J565&lt;&gt;0,"Amount differs","Matched")))))))</x:f>
      </x:c>
      <x:c r="L565" t="str">
        <x:f>IF(COUNTA(A565:F565)=0,"",LEN(A565)&amp;":"&amp;A565&amp;LEN(B565)&amp;":"&amp;B565&amp;LEN(C565)&amp;":"&amp;C565&amp;LEN(D565)&amp;":"&amp;D565)</x:f>
      </x:c>
      <x:c r="M565" t="str">
        <x:f>IF(COUNTA(A565:F565)=0,"",IF(ISNUMBER(E565),1,0))</x:f>
      </x:c>
    </x:row>
    <x:row r="566">
      <x:c r="A566" s="11"/>
      <x:c r="B566" s="11"/>
      <x:c r="C566" s="11"/>
      <x:c r="D566" s="11"/>
      <x:c r="E566" s="12"/>
      <x:c r="F566" s="10"/>
      <x:c r="G566" s="2" t="str">
        <x:f>IF(COUNTA(A566:F566)=0,"",COUNTIFS('External Data'!$L$2:$L$1001,SUBSTITUTE(SUBSTITUTE(SUBSTITUTE(L566,"~","~~"),"*","~*"),"?","~?")))</x:f>
      </x:c>
      <x:c r="H566" s="2" t="str">
        <x:f>IF(COUNTA(A566:F566)=0,"",COUNTIFS('App Data'!$L$2:$L$1001,SUBSTITUTE(SUBSTITUTE(SUBSTITUTE(L566,"~","~~"),"*","~*"),"?","~?")))</x:f>
      </x:c>
      <x:c r="I566" s="13" t="str">
        <x:f>IF(OR(H566&lt;&gt;1,G566&lt;&gt;1),"",SUMIFS('App Data'!$E$2:$E$1001,'App Data'!$L$2:$L$1001,SUBSTITUTE(SUBSTITUTE(SUBSTITUTE(L566,"~","~~"),"*","~*"),"?","~?")))</x:f>
      </x:c>
      <x:c r="J566" s="13" t="str">
        <x:f>IF(OR(NOT(ISNUMBER(E566)),NOT(ISNUMBER(I566))),"",ROUND(E566-I566,2))</x:f>
      </x:c>
      <x:c r="K566" s="2" t="str">
        <x:f>IF(COUNTA(A566:F566)=0,"",IF(OR(A566="",B566="",C566="",D566="",NOT(ISNUMBER(E566))),"Missing / invalid input",IF(G566&gt;1,"Duplicate key in this source",IF(H566=0,"Missing in other source",IF(H566&gt;1,"Duplicate in other source",IF(SUMIFS('App Data'!$M$2:$M$1001,'App Data'!$L$2:$L$1001,SUBSTITUTE(SUBSTITUTE(SUBSTITUTE(L566,"~","~~"),"*","~*"),"?","~?"))&lt;&gt;1,"Other amount is invalid",IF(J566&lt;&gt;0,"Amount differs","Matched")))))))</x:f>
      </x:c>
      <x:c r="L566" t="str">
        <x:f>IF(COUNTA(A566:F566)=0,"",LEN(A566)&amp;":"&amp;A566&amp;LEN(B566)&amp;":"&amp;B566&amp;LEN(C566)&amp;":"&amp;C566&amp;LEN(D566)&amp;":"&amp;D566)</x:f>
      </x:c>
      <x:c r="M566" t="str">
        <x:f>IF(COUNTA(A566:F566)=0,"",IF(ISNUMBER(E566),1,0))</x:f>
      </x:c>
    </x:row>
    <x:row r="567">
      <x:c r="A567" s="11"/>
      <x:c r="B567" s="11"/>
      <x:c r="C567" s="11"/>
      <x:c r="D567" s="11"/>
      <x:c r="E567" s="12"/>
      <x:c r="F567" s="10"/>
      <x:c r="G567" s="2" t="str">
        <x:f>IF(COUNTA(A567:F567)=0,"",COUNTIFS('External Data'!$L$2:$L$1001,SUBSTITUTE(SUBSTITUTE(SUBSTITUTE(L567,"~","~~"),"*","~*"),"?","~?")))</x:f>
      </x:c>
      <x:c r="H567" s="2" t="str">
        <x:f>IF(COUNTA(A567:F567)=0,"",COUNTIFS('App Data'!$L$2:$L$1001,SUBSTITUTE(SUBSTITUTE(SUBSTITUTE(L567,"~","~~"),"*","~*"),"?","~?")))</x:f>
      </x:c>
      <x:c r="I567" s="13" t="str">
        <x:f>IF(OR(H567&lt;&gt;1,G567&lt;&gt;1),"",SUMIFS('App Data'!$E$2:$E$1001,'App Data'!$L$2:$L$1001,SUBSTITUTE(SUBSTITUTE(SUBSTITUTE(L567,"~","~~"),"*","~*"),"?","~?")))</x:f>
      </x:c>
      <x:c r="J567" s="13" t="str">
        <x:f>IF(OR(NOT(ISNUMBER(E567)),NOT(ISNUMBER(I567))),"",ROUND(E567-I567,2))</x:f>
      </x:c>
      <x:c r="K567" s="2" t="str">
        <x:f>IF(COUNTA(A567:F567)=0,"",IF(OR(A567="",B567="",C567="",D567="",NOT(ISNUMBER(E567))),"Missing / invalid input",IF(G567&gt;1,"Duplicate key in this source",IF(H567=0,"Missing in other source",IF(H567&gt;1,"Duplicate in other source",IF(SUMIFS('App Data'!$M$2:$M$1001,'App Data'!$L$2:$L$1001,SUBSTITUTE(SUBSTITUTE(SUBSTITUTE(L567,"~","~~"),"*","~*"),"?","~?"))&lt;&gt;1,"Other amount is invalid",IF(J567&lt;&gt;0,"Amount differs","Matched")))))))</x:f>
      </x:c>
      <x:c r="L567" t="str">
        <x:f>IF(COUNTA(A567:F567)=0,"",LEN(A567)&amp;":"&amp;A567&amp;LEN(B567)&amp;":"&amp;B567&amp;LEN(C567)&amp;":"&amp;C567&amp;LEN(D567)&amp;":"&amp;D567)</x:f>
      </x:c>
      <x:c r="M567" t="str">
        <x:f>IF(COUNTA(A567:F567)=0,"",IF(ISNUMBER(E567),1,0))</x:f>
      </x:c>
    </x:row>
    <x:row r="568">
      <x:c r="A568" s="11"/>
      <x:c r="B568" s="11"/>
      <x:c r="C568" s="11"/>
      <x:c r="D568" s="11"/>
      <x:c r="E568" s="12"/>
      <x:c r="F568" s="10"/>
      <x:c r="G568" s="2" t="str">
        <x:f>IF(COUNTA(A568:F568)=0,"",COUNTIFS('External Data'!$L$2:$L$1001,SUBSTITUTE(SUBSTITUTE(SUBSTITUTE(L568,"~","~~"),"*","~*"),"?","~?")))</x:f>
      </x:c>
      <x:c r="H568" s="2" t="str">
        <x:f>IF(COUNTA(A568:F568)=0,"",COUNTIFS('App Data'!$L$2:$L$1001,SUBSTITUTE(SUBSTITUTE(SUBSTITUTE(L568,"~","~~"),"*","~*"),"?","~?")))</x:f>
      </x:c>
      <x:c r="I568" s="13" t="str">
        <x:f>IF(OR(H568&lt;&gt;1,G568&lt;&gt;1),"",SUMIFS('App Data'!$E$2:$E$1001,'App Data'!$L$2:$L$1001,SUBSTITUTE(SUBSTITUTE(SUBSTITUTE(L568,"~","~~"),"*","~*"),"?","~?")))</x:f>
      </x:c>
      <x:c r="J568" s="13" t="str">
        <x:f>IF(OR(NOT(ISNUMBER(E568)),NOT(ISNUMBER(I568))),"",ROUND(E568-I568,2))</x:f>
      </x:c>
      <x:c r="K568" s="2" t="str">
        <x:f>IF(COUNTA(A568:F568)=0,"",IF(OR(A568="",B568="",C568="",D568="",NOT(ISNUMBER(E568))),"Missing / invalid input",IF(G568&gt;1,"Duplicate key in this source",IF(H568=0,"Missing in other source",IF(H568&gt;1,"Duplicate in other source",IF(SUMIFS('App Data'!$M$2:$M$1001,'App Data'!$L$2:$L$1001,SUBSTITUTE(SUBSTITUTE(SUBSTITUTE(L568,"~","~~"),"*","~*"),"?","~?"))&lt;&gt;1,"Other amount is invalid",IF(J568&lt;&gt;0,"Amount differs","Matched")))))))</x:f>
      </x:c>
      <x:c r="L568" t="str">
        <x:f>IF(COUNTA(A568:F568)=0,"",LEN(A568)&amp;":"&amp;A568&amp;LEN(B568)&amp;":"&amp;B568&amp;LEN(C568)&amp;":"&amp;C568&amp;LEN(D568)&amp;":"&amp;D568)</x:f>
      </x:c>
      <x:c r="M568" t="str">
        <x:f>IF(COUNTA(A568:F568)=0,"",IF(ISNUMBER(E568),1,0))</x:f>
      </x:c>
    </x:row>
    <x:row r="569">
      <x:c r="A569" s="11"/>
      <x:c r="B569" s="11"/>
      <x:c r="C569" s="11"/>
      <x:c r="D569" s="11"/>
      <x:c r="E569" s="12"/>
      <x:c r="F569" s="10"/>
      <x:c r="G569" s="2" t="str">
        <x:f>IF(COUNTA(A569:F569)=0,"",COUNTIFS('External Data'!$L$2:$L$1001,SUBSTITUTE(SUBSTITUTE(SUBSTITUTE(L569,"~","~~"),"*","~*"),"?","~?")))</x:f>
      </x:c>
      <x:c r="H569" s="2" t="str">
        <x:f>IF(COUNTA(A569:F569)=0,"",COUNTIFS('App Data'!$L$2:$L$1001,SUBSTITUTE(SUBSTITUTE(SUBSTITUTE(L569,"~","~~"),"*","~*"),"?","~?")))</x:f>
      </x:c>
      <x:c r="I569" s="13" t="str">
        <x:f>IF(OR(H569&lt;&gt;1,G569&lt;&gt;1),"",SUMIFS('App Data'!$E$2:$E$1001,'App Data'!$L$2:$L$1001,SUBSTITUTE(SUBSTITUTE(SUBSTITUTE(L569,"~","~~"),"*","~*"),"?","~?")))</x:f>
      </x:c>
      <x:c r="J569" s="13" t="str">
        <x:f>IF(OR(NOT(ISNUMBER(E569)),NOT(ISNUMBER(I569))),"",ROUND(E569-I569,2))</x:f>
      </x:c>
      <x:c r="K569" s="2" t="str">
        <x:f>IF(COUNTA(A569:F569)=0,"",IF(OR(A569="",B569="",C569="",D569="",NOT(ISNUMBER(E569))),"Missing / invalid input",IF(G569&gt;1,"Duplicate key in this source",IF(H569=0,"Missing in other source",IF(H569&gt;1,"Duplicate in other source",IF(SUMIFS('App Data'!$M$2:$M$1001,'App Data'!$L$2:$L$1001,SUBSTITUTE(SUBSTITUTE(SUBSTITUTE(L569,"~","~~"),"*","~*"),"?","~?"))&lt;&gt;1,"Other amount is invalid",IF(J569&lt;&gt;0,"Amount differs","Matched")))))))</x:f>
      </x:c>
      <x:c r="L569" t="str">
        <x:f>IF(COUNTA(A569:F569)=0,"",LEN(A569)&amp;":"&amp;A569&amp;LEN(B569)&amp;":"&amp;B569&amp;LEN(C569)&amp;":"&amp;C569&amp;LEN(D569)&amp;":"&amp;D569)</x:f>
      </x:c>
      <x:c r="M569" t="str">
        <x:f>IF(COUNTA(A569:F569)=0,"",IF(ISNUMBER(E569),1,0))</x:f>
      </x:c>
    </x:row>
    <x:row r="570">
      <x:c r="A570" s="11"/>
      <x:c r="B570" s="11"/>
      <x:c r="C570" s="11"/>
      <x:c r="D570" s="11"/>
      <x:c r="E570" s="12"/>
      <x:c r="F570" s="10"/>
      <x:c r="G570" s="2" t="str">
        <x:f>IF(COUNTA(A570:F570)=0,"",COUNTIFS('External Data'!$L$2:$L$1001,SUBSTITUTE(SUBSTITUTE(SUBSTITUTE(L570,"~","~~"),"*","~*"),"?","~?")))</x:f>
      </x:c>
      <x:c r="H570" s="2" t="str">
        <x:f>IF(COUNTA(A570:F570)=0,"",COUNTIFS('App Data'!$L$2:$L$1001,SUBSTITUTE(SUBSTITUTE(SUBSTITUTE(L570,"~","~~"),"*","~*"),"?","~?")))</x:f>
      </x:c>
      <x:c r="I570" s="13" t="str">
        <x:f>IF(OR(H570&lt;&gt;1,G570&lt;&gt;1),"",SUMIFS('App Data'!$E$2:$E$1001,'App Data'!$L$2:$L$1001,SUBSTITUTE(SUBSTITUTE(SUBSTITUTE(L570,"~","~~"),"*","~*"),"?","~?")))</x:f>
      </x:c>
      <x:c r="J570" s="13" t="str">
        <x:f>IF(OR(NOT(ISNUMBER(E570)),NOT(ISNUMBER(I570))),"",ROUND(E570-I570,2))</x:f>
      </x:c>
      <x:c r="K570" s="2" t="str">
        <x:f>IF(COUNTA(A570:F570)=0,"",IF(OR(A570="",B570="",C570="",D570="",NOT(ISNUMBER(E570))),"Missing / invalid input",IF(G570&gt;1,"Duplicate key in this source",IF(H570=0,"Missing in other source",IF(H570&gt;1,"Duplicate in other source",IF(SUMIFS('App Data'!$M$2:$M$1001,'App Data'!$L$2:$L$1001,SUBSTITUTE(SUBSTITUTE(SUBSTITUTE(L570,"~","~~"),"*","~*"),"?","~?"))&lt;&gt;1,"Other amount is invalid",IF(J570&lt;&gt;0,"Amount differs","Matched")))))))</x:f>
      </x:c>
      <x:c r="L570" t="str">
        <x:f>IF(COUNTA(A570:F570)=0,"",LEN(A570)&amp;":"&amp;A570&amp;LEN(B570)&amp;":"&amp;B570&amp;LEN(C570)&amp;":"&amp;C570&amp;LEN(D570)&amp;":"&amp;D570)</x:f>
      </x:c>
      <x:c r="M570" t="str">
        <x:f>IF(COUNTA(A570:F570)=0,"",IF(ISNUMBER(E570),1,0))</x:f>
      </x:c>
    </x:row>
    <x:row r="571">
      <x:c r="A571" s="11"/>
      <x:c r="B571" s="11"/>
      <x:c r="C571" s="11"/>
      <x:c r="D571" s="11"/>
      <x:c r="E571" s="12"/>
      <x:c r="F571" s="10"/>
      <x:c r="G571" s="2" t="str">
        <x:f>IF(COUNTA(A571:F571)=0,"",COUNTIFS('External Data'!$L$2:$L$1001,SUBSTITUTE(SUBSTITUTE(SUBSTITUTE(L571,"~","~~"),"*","~*"),"?","~?")))</x:f>
      </x:c>
      <x:c r="H571" s="2" t="str">
        <x:f>IF(COUNTA(A571:F571)=0,"",COUNTIFS('App Data'!$L$2:$L$1001,SUBSTITUTE(SUBSTITUTE(SUBSTITUTE(L571,"~","~~"),"*","~*"),"?","~?")))</x:f>
      </x:c>
      <x:c r="I571" s="13" t="str">
        <x:f>IF(OR(H571&lt;&gt;1,G571&lt;&gt;1),"",SUMIFS('App Data'!$E$2:$E$1001,'App Data'!$L$2:$L$1001,SUBSTITUTE(SUBSTITUTE(SUBSTITUTE(L571,"~","~~"),"*","~*"),"?","~?")))</x:f>
      </x:c>
      <x:c r="J571" s="13" t="str">
        <x:f>IF(OR(NOT(ISNUMBER(E571)),NOT(ISNUMBER(I571))),"",ROUND(E571-I571,2))</x:f>
      </x:c>
      <x:c r="K571" s="2" t="str">
        <x:f>IF(COUNTA(A571:F571)=0,"",IF(OR(A571="",B571="",C571="",D571="",NOT(ISNUMBER(E571))),"Missing / invalid input",IF(G571&gt;1,"Duplicate key in this source",IF(H571=0,"Missing in other source",IF(H571&gt;1,"Duplicate in other source",IF(SUMIFS('App Data'!$M$2:$M$1001,'App Data'!$L$2:$L$1001,SUBSTITUTE(SUBSTITUTE(SUBSTITUTE(L571,"~","~~"),"*","~*"),"?","~?"))&lt;&gt;1,"Other amount is invalid",IF(J571&lt;&gt;0,"Amount differs","Matched")))))))</x:f>
      </x:c>
      <x:c r="L571" t="str">
        <x:f>IF(COUNTA(A571:F571)=0,"",LEN(A571)&amp;":"&amp;A571&amp;LEN(B571)&amp;":"&amp;B571&amp;LEN(C571)&amp;":"&amp;C571&amp;LEN(D571)&amp;":"&amp;D571)</x:f>
      </x:c>
      <x:c r="M571" t="str">
        <x:f>IF(COUNTA(A571:F571)=0,"",IF(ISNUMBER(E571),1,0))</x:f>
      </x:c>
    </x:row>
    <x:row r="572">
      <x:c r="A572" s="11"/>
      <x:c r="B572" s="11"/>
      <x:c r="C572" s="11"/>
      <x:c r="D572" s="11"/>
      <x:c r="E572" s="12"/>
      <x:c r="F572" s="10"/>
      <x:c r="G572" s="2" t="str">
        <x:f>IF(COUNTA(A572:F572)=0,"",COUNTIFS('External Data'!$L$2:$L$1001,SUBSTITUTE(SUBSTITUTE(SUBSTITUTE(L572,"~","~~"),"*","~*"),"?","~?")))</x:f>
      </x:c>
      <x:c r="H572" s="2" t="str">
        <x:f>IF(COUNTA(A572:F572)=0,"",COUNTIFS('App Data'!$L$2:$L$1001,SUBSTITUTE(SUBSTITUTE(SUBSTITUTE(L572,"~","~~"),"*","~*"),"?","~?")))</x:f>
      </x:c>
      <x:c r="I572" s="13" t="str">
        <x:f>IF(OR(H572&lt;&gt;1,G572&lt;&gt;1),"",SUMIFS('App Data'!$E$2:$E$1001,'App Data'!$L$2:$L$1001,SUBSTITUTE(SUBSTITUTE(SUBSTITUTE(L572,"~","~~"),"*","~*"),"?","~?")))</x:f>
      </x:c>
      <x:c r="J572" s="13" t="str">
        <x:f>IF(OR(NOT(ISNUMBER(E572)),NOT(ISNUMBER(I572))),"",ROUND(E572-I572,2))</x:f>
      </x:c>
      <x:c r="K572" s="2" t="str">
        <x:f>IF(COUNTA(A572:F572)=0,"",IF(OR(A572="",B572="",C572="",D572="",NOT(ISNUMBER(E572))),"Missing / invalid input",IF(G572&gt;1,"Duplicate key in this source",IF(H572=0,"Missing in other source",IF(H572&gt;1,"Duplicate in other source",IF(SUMIFS('App Data'!$M$2:$M$1001,'App Data'!$L$2:$L$1001,SUBSTITUTE(SUBSTITUTE(SUBSTITUTE(L572,"~","~~"),"*","~*"),"?","~?"))&lt;&gt;1,"Other amount is invalid",IF(J572&lt;&gt;0,"Amount differs","Matched")))))))</x:f>
      </x:c>
      <x:c r="L572" t="str">
        <x:f>IF(COUNTA(A572:F572)=0,"",LEN(A572)&amp;":"&amp;A572&amp;LEN(B572)&amp;":"&amp;B572&amp;LEN(C572)&amp;":"&amp;C572&amp;LEN(D572)&amp;":"&amp;D572)</x:f>
      </x:c>
      <x:c r="M572" t="str">
        <x:f>IF(COUNTA(A572:F572)=0,"",IF(ISNUMBER(E572),1,0))</x:f>
      </x:c>
    </x:row>
    <x:row r="573">
      <x:c r="A573" s="11"/>
      <x:c r="B573" s="11"/>
      <x:c r="C573" s="11"/>
      <x:c r="D573" s="11"/>
      <x:c r="E573" s="12"/>
      <x:c r="F573" s="10"/>
      <x:c r="G573" s="2" t="str">
        <x:f>IF(COUNTA(A573:F573)=0,"",COUNTIFS('External Data'!$L$2:$L$1001,SUBSTITUTE(SUBSTITUTE(SUBSTITUTE(L573,"~","~~"),"*","~*"),"?","~?")))</x:f>
      </x:c>
      <x:c r="H573" s="2" t="str">
        <x:f>IF(COUNTA(A573:F573)=0,"",COUNTIFS('App Data'!$L$2:$L$1001,SUBSTITUTE(SUBSTITUTE(SUBSTITUTE(L573,"~","~~"),"*","~*"),"?","~?")))</x:f>
      </x:c>
      <x:c r="I573" s="13" t="str">
        <x:f>IF(OR(H573&lt;&gt;1,G573&lt;&gt;1),"",SUMIFS('App Data'!$E$2:$E$1001,'App Data'!$L$2:$L$1001,SUBSTITUTE(SUBSTITUTE(SUBSTITUTE(L573,"~","~~"),"*","~*"),"?","~?")))</x:f>
      </x:c>
      <x:c r="J573" s="13" t="str">
        <x:f>IF(OR(NOT(ISNUMBER(E573)),NOT(ISNUMBER(I573))),"",ROUND(E573-I573,2))</x:f>
      </x:c>
      <x:c r="K573" s="2" t="str">
        <x:f>IF(COUNTA(A573:F573)=0,"",IF(OR(A573="",B573="",C573="",D573="",NOT(ISNUMBER(E573))),"Missing / invalid input",IF(G573&gt;1,"Duplicate key in this source",IF(H573=0,"Missing in other source",IF(H573&gt;1,"Duplicate in other source",IF(SUMIFS('App Data'!$M$2:$M$1001,'App Data'!$L$2:$L$1001,SUBSTITUTE(SUBSTITUTE(SUBSTITUTE(L573,"~","~~"),"*","~*"),"?","~?"))&lt;&gt;1,"Other amount is invalid",IF(J573&lt;&gt;0,"Amount differs","Matched")))))))</x:f>
      </x:c>
      <x:c r="L573" t="str">
        <x:f>IF(COUNTA(A573:F573)=0,"",LEN(A573)&amp;":"&amp;A573&amp;LEN(B573)&amp;":"&amp;B573&amp;LEN(C573)&amp;":"&amp;C573&amp;LEN(D573)&amp;":"&amp;D573)</x:f>
      </x:c>
      <x:c r="M573" t="str">
        <x:f>IF(COUNTA(A573:F573)=0,"",IF(ISNUMBER(E573),1,0))</x:f>
      </x:c>
    </x:row>
    <x:row r="574">
      <x:c r="A574" s="11"/>
      <x:c r="B574" s="11"/>
      <x:c r="C574" s="11"/>
      <x:c r="D574" s="11"/>
      <x:c r="E574" s="12"/>
      <x:c r="F574" s="10"/>
      <x:c r="G574" s="2" t="str">
        <x:f>IF(COUNTA(A574:F574)=0,"",COUNTIFS('External Data'!$L$2:$L$1001,SUBSTITUTE(SUBSTITUTE(SUBSTITUTE(L574,"~","~~"),"*","~*"),"?","~?")))</x:f>
      </x:c>
      <x:c r="H574" s="2" t="str">
        <x:f>IF(COUNTA(A574:F574)=0,"",COUNTIFS('App Data'!$L$2:$L$1001,SUBSTITUTE(SUBSTITUTE(SUBSTITUTE(L574,"~","~~"),"*","~*"),"?","~?")))</x:f>
      </x:c>
      <x:c r="I574" s="13" t="str">
        <x:f>IF(OR(H574&lt;&gt;1,G574&lt;&gt;1),"",SUMIFS('App Data'!$E$2:$E$1001,'App Data'!$L$2:$L$1001,SUBSTITUTE(SUBSTITUTE(SUBSTITUTE(L574,"~","~~"),"*","~*"),"?","~?")))</x:f>
      </x:c>
      <x:c r="J574" s="13" t="str">
        <x:f>IF(OR(NOT(ISNUMBER(E574)),NOT(ISNUMBER(I574))),"",ROUND(E574-I574,2))</x:f>
      </x:c>
      <x:c r="K574" s="2" t="str">
        <x:f>IF(COUNTA(A574:F574)=0,"",IF(OR(A574="",B574="",C574="",D574="",NOT(ISNUMBER(E574))),"Missing / invalid input",IF(G574&gt;1,"Duplicate key in this source",IF(H574=0,"Missing in other source",IF(H574&gt;1,"Duplicate in other source",IF(SUMIFS('App Data'!$M$2:$M$1001,'App Data'!$L$2:$L$1001,SUBSTITUTE(SUBSTITUTE(SUBSTITUTE(L574,"~","~~"),"*","~*"),"?","~?"))&lt;&gt;1,"Other amount is invalid",IF(J574&lt;&gt;0,"Amount differs","Matched")))))))</x:f>
      </x:c>
      <x:c r="L574" t="str">
        <x:f>IF(COUNTA(A574:F574)=0,"",LEN(A574)&amp;":"&amp;A574&amp;LEN(B574)&amp;":"&amp;B574&amp;LEN(C574)&amp;":"&amp;C574&amp;LEN(D574)&amp;":"&amp;D574)</x:f>
      </x:c>
      <x:c r="M574" t="str">
        <x:f>IF(COUNTA(A574:F574)=0,"",IF(ISNUMBER(E574),1,0))</x:f>
      </x:c>
    </x:row>
    <x:row r="575">
      <x:c r="A575" s="11"/>
      <x:c r="B575" s="11"/>
      <x:c r="C575" s="11"/>
      <x:c r="D575" s="11"/>
      <x:c r="E575" s="12"/>
      <x:c r="F575" s="10"/>
      <x:c r="G575" s="2" t="str">
        <x:f>IF(COUNTA(A575:F575)=0,"",COUNTIFS('External Data'!$L$2:$L$1001,SUBSTITUTE(SUBSTITUTE(SUBSTITUTE(L575,"~","~~"),"*","~*"),"?","~?")))</x:f>
      </x:c>
      <x:c r="H575" s="2" t="str">
        <x:f>IF(COUNTA(A575:F575)=0,"",COUNTIFS('App Data'!$L$2:$L$1001,SUBSTITUTE(SUBSTITUTE(SUBSTITUTE(L575,"~","~~"),"*","~*"),"?","~?")))</x:f>
      </x:c>
      <x:c r="I575" s="13" t="str">
        <x:f>IF(OR(H575&lt;&gt;1,G575&lt;&gt;1),"",SUMIFS('App Data'!$E$2:$E$1001,'App Data'!$L$2:$L$1001,SUBSTITUTE(SUBSTITUTE(SUBSTITUTE(L575,"~","~~"),"*","~*"),"?","~?")))</x:f>
      </x:c>
      <x:c r="J575" s="13" t="str">
        <x:f>IF(OR(NOT(ISNUMBER(E575)),NOT(ISNUMBER(I575))),"",ROUND(E575-I575,2))</x:f>
      </x:c>
      <x:c r="K575" s="2" t="str">
        <x:f>IF(COUNTA(A575:F575)=0,"",IF(OR(A575="",B575="",C575="",D575="",NOT(ISNUMBER(E575))),"Missing / invalid input",IF(G575&gt;1,"Duplicate key in this source",IF(H575=0,"Missing in other source",IF(H575&gt;1,"Duplicate in other source",IF(SUMIFS('App Data'!$M$2:$M$1001,'App Data'!$L$2:$L$1001,SUBSTITUTE(SUBSTITUTE(SUBSTITUTE(L575,"~","~~"),"*","~*"),"?","~?"))&lt;&gt;1,"Other amount is invalid",IF(J575&lt;&gt;0,"Amount differs","Matched")))))))</x:f>
      </x:c>
      <x:c r="L575" t="str">
        <x:f>IF(COUNTA(A575:F575)=0,"",LEN(A575)&amp;":"&amp;A575&amp;LEN(B575)&amp;":"&amp;B575&amp;LEN(C575)&amp;":"&amp;C575&amp;LEN(D575)&amp;":"&amp;D575)</x:f>
      </x:c>
      <x:c r="M575" t="str">
        <x:f>IF(COUNTA(A575:F575)=0,"",IF(ISNUMBER(E575),1,0))</x:f>
      </x:c>
    </x:row>
    <x:row r="576">
      <x:c r="A576" s="11"/>
      <x:c r="B576" s="11"/>
      <x:c r="C576" s="11"/>
      <x:c r="D576" s="11"/>
      <x:c r="E576" s="12"/>
      <x:c r="F576" s="10"/>
      <x:c r="G576" s="2" t="str">
        <x:f>IF(COUNTA(A576:F576)=0,"",COUNTIFS('External Data'!$L$2:$L$1001,SUBSTITUTE(SUBSTITUTE(SUBSTITUTE(L576,"~","~~"),"*","~*"),"?","~?")))</x:f>
      </x:c>
      <x:c r="H576" s="2" t="str">
        <x:f>IF(COUNTA(A576:F576)=0,"",COUNTIFS('App Data'!$L$2:$L$1001,SUBSTITUTE(SUBSTITUTE(SUBSTITUTE(L576,"~","~~"),"*","~*"),"?","~?")))</x:f>
      </x:c>
      <x:c r="I576" s="13" t="str">
        <x:f>IF(OR(H576&lt;&gt;1,G576&lt;&gt;1),"",SUMIFS('App Data'!$E$2:$E$1001,'App Data'!$L$2:$L$1001,SUBSTITUTE(SUBSTITUTE(SUBSTITUTE(L576,"~","~~"),"*","~*"),"?","~?")))</x:f>
      </x:c>
      <x:c r="J576" s="13" t="str">
        <x:f>IF(OR(NOT(ISNUMBER(E576)),NOT(ISNUMBER(I576))),"",ROUND(E576-I576,2))</x:f>
      </x:c>
      <x:c r="K576" s="2" t="str">
        <x:f>IF(COUNTA(A576:F576)=0,"",IF(OR(A576="",B576="",C576="",D576="",NOT(ISNUMBER(E576))),"Missing / invalid input",IF(G576&gt;1,"Duplicate key in this source",IF(H576=0,"Missing in other source",IF(H576&gt;1,"Duplicate in other source",IF(SUMIFS('App Data'!$M$2:$M$1001,'App Data'!$L$2:$L$1001,SUBSTITUTE(SUBSTITUTE(SUBSTITUTE(L576,"~","~~"),"*","~*"),"?","~?"))&lt;&gt;1,"Other amount is invalid",IF(J576&lt;&gt;0,"Amount differs","Matched")))))))</x:f>
      </x:c>
      <x:c r="L576" t="str">
        <x:f>IF(COUNTA(A576:F576)=0,"",LEN(A576)&amp;":"&amp;A576&amp;LEN(B576)&amp;":"&amp;B576&amp;LEN(C576)&amp;":"&amp;C576&amp;LEN(D576)&amp;":"&amp;D576)</x:f>
      </x:c>
      <x:c r="M576" t="str">
        <x:f>IF(COUNTA(A576:F576)=0,"",IF(ISNUMBER(E576),1,0))</x:f>
      </x:c>
    </x:row>
    <x:row r="577">
      <x:c r="A577" s="11"/>
      <x:c r="B577" s="11"/>
      <x:c r="C577" s="11"/>
      <x:c r="D577" s="11"/>
      <x:c r="E577" s="12"/>
      <x:c r="F577" s="10"/>
      <x:c r="G577" s="2" t="str">
        <x:f>IF(COUNTA(A577:F577)=0,"",COUNTIFS('External Data'!$L$2:$L$1001,SUBSTITUTE(SUBSTITUTE(SUBSTITUTE(L577,"~","~~"),"*","~*"),"?","~?")))</x:f>
      </x:c>
      <x:c r="H577" s="2" t="str">
        <x:f>IF(COUNTA(A577:F577)=0,"",COUNTIFS('App Data'!$L$2:$L$1001,SUBSTITUTE(SUBSTITUTE(SUBSTITUTE(L577,"~","~~"),"*","~*"),"?","~?")))</x:f>
      </x:c>
      <x:c r="I577" s="13" t="str">
        <x:f>IF(OR(H577&lt;&gt;1,G577&lt;&gt;1),"",SUMIFS('App Data'!$E$2:$E$1001,'App Data'!$L$2:$L$1001,SUBSTITUTE(SUBSTITUTE(SUBSTITUTE(L577,"~","~~"),"*","~*"),"?","~?")))</x:f>
      </x:c>
      <x:c r="J577" s="13" t="str">
        <x:f>IF(OR(NOT(ISNUMBER(E577)),NOT(ISNUMBER(I577))),"",ROUND(E577-I577,2))</x:f>
      </x:c>
      <x:c r="K577" s="2" t="str">
        <x:f>IF(COUNTA(A577:F577)=0,"",IF(OR(A577="",B577="",C577="",D577="",NOT(ISNUMBER(E577))),"Missing / invalid input",IF(G577&gt;1,"Duplicate key in this source",IF(H577=0,"Missing in other source",IF(H577&gt;1,"Duplicate in other source",IF(SUMIFS('App Data'!$M$2:$M$1001,'App Data'!$L$2:$L$1001,SUBSTITUTE(SUBSTITUTE(SUBSTITUTE(L577,"~","~~"),"*","~*"),"?","~?"))&lt;&gt;1,"Other amount is invalid",IF(J577&lt;&gt;0,"Amount differs","Matched")))))))</x:f>
      </x:c>
      <x:c r="L577" t="str">
        <x:f>IF(COUNTA(A577:F577)=0,"",LEN(A577)&amp;":"&amp;A577&amp;LEN(B577)&amp;":"&amp;B577&amp;LEN(C577)&amp;":"&amp;C577&amp;LEN(D577)&amp;":"&amp;D577)</x:f>
      </x:c>
      <x:c r="M577" t="str">
        <x:f>IF(COUNTA(A577:F577)=0,"",IF(ISNUMBER(E577),1,0))</x:f>
      </x:c>
    </x:row>
    <x:row r="578">
      <x:c r="A578" s="11"/>
      <x:c r="B578" s="11"/>
      <x:c r="C578" s="11"/>
      <x:c r="D578" s="11"/>
      <x:c r="E578" s="12"/>
      <x:c r="F578" s="10"/>
      <x:c r="G578" s="2" t="str">
        <x:f>IF(COUNTA(A578:F578)=0,"",COUNTIFS('External Data'!$L$2:$L$1001,SUBSTITUTE(SUBSTITUTE(SUBSTITUTE(L578,"~","~~"),"*","~*"),"?","~?")))</x:f>
      </x:c>
      <x:c r="H578" s="2" t="str">
        <x:f>IF(COUNTA(A578:F578)=0,"",COUNTIFS('App Data'!$L$2:$L$1001,SUBSTITUTE(SUBSTITUTE(SUBSTITUTE(L578,"~","~~"),"*","~*"),"?","~?")))</x:f>
      </x:c>
      <x:c r="I578" s="13" t="str">
        <x:f>IF(OR(H578&lt;&gt;1,G578&lt;&gt;1),"",SUMIFS('App Data'!$E$2:$E$1001,'App Data'!$L$2:$L$1001,SUBSTITUTE(SUBSTITUTE(SUBSTITUTE(L578,"~","~~"),"*","~*"),"?","~?")))</x:f>
      </x:c>
      <x:c r="J578" s="13" t="str">
        <x:f>IF(OR(NOT(ISNUMBER(E578)),NOT(ISNUMBER(I578))),"",ROUND(E578-I578,2))</x:f>
      </x:c>
      <x:c r="K578" s="2" t="str">
        <x:f>IF(COUNTA(A578:F578)=0,"",IF(OR(A578="",B578="",C578="",D578="",NOT(ISNUMBER(E578))),"Missing / invalid input",IF(G578&gt;1,"Duplicate key in this source",IF(H578=0,"Missing in other source",IF(H578&gt;1,"Duplicate in other source",IF(SUMIFS('App Data'!$M$2:$M$1001,'App Data'!$L$2:$L$1001,SUBSTITUTE(SUBSTITUTE(SUBSTITUTE(L578,"~","~~"),"*","~*"),"?","~?"))&lt;&gt;1,"Other amount is invalid",IF(J578&lt;&gt;0,"Amount differs","Matched")))))))</x:f>
      </x:c>
      <x:c r="L578" t="str">
        <x:f>IF(COUNTA(A578:F578)=0,"",LEN(A578)&amp;":"&amp;A578&amp;LEN(B578)&amp;":"&amp;B578&amp;LEN(C578)&amp;":"&amp;C578&amp;LEN(D578)&amp;":"&amp;D578)</x:f>
      </x:c>
      <x:c r="M578" t="str">
        <x:f>IF(COUNTA(A578:F578)=0,"",IF(ISNUMBER(E578),1,0))</x:f>
      </x:c>
    </x:row>
    <x:row r="579">
      <x:c r="A579" s="11"/>
      <x:c r="B579" s="11"/>
      <x:c r="C579" s="11"/>
      <x:c r="D579" s="11"/>
      <x:c r="E579" s="12"/>
      <x:c r="F579" s="10"/>
      <x:c r="G579" s="2" t="str">
        <x:f>IF(COUNTA(A579:F579)=0,"",COUNTIFS('External Data'!$L$2:$L$1001,SUBSTITUTE(SUBSTITUTE(SUBSTITUTE(L579,"~","~~"),"*","~*"),"?","~?")))</x:f>
      </x:c>
      <x:c r="H579" s="2" t="str">
        <x:f>IF(COUNTA(A579:F579)=0,"",COUNTIFS('App Data'!$L$2:$L$1001,SUBSTITUTE(SUBSTITUTE(SUBSTITUTE(L579,"~","~~"),"*","~*"),"?","~?")))</x:f>
      </x:c>
      <x:c r="I579" s="13" t="str">
        <x:f>IF(OR(H579&lt;&gt;1,G579&lt;&gt;1),"",SUMIFS('App Data'!$E$2:$E$1001,'App Data'!$L$2:$L$1001,SUBSTITUTE(SUBSTITUTE(SUBSTITUTE(L579,"~","~~"),"*","~*"),"?","~?")))</x:f>
      </x:c>
      <x:c r="J579" s="13" t="str">
        <x:f>IF(OR(NOT(ISNUMBER(E579)),NOT(ISNUMBER(I579))),"",ROUND(E579-I579,2))</x:f>
      </x:c>
      <x:c r="K579" s="2" t="str">
        <x:f>IF(COUNTA(A579:F579)=0,"",IF(OR(A579="",B579="",C579="",D579="",NOT(ISNUMBER(E579))),"Missing / invalid input",IF(G579&gt;1,"Duplicate key in this source",IF(H579=0,"Missing in other source",IF(H579&gt;1,"Duplicate in other source",IF(SUMIFS('App Data'!$M$2:$M$1001,'App Data'!$L$2:$L$1001,SUBSTITUTE(SUBSTITUTE(SUBSTITUTE(L579,"~","~~"),"*","~*"),"?","~?"))&lt;&gt;1,"Other amount is invalid",IF(J579&lt;&gt;0,"Amount differs","Matched")))))))</x:f>
      </x:c>
      <x:c r="L579" t="str">
        <x:f>IF(COUNTA(A579:F579)=0,"",LEN(A579)&amp;":"&amp;A579&amp;LEN(B579)&amp;":"&amp;B579&amp;LEN(C579)&amp;":"&amp;C579&amp;LEN(D579)&amp;":"&amp;D579)</x:f>
      </x:c>
      <x:c r="M579" t="str">
        <x:f>IF(COUNTA(A579:F579)=0,"",IF(ISNUMBER(E579),1,0))</x:f>
      </x:c>
    </x:row>
    <x:row r="580">
      <x:c r="A580" s="11"/>
      <x:c r="B580" s="11"/>
      <x:c r="C580" s="11"/>
      <x:c r="D580" s="11"/>
      <x:c r="E580" s="12"/>
      <x:c r="F580" s="10"/>
      <x:c r="G580" s="2" t="str">
        <x:f>IF(COUNTA(A580:F580)=0,"",COUNTIFS('External Data'!$L$2:$L$1001,SUBSTITUTE(SUBSTITUTE(SUBSTITUTE(L580,"~","~~"),"*","~*"),"?","~?")))</x:f>
      </x:c>
      <x:c r="H580" s="2" t="str">
        <x:f>IF(COUNTA(A580:F580)=0,"",COUNTIFS('App Data'!$L$2:$L$1001,SUBSTITUTE(SUBSTITUTE(SUBSTITUTE(L580,"~","~~"),"*","~*"),"?","~?")))</x:f>
      </x:c>
      <x:c r="I580" s="13" t="str">
        <x:f>IF(OR(H580&lt;&gt;1,G580&lt;&gt;1),"",SUMIFS('App Data'!$E$2:$E$1001,'App Data'!$L$2:$L$1001,SUBSTITUTE(SUBSTITUTE(SUBSTITUTE(L580,"~","~~"),"*","~*"),"?","~?")))</x:f>
      </x:c>
      <x:c r="J580" s="13" t="str">
        <x:f>IF(OR(NOT(ISNUMBER(E580)),NOT(ISNUMBER(I580))),"",ROUND(E580-I580,2))</x:f>
      </x:c>
      <x:c r="K580" s="2" t="str">
        <x:f>IF(COUNTA(A580:F580)=0,"",IF(OR(A580="",B580="",C580="",D580="",NOT(ISNUMBER(E580))),"Missing / invalid input",IF(G580&gt;1,"Duplicate key in this source",IF(H580=0,"Missing in other source",IF(H580&gt;1,"Duplicate in other source",IF(SUMIFS('App Data'!$M$2:$M$1001,'App Data'!$L$2:$L$1001,SUBSTITUTE(SUBSTITUTE(SUBSTITUTE(L580,"~","~~"),"*","~*"),"?","~?"))&lt;&gt;1,"Other amount is invalid",IF(J580&lt;&gt;0,"Amount differs","Matched")))))))</x:f>
      </x:c>
      <x:c r="L580" t="str">
        <x:f>IF(COUNTA(A580:F580)=0,"",LEN(A580)&amp;":"&amp;A580&amp;LEN(B580)&amp;":"&amp;B580&amp;LEN(C580)&amp;":"&amp;C580&amp;LEN(D580)&amp;":"&amp;D580)</x:f>
      </x:c>
      <x:c r="M580" t="str">
        <x:f>IF(COUNTA(A580:F580)=0,"",IF(ISNUMBER(E580),1,0))</x:f>
      </x:c>
    </x:row>
    <x:row r="581">
      <x:c r="A581" s="11"/>
      <x:c r="B581" s="11"/>
      <x:c r="C581" s="11"/>
      <x:c r="D581" s="11"/>
      <x:c r="E581" s="12"/>
      <x:c r="F581" s="10"/>
      <x:c r="G581" s="2" t="str">
        <x:f>IF(COUNTA(A581:F581)=0,"",COUNTIFS('External Data'!$L$2:$L$1001,SUBSTITUTE(SUBSTITUTE(SUBSTITUTE(L581,"~","~~"),"*","~*"),"?","~?")))</x:f>
      </x:c>
      <x:c r="H581" s="2" t="str">
        <x:f>IF(COUNTA(A581:F581)=0,"",COUNTIFS('App Data'!$L$2:$L$1001,SUBSTITUTE(SUBSTITUTE(SUBSTITUTE(L581,"~","~~"),"*","~*"),"?","~?")))</x:f>
      </x:c>
      <x:c r="I581" s="13" t="str">
        <x:f>IF(OR(H581&lt;&gt;1,G581&lt;&gt;1),"",SUMIFS('App Data'!$E$2:$E$1001,'App Data'!$L$2:$L$1001,SUBSTITUTE(SUBSTITUTE(SUBSTITUTE(L581,"~","~~"),"*","~*"),"?","~?")))</x:f>
      </x:c>
      <x:c r="J581" s="13" t="str">
        <x:f>IF(OR(NOT(ISNUMBER(E581)),NOT(ISNUMBER(I581))),"",ROUND(E581-I581,2))</x:f>
      </x:c>
      <x:c r="K581" s="2" t="str">
        <x:f>IF(COUNTA(A581:F581)=0,"",IF(OR(A581="",B581="",C581="",D581="",NOT(ISNUMBER(E581))),"Missing / invalid input",IF(G581&gt;1,"Duplicate key in this source",IF(H581=0,"Missing in other source",IF(H581&gt;1,"Duplicate in other source",IF(SUMIFS('App Data'!$M$2:$M$1001,'App Data'!$L$2:$L$1001,SUBSTITUTE(SUBSTITUTE(SUBSTITUTE(L581,"~","~~"),"*","~*"),"?","~?"))&lt;&gt;1,"Other amount is invalid",IF(J581&lt;&gt;0,"Amount differs","Matched")))))))</x:f>
      </x:c>
      <x:c r="L581" t="str">
        <x:f>IF(COUNTA(A581:F581)=0,"",LEN(A581)&amp;":"&amp;A581&amp;LEN(B581)&amp;":"&amp;B581&amp;LEN(C581)&amp;":"&amp;C581&amp;LEN(D581)&amp;":"&amp;D581)</x:f>
      </x:c>
      <x:c r="M581" t="str">
        <x:f>IF(COUNTA(A581:F581)=0,"",IF(ISNUMBER(E581),1,0))</x:f>
      </x:c>
    </x:row>
    <x:row r="582">
      <x:c r="A582" s="11"/>
      <x:c r="B582" s="11"/>
      <x:c r="C582" s="11"/>
      <x:c r="D582" s="11"/>
      <x:c r="E582" s="12"/>
      <x:c r="F582" s="10"/>
      <x:c r="G582" s="2" t="str">
        <x:f>IF(COUNTA(A582:F582)=0,"",COUNTIFS('External Data'!$L$2:$L$1001,SUBSTITUTE(SUBSTITUTE(SUBSTITUTE(L582,"~","~~"),"*","~*"),"?","~?")))</x:f>
      </x:c>
      <x:c r="H582" s="2" t="str">
        <x:f>IF(COUNTA(A582:F582)=0,"",COUNTIFS('App Data'!$L$2:$L$1001,SUBSTITUTE(SUBSTITUTE(SUBSTITUTE(L582,"~","~~"),"*","~*"),"?","~?")))</x:f>
      </x:c>
      <x:c r="I582" s="13" t="str">
        <x:f>IF(OR(H582&lt;&gt;1,G582&lt;&gt;1),"",SUMIFS('App Data'!$E$2:$E$1001,'App Data'!$L$2:$L$1001,SUBSTITUTE(SUBSTITUTE(SUBSTITUTE(L582,"~","~~"),"*","~*"),"?","~?")))</x:f>
      </x:c>
      <x:c r="J582" s="13" t="str">
        <x:f>IF(OR(NOT(ISNUMBER(E582)),NOT(ISNUMBER(I582))),"",ROUND(E582-I582,2))</x:f>
      </x:c>
      <x:c r="K582" s="2" t="str">
        <x:f>IF(COUNTA(A582:F582)=0,"",IF(OR(A582="",B582="",C582="",D582="",NOT(ISNUMBER(E582))),"Missing / invalid input",IF(G582&gt;1,"Duplicate key in this source",IF(H582=0,"Missing in other source",IF(H582&gt;1,"Duplicate in other source",IF(SUMIFS('App Data'!$M$2:$M$1001,'App Data'!$L$2:$L$1001,SUBSTITUTE(SUBSTITUTE(SUBSTITUTE(L582,"~","~~"),"*","~*"),"?","~?"))&lt;&gt;1,"Other amount is invalid",IF(J582&lt;&gt;0,"Amount differs","Matched")))))))</x:f>
      </x:c>
      <x:c r="L582" t="str">
        <x:f>IF(COUNTA(A582:F582)=0,"",LEN(A582)&amp;":"&amp;A582&amp;LEN(B582)&amp;":"&amp;B582&amp;LEN(C582)&amp;":"&amp;C582&amp;LEN(D582)&amp;":"&amp;D582)</x:f>
      </x:c>
      <x:c r="M582" t="str">
        <x:f>IF(COUNTA(A582:F582)=0,"",IF(ISNUMBER(E582),1,0))</x:f>
      </x:c>
    </x:row>
    <x:row r="583">
      <x:c r="A583" s="11"/>
      <x:c r="B583" s="11"/>
      <x:c r="C583" s="11"/>
      <x:c r="D583" s="11"/>
      <x:c r="E583" s="12"/>
      <x:c r="F583" s="10"/>
      <x:c r="G583" s="2" t="str">
        <x:f>IF(COUNTA(A583:F583)=0,"",COUNTIFS('External Data'!$L$2:$L$1001,SUBSTITUTE(SUBSTITUTE(SUBSTITUTE(L583,"~","~~"),"*","~*"),"?","~?")))</x:f>
      </x:c>
      <x:c r="H583" s="2" t="str">
        <x:f>IF(COUNTA(A583:F583)=0,"",COUNTIFS('App Data'!$L$2:$L$1001,SUBSTITUTE(SUBSTITUTE(SUBSTITUTE(L583,"~","~~"),"*","~*"),"?","~?")))</x:f>
      </x:c>
      <x:c r="I583" s="13" t="str">
        <x:f>IF(OR(H583&lt;&gt;1,G583&lt;&gt;1),"",SUMIFS('App Data'!$E$2:$E$1001,'App Data'!$L$2:$L$1001,SUBSTITUTE(SUBSTITUTE(SUBSTITUTE(L583,"~","~~"),"*","~*"),"?","~?")))</x:f>
      </x:c>
      <x:c r="J583" s="13" t="str">
        <x:f>IF(OR(NOT(ISNUMBER(E583)),NOT(ISNUMBER(I583))),"",ROUND(E583-I583,2))</x:f>
      </x:c>
      <x:c r="K583" s="2" t="str">
        <x:f>IF(COUNTA(A583:F583)=0,"",IF(OR(A583="",B583="",C583="",D583="",NOT(ISNUMBER(E583))),"Missing / invalid input",IF(G583&gt;1,"Duplicate key in this source",IF(H583=0,"Missing in other source",IF(H583&gt;1,"Duplicate in other source",IF(SUMIFS('App Data'!$M$2:$M$1001,'App Data'!$L$2:$L$1001,SUBSTITUTE(SUBSTITUTE(SUBSTITUTE(L583,"~","~~"),"*","~*"),"?","~?"))&lt;&gt;1,"Other amount is invalid",IF(J583&lt;&gt;0,"Amount differs","Matched")))))))</x:f>
      </x:c>
      <x:c r="L583" t="str">
        <x:f>IF(COUNTA(A583:F583)=0,"",LEN(A583)&amp;":"&amp;A583&amp;LEN(B583)&amp;":"&amp;B583&amp;LEN(C583)&amp;":"&amp;C583&amp;LEN(D583)&amp;":"&amp;D583)</x:f>
      </x:c>
      <x:c r="M583" t="str">
        <x:f>IF(COUNTA(A583:F583)=0,"",IF(ISNUMBER(E583),1,0))</x:f>
      </x:c>
    </x:row>
    <x:row r="584">
      <x:c r="A584" s="11"/>
      <x:c r="B584" s="11"/>
      <x:c r="C584" s="11"/>
      <x:c r="D584" s="11"/>
      <x:c r="E584" s="12"/>
      <x:c r="F584" s="10"/>
      <x:c r="G584" s="2" t="str">
        <x:f>IF(COUNTA(A584:F584)=0,"",COUNTIFS('External Data'!$L$2:$L$1001,SUBSTITUTE(SUBSTITUTE(SUBSTITUTE(L584,"~","~~"),"*","~*"),"?","~?")))</x:f>
      </x:c>
      <x:c r="H584" s="2" t="str">
        <x:f>IF(COUNTA(A584:F584)=0,"",COUNTIFS('App Data'!$L$2:$L$1001,SUBSTITUTE(SUBSTITUTE(SUBSTITUTE(L584,"~","~~"),"*","~*"),"?","~?")))</x:f>
      </x:c>
      <x:c r="I584" s="13" t="str">
        <x:f>IF(OR(H584&lt;&gt;1,G584&lt;&gt;1),"",SUMIFS('App Data'!$E$2:$E$1001,'App Data'!$L$2:$L$1001,SUBSTITUTE(SUBSTITUTE(SUBSTITUTE(L584,"~","~~"),"*","~*"),"?","~?")))</x:f>
      </x:c>
      <x:c r="J584" s="13" t="str">
        <x:f>IF(OR(NOT(ISNUMBER(E584)),NOT(ISNUMBER(I584))),"",ROUND(E584-I584,2))</x:f>
      </x:c>
      <x:c r="K584" s="2" t="str">
        <x:f>IF(COUNTA(A584:F584)=0,"",IF(OR(A584="",B584="",C584="",D584="",NOT(ISNUMBER(E584))),"Missing / invalid input",IF(G584&gt;1,"Duplicate key in this source",IF(H584=0,"Missing in other source",IF(H584&gt;1,"Duplicate in other source",IF(SUMIFS('App Data'!$M$2:$M$1001,'App Data'!$L$2:$L$1001,SUBSTITUTE(SUBSTITUTE(SUBSTITUTE(L584,"~","~~"),"*","~*"),"?","~?"))&lt;&gt;1,"Other amount is invalid",IF(J584&lt;&gt;0,"Amount differs","Matched")))))))</x:f>
      </x:c>
      <x:c r="L584" t="str">
        <x:f>IF(COUNTA(A584:F584)=0,"",LEN(A584)&amp;":"&amp;A584&amp;LEN(B584)&amp;":"&amp;B584&amp;LEN(C584)&amp;":"&amp;C584&amp;LEN(D584)&amp;":"&amp;D584)</x:f>
      </x:c>
      <x:c r="M584" t="str">
        <x:f>IF(COUNTA(A584:F584)=0,"",IF(ISNUMBER(E584),1,0))</x:f>
      </x:c>
    </x:row>
    <x:row r="585">
      <x:c r="A585" s="11"/>
      <x:c r="B585" s="11"/>
      <x:c r="C585" s="11"/>
      <x:c r="D585" s="11"/>
      <x:c r="E585" s="12"/>
      <x:c r="F585" s="10"/>
      <x:c r="G585" s="2" t="str">
        <x:f>IF(COUNTA(A585:F585)=0,"",COUNTIFS('External Data'!$L$2:$L$1001,SUBSTITUTE(SUBSTITUTE(SUBSTITUTE(L585,"~","~~"),"*","~*"),"?","~?")))</x:f>
      </x:c>
      <x:c r="H585" s="2" t="str">
        <x:f>IF(COUNTA(A585:F585)=0,"",COUNTIFS('App Data'!$L$2:$L$1001,SUBSTITUTE(SUBSTITUTE(SUBSTITUTE(L585,"~","~~"),"*","~*"),"?","~?")))</x:f>
      </x:c>
      <x:c r="I585" s="13" t="str">
        <x:f>IF(OR(H585&lt;&gt;1,G585&lt;&gt;1),"",SUMIFS('App Data'!$E$2:$E$1001,'App Data'!$L$2:$L$1001,SUBSTITUTE(SUBSTITUTE(SUBSTITUTE(L585,"~","~~"),"*","~*"),"?","~?")))</x:f>
      </x:c>
      <x:c r="J585" s="13" t="str">
        <x:f>IF(OR(NOT(ISNUMBER(E585)),NOT(ISNUMBER(I585))),"",ROUND(E585-I585,2))</x:f>
      </x:c>
      <x:c r="K585" s="2" t="str">
        <x:f>IF(COUNTA(A585:F585)=0,"",IF(OR(A585="",B585="",C585="",D585="",NOT(ISNUMBER(E585))),"Missing / invalid input",IF(G585&gt;1,"Duplicate key in this source",IF(H585=0,"Missing in other source",IF(H585&gt;1,"Duplicate in other source",IF(SUMIFS('App Data'!$M$2:$M$1001,'App Data'!$L$2:$L$1001,SUBSTITUTE(SUBSTITUTE(SUBSTITUTE(L585,"~","~~"),"*","~*"),"?","~?"))&lt;&gt;1,"Other amount is invalid",IF(J585&lt;&gt;0,"Amount differs","Matched")))))))</x:f>
      </x:c>
      <x:c r="L585" t="str">
        <x:f>IF(COUNTA(A585:F585)=0,"",LEN(A585)&amp;":"&amp;A585&amp;LEN(B585)&amp;":"&amp;B585&amp;LEN(C585)&amp;":"&amp;C585&amp;LEN(D585)&amp;":"&amp;D585)</x:f>
      </x:c>
      <x:c r="M585" t="str">
        <x:f>IF(COUNTA(A585:F585)=0,"",IF(ISNUMBER(E585),1,0))</x:f>
      </x:c>
    </x:row>
    <x:row r="586">
      <x:c r="A586" s="11"/>
      <x:c r="B586" s="11"/>
      <x:c r="C586" s="11"/>
      <x:c r="D586" s="11"/>
      <x:c r="E586" s="12"/>
      <x:c r="F586" s="10"/>
      <x:c r="G586" s="2" t="str">
        <x:f>IF(COUNTA(A586:F586)=0,"",COUNTIFS('External Data'!$L$2:$L$1001,SUBSTITUTE(SUBSTITUTE(SUBSTITUTE(L586,"~","~~"),"*","~*"),"?","~?")))</x:f>
      </x:c>
      <x:c r="H586" s="2" t="str">
        <x:f>IF(COUNTA(A586:F586)=0,"",COUNTIFS('App Data'!$L$2:$L$1001,SUBSTITUTE(SUBSTITUTE(SUBSTITUTE(L586,"~","~~"),"*","~*"),"?","~?")))</x:f>
      </x:c>
      <x:c r="I586" s="13" t="str">
        <x:f>IF(OR(H586&lt;&gt;1,G586&lt;&gt;1),"",SUMIFS('App Data'!$E$2:$E$1001,'App Data'!$L$2:$L$1001,SUBSTITUTE(SUBSTITUTE(SUBSTITUTE(L586,"~","~~"),"*","~*"),"?","~?")))</x:f>
      </x:c>
      <x:c r="J586" s="13" t="str">
        <x:f>IF(OR(NOT(ISNUMBER(E586)),NOT(ISNUMBER(I586))),"",ROUND(E586-I586,2))</x:f>
      </x:c>
      <x:c r="K586" s="2" t="str">
        <x:f>IF(COUNTA(A586:F586)=0,"",IF(OR(A586="",B586="",C586="",D586="",NOT(ISNUMBER(E586))),"Missing / invalid input",IF(G586&gt;1,"Duplicate key in this source",IF(H586=0,"Missing in other source",IF(H586&gt;1,"Duplicate in other source",IF(SUMIFS('App Data'!$M$2:$M$1001,'App Data'!$L$2:$L$1001,SUBSTITUTE(SUBSTITUTE(SUBSTITUTE(L586,"~","~~"),"*","~*"),"?","~?"))&lt;&gt;1,"Other amount is invalid",IF(J586&lt;&gt;0,"Amount differs","Matched")))))))</x:f>
      </x:c>
      <x:c r="L586" t="str">
        <x:f>IF(COUNTA(A586:F586)=0,"",LEN(A586)&amp;":"&amp;A586&amp;LEN(B586)&amp;":"&amp;B586&amp;LEN(C586)&amp;":"&amp;C586&amp;LEN(D586)&amp;":"&amp;D586)</x:f>
      </x:c>
      <x:c r="M586" t="str">
        <x:f>IF(COUNTA(A586:F586)=0,"",IF(ISNUMBER(E586),1,0))</x:f>
      </x:c>
    </x:row>
    <x:row r="587">
      <x:c r="A587" s="11"/>
      <x:c r="B587" s="11"/>
      <x:c r="C587" s="11"/>
      <x:c r="D587" s="11"/>
      <x:c r="E587" s="12"/>
      <x:c r="F587" s="10"/>
      <x:c r="G587" s="2" t="str">
        <x:f>IF(COUNTA(A587:F587)=0,"",COUNTIFS('External Data'!$L$2:$L$1001,SUBSTITUTE(SUBSTITUTE(SUBSTITUTE(L587,"~","~~"),"*","~*"),"?","~?")))</x:f>
      </x:c>
      <x:c r="H587" s="2" t="str">
        <x:f>IF(COUNTA(A587:F587)=0,"",COUNTIFS('App Data'!$L$2:$L$1001,SUBSTITUTE(SUBSTITUTE(SUBSTITUTE(L587,"~","~~"),"*","~*"),"?","~?")))</x:f>
      </x:c>
      <x:c r="I587" s="13" t="str">
        <x:f>IF(OR(H587&lt;&gt;1,G587&lt;&gt;1),"",SUMIFS('App Data'!$E$2:$E$1001,'App Data'!$L$2:$L$1001,SUBSTITUTE(SUBSTITUTE(SUBSTITUTE(L587,"~","~~"),"*","~*"),"?","~?")))</x:f>
      </x:c>
      <x:c r="J587" s="13" t="str">
        <x:f>IF(OR(NOT(ISNUMBER(E587)),NOT(ISNUMBER(I587))),"",ROUND(E587-I587,2))</x:f>
      </x:c>
      <x:c r="K587" s="2" t="str">
        <x:f>IF(COUNTA(A587:F587)=0,"",IF(OR(A587="",B587="",C587="",D587="",NOT(ISNUMBER(E587))),"Missing / invalid input",IF(G587&gt;1,"Duplicate key in this source",IF(H587=0,"Missing in other source",IF(H587&gt;1,"Duplicate in other source",IF(SUMIFS('App Data'!$M$2:$M$1001,'App Data'!$L$2:$L$1001,SUBSTITUTE(SUBSTITUTE(SUBSTITUTE(L587,"~","~~"),"*","~*"),"?","~?"))&lt;&gt;1,"Other amount is invalid",IF(J587&lt;&gt;0,"Amount differs","Matched")))))))</x:f>
      </x:c>
      <x:c r="L587" t="str">
        <x:f>IF(COUNTA(A587:F587)=0,"",LEN(A587)&amp;":"&amp;A587&amp;LEN(B587)&amp;":"&amp;B587&amp;LEN(C587)&amp;":"&amp;C587&amp;LEN(D587)&amp;":"&amp;D587)</x:f>
      </x:c>
      <x:c r="M587" t="str">
        <x:f>IF(COUNTA(A587:F587)=0,"",IF(ISNUMBER(E587),1,0))</x:f>
      </x:c>
    </x:row>
    <x:row r="588">
      <x:c r="A588" s="11"/>
      <x:c r="B588" s="11"/>
      <x:c r="C588" s="11"/>
      <x:c r="D588" s="11"/>
      <x:c r="E588" s="12"/>
      <x:c r="F588" s="10"/>
      <x:c r="G588" s="2" t="str">
        <x:f>IF(COUNTA(A588:F588)=0,"",COUNTIFS('External Data'!$L$2:$L$1001,SUBSTITUTE(SUBSTITUTE(SUBSTITUTE(L588,"~","~~"),"*","~*"),"?","~?")))</x:f>
      </x:c>
      <x:c r="H588" s="2" t="str">
        <x:f>IF(COUNTA(A588:F588)=0,"",COUNTIFS('App Data'!$L$2:$L$1001,SUBSTITUTE(SUBSTITUTE(SUBSTITUTE(L588,"~","~~"),"*","~*"),"?","~?")))</x:f>
      </x:c>
      <x:c r="I588" s="13" t="str">
        <x:f>IF(OR(H588&lt;&gt;1,G588&lt;&gt;1),"",SUMIFS('App Data'!$E$2:$E$1001,'App Data'!$L$2:$L$1001,SUBSTITUTE(SUBSTITUTE(SUBSTITUTE(L588,"~","~~"),"*","~*"),"?","~?")))</x:f>
      </x:c>
      <x:c r="J588" s="13" t="str">
        <x:f>IF(OR(NOT(ISNUMBER(E588)),NOT(ISNUMBER(I588))),"",ROUND(E588-I588,2))</x:f>
      </x:c>
      <x:c r="K588" s="2" t="str">
        <x:f>IF(COUNTA(A588:F588)=0,"",IF(OR(A588="",B588="",C588="",D588="",NOT(ISNUMBER(E588))),"Missing / invalid input",IF(G588&gt;1,"Duplicate key in this source",IF(H588=0,"Missing in other source",IF(H588&gt;1,"Duplicate in other source",IF(SUMIFS('App Data'!$M$2:$M$1001,'App Data'!$L$2:$L$1001,SUBSTITUTE(SUBSTITUTE(SUBSTITUTE(L588,"~","~~"),"*","~*"),"?","~?"))&lt;&gt;1,"Other amount is invalid",IF(J588&lt;&gt;0,"Amount differs","Matched")))))))</x:f>
      </x:c>
      <x:c r="L588" t="str">
        <x:f>IF(COUNTA(A588:F588)=0,"",LEN(A588)&amp;":"&amp;A588&amp;LEN(B588)&amp;":"&amp;B588&amp;LEN(C588)&amp;":"&amp;C588&amp;LEN(D588)&amp;":"&amp;D588)</x:f>
      </x:c>
      <x:c r="M588" t="str">
        <x:f>IF(COUNTA(A588:F588)=0,"",IF(ISNUMBER(E588),1,0))</x:f>
      </x:c>
    </x:row>
    <x:row r="589">
      <x:c r="A589" s="11"/>
      <x:c r="B589" s="11"/>
      <x:c r="C589" s="11"/>
      <x:c r="D589" s="11"/>
      <x:c r="E589" s="12"/>
      <x:c r="F589" s="10"/>
      <x:c r="G589" s="2" t="str">
        <x:f>IF(COUNTA(A589:F589)=0,"",COUNTIFS('External Data'!$L$2:$L$1001,SUBSTITUTE(SUBSTITUTE(SUBSTITUTE(L589,"~","~~"),"*","~*"),"?","~?")))</x:f>
      </x:c>
      <x:c r="H589" s="2" t="str">
        <x:f>IF(COUNTA(A589:F589)=0,"",COUNTIFS('App Data'!$L$2:$L$1001,SUBSTITUTE(SUBSTITUTE(SUBSTITUTE(L589,"~","~~"),"*","~*"),"?","~?")))</x:f>
      </x:c>
      <x:c r="I589" s="13" t="str">
        <x:f>IF(OR(H589&lt;&gt;1,G589&lt;&gt;1),"",SUMIFS('App Data'!$E$2:$E$1001,'App Data'!$L$2:$L$1001,SUBSTITUTE(SUBSTITUTE(SUBSTITUTE(L589,"~","~~"),"*","~*"),"?","~?")))</x:f>
      </x:c>
      <x:c r="J589" s="13" t="str">
        <x:f>IF(OR(NOT(ISNUMBER(E589)),NOT(ISNUMBER(I589))),"",ROUND(E589-I589,2))</x:f>
      </x:c>
      <x:c r="K589" s="2" t="str">
        <x:f>IF(COUNTA(A589:F589)=0,"",IF(OR(A589="",B589="",C589="",D589="",NOT(ISNUMBER(E589))),"Missing / invalid input",IF(G589&gt;1,"Duplicate key in this source",IF(H589=0,"Missing in other source",IF(H589&gt;1,"Duplicate in other source",IF(SUMIFS('App Data'!$M$2:$M$1001,'App Data'!$L$2:$L$1001,SUBSTITUTE(SUBSTITUTE(SUBSTITUTE(L589,"~","~~"),"*","~*"),"?","~?"))&lt;&gt;1,"Other amount is invalid",IF(J589&lt;&gt;0,"Amount differs","Matched")))))))</x:f>
      </x:c>
      <x:c r="L589" t="str">
        <x:f>IF(COUNTA(A589:F589)=0,"",LEN(A589)&amp;":"&amp;A589&amp;LEN(B589)&amp;":"&amp;B589&amp;LEN(C589)&amp;":"&amp;C589&amp;LEN(D589)&amp;":"&amp;D589)</x:f>
      </x:c>
      <x:c r="M589" t="str">
        <x:f>IF(COUNTA(A589:F589)=0,"",IF(ISNUMBER(E589),1,0))</x:f>
      </x:c>
    </x:row>
    <x:row r="590">
      <x:c r="A590" s="11"/>
      <x:c r="B590" s="11"/>
      <x:c r="C590" s="11"/>
      <x:c r="D590" s="11"/>
      <x:c r="E590" s="12"/>
      <x:c r="F590" s="10"/>
      <x:c r="G590" s="2" t="str">
        <x:f>IF(COUNTA(A590:F590)=0,"",COUNTIFS('External Data'!$L$2:$L$1001,SUBSTITUTE(SUBSTITUTE(SUBSTITUTE(L590,"~","~~"),"*","~*"),"?","~?")))</x:f>
      </x:c>
      <x:c r="H590" s="2" t="str">
        <x:f>IF(COUNTA(A590:F590)=0,"",COUNTIFS('App Data'!$L$2:$L$1001,SUBSTITUTE(SUBSTITUTE(SUBSTITUTE(L590,"~","~~"),"*","~*"),"?","~?")))</x:f>
      </x:c>
      <x:c r="I590" s="13" t="str">
        <x:f>IF(OR(H590&lt;&gt;1,G590&lt;&gt;1),"",SUMIFS('App Data'!$E$2:$E$1001,'App Data'!$L$2:$L$1001,SUBSTITUTE(SUBSTITUTE(SUBSTITUTE(L590,"~","~~"),"*","~*"),"?","~?")))</x:f>
      </x:c>
      <x:c r="J590" s="13" t="str">
        <x:f>IF(OR(NOT(ISNUMBER(E590)),NOT(ISNUMBER(I590))),"",ROUND(E590-I590,2))</x:f>
      </x:c>
      <x:c r="K590" s="2" t="str">
        <x:f>IF(COUNTA(A590:F590)=0,"",IF(OR(A590="",B590="",C590="",D590="",NOT(ISNUMBER(E590))),"Missing / invalid input",IF(G590&gt;1,"Duplicate key in this source",IF(H590=0,"Missing in other source",IF(H590&gt;1,"Duplicate in other source",IF(SUMIFS('App Data'!$M$2:$M$1001,'App Data'!$L$2:$L$1001,SUBSTITUTE(SUBSTITUTE(SUBSTITUTE(L590,"~","~~"),"*","~*"),"?","~?"))&lt;&gt;1,"Other amount is invalid",IF(J590&lt;&gt;0,"Amount differs","Matched")))))))</x:f>
      </x:c>
      <x:c r="L590" t="str">
        <x:f>IF(COUNTA(A590:F590)=0,"",LEN(A590)&amp;":"&amp;A590&amp;LEN(B590)&amp;":"&amp;B590&amp;LEN(C590)&amp;":"&amp;C590&amp;LEN(D590)&amp;":"&amp;D590)</x:f>
      </x:c>
      <x:c r="M590" t="str">
        <x:f>IF(COUNTA(A590:F590)=0,"",IF(ISNUMBER(E590),1,0))</x:f>
      </x:c>
    </x:row>
    <x:row r="591">
      <x:c r="A591" s="11"/>
      <x:c r="B591" s="11"/>
      <x:c r="C591" s="11"/>
      <x:c r="D591" s="11"/>
      <x:c r="E591" s="12"/>
      <x:c r="F591" s="10"/>
      <x:c r="G591" s="2" t="str">
        <x:f>IF(COUNTA(A591:F591)=0,"",COUNTIFS('External Data'!$L$2:$L$1001,SUBSTITUTE(SUBSTITUTE(SUBSTITUTE(L591,"~","~~"),"*","~*"),"?","~?")))</x:f>
      </x:c>
      <x:c r="H591" s="2" t="str">
        <x:f>IF(COUNTA(A591:F591)=0,"",COUNTIFS('App Data'!$L$2:$L$1001,SUBSTITUTE(SUBSTITUTE(SUBSTITUTE(L591,"~","~~"),"*","~*"),"?","~?")))</x:f>
      </x:c>
      <x:c r="I591" s="13" t="str">
        <x:f>IF(OR(H591&lt;&gt;1,G591&lt;&gt;1),"",SUMIFS('App Data'!$E$2:$E$1001,'App Data'!$L$2:$L$1001,SUBSTITUTE(SUBSTITUTE(SUBSTITUTE(L591,"~","~~"),"*","~*"),"?","~?")))</x:f>
      </x:c>
      <x:c r="J591" s="13" t="str">
        <x:f>IF(OR(NOT(ISNUMBER(E591)),NOT(ISNUMBER(I591))),"",ROUND(E591-I591,2))</x:f>
      </x:c>
      <x:c r="K591" s="2" t="str">
        <x:f>IF(COUNTA(A591:F591)=0,"",IF(OR(A591="",B591="",C591="",D591="",NOT(ISNUMBER(E591))),"Missing / invalid input",IF(G591&gt;1,"Duplicate key in this source",IF(H591=0,"Missing in other source",IF(H591&gt;1,"Duplicate in other source",IF(SUMIFS('App Data'!$M$2:$M$1001,'App Data'!$L$2:$L$1001,SUBSTITUTE(SUBSTITUTE(SUBSTITUTE(L591,"~","~~"),"*","~*"),"?","~?"))&lt;&gt;1,"Other amount is invalid",IF(J591&lt;&gt;0,"Amount differs","Matched")))))))</x:f>
      </x:c>
      <x:c r="L591" t="str">
        <x:f>IF(COUNTA(A591:F591)=0,"",LEN(A591)&amp;":"&amp;A591&amp;LEN(B591)&amp;":"&amp;B591&amp;LEN(C591)&amp;":"&amp;C591&amp;LEN(D591)&amp;":"&amp;D591)</x:f>
      </x:c>
      <x:c r="M591" t="str">
        <x:f>IF(COUNTA(A591:F591)=0,"",IF(ISNUMBER(E591),1,0))</x:f>
      </x:c>
    </x:row>
    <x:row r="592">
      <x:c r="A592" s="11"/>
      <x:c r="B592" s="11"/>
      <x:c r="C592" s="11"/>
      <x:c r="D592" s="11"/>
      <x:c r="E592" s="12"/>
      <x:c r="F592" s="10"/>
      <x:c r="G592" s="2" t="str">
        <x:f>IF(COUNTA(A592:F592)=0,"",COUNTIFS('External Data'!$L$2:$L$1001,SUBSTITUTE(SUBSTITUTE(SUBSTITUTE(L592,"~","~~"),"*","~*"),"?","~?")))</x:f>
      </x:c>
      <x:c r="H592" s="2" t="str">
        <x:f>IF(COUNTA(A592:F592)=0,"",COUNTIFS('App Data'!$L$2:$L$1001,SUBSTITUTE(SUBSTITUTE(SUBSTITUTE(L592,"~","~~"),"*","~*"),"?","~?")))</x:f>
      </x:c>
      <x:c r="I592" s="13" t="str">
        <x:f>IF(OR(H592&lt;&gt;1,G592&lt;&gt;1),"",SUMIFS('App Data'!$E$2:$E$1001,'App Data'!$L$2:$L$1001,SUBSTITUTE(SUBSTITUTE(SUBSTITUTE(L592,"~","~~"),"*","~*"),"?","~?")))</x:f>
      </x:c>
      <x:c r="J592" s="13" t="str">
        <x:f>IF(OR(NOT(ISNUMBER(E592)),NOT(ISNUMBER(I592))),"",ROUND(E592-I592,2))</x:f>
      </x:c>
      <x:c r="K592" s="2" t="str">
        <x:f>IF(COUNTA(A592:F592)=0,"",IF(OR(A592="",B592="",C592="",D592="",NOT(ISNUMBER(E592))),"Missing / invalid input",IF(G592&gt;1,"Duplicate key in this source",IF(H592=0,"Missing in other source",IF(H592&gt;1,"Duplicate in other source",IF(SUMIFS('App Data'!$M$2:$M$1001,'App Data'!$L$2:$L$1001,SUBSTITUTE(SUBSTITUTE(SUBSTITUTE(L592,"~","~~"),"*","~*"),"?","~?"))&lt;&gt;1,"Other amount is invalid",IF(J592&lt;&gt;0,"Amount differs","Matched")))))))</x:f>
      </x:c>
      <x:c r="L592" t="str">
        <x:f>IF(COUNTA(A592:F592)=0,"",LEN(A592)&amp;":"&amp;A592&amp;LEN(B592)&amp;":"&amp;B592&amp;LEN(C592)&amp;":"&amp;C592&amp;LEN(D592)&amp;":"&amp;D592)</x:f>
      </x:c>
      <x:c r="M592" t="str">
        <x:f>IF(COUNTA(A592:F592)=0,"",IF(ISNUMBER(E592),1,0))</x:f>
      </x:c>
    </x:row>
    <x:row r="593">
      <x:c r="A593" s="11"/>
      <x:c r="B593" s="11"/>
      <x:c r="C593" s="11"/>
      <x:c r="D593" s="11"/>
      <x:c r="E593" s="12"/>
      <x:c r="F593" s="10"/>
      <x:c r="G593" s="2" t="str">
        <x:f>IF(COUNTA(A593:F593)=0,"",COUNTIFS('External Data'!$L$2:$L$1001,SUBSTITUTE(SUBSTITUTE(SUBSTITUTE(L593,"~","~~"),"*","~*"),"?","~?")))</x:f>
      </x:c>
      <x:c r="H593" s="2" t="str">
        <x:f>IF(COUNTA(A593:F593)=0,"",COUNTIFS('App Data'!$L$2:$L$1001,SUBSTITUTE(SUBSTITUTE(SUBSTITUTE(L593,"~","~~"),"*","~*"),"?","~?")))</x:f>
      </x:c>
      <x:c r="I593" s="13" t="str">
        <x:f>IF(OR(H593&lt;&gt;1,G593&lt;&gt;1),"",SUMIFS('App Data'!$E$2:$E$1001,'App Data'!$L$2:$L$1001,SUBSTITUTE(SUBSTITUTE(SUBSTITUTE(L593,"~","~~"),"*","~*"),"?","~?")))</x:f>
      </x:c>
      <x:c r="J593" s="13" t="str">
        <x:f>IF(OR(NOT(ISNUMBER(E593)),NOT(ISNUMBER(I593))),"",ROUND(E593-I593,2))</x:f>
      </x:c>
      <x:c r="K593" s="2" t="str">
        <x:f>IF(COUNTA(A593:F593)=0,"",IF(OR(A593="",B593="",C593="",D593="",NOT(ISNUMBER(E593))),"Missing / invalid input",IF(G593&gt;1,"Duplicate key in this source",IF(H593=0,"Missing in other source",IF(H593&gt;1,"Duplicate in other source",IF(SUMIFS('App Data'!$M$2:$M$1001,'App Data'!$L$2:$L$1001,SUBSTITUTE(SUBSTITUTE(SUBSTITUTE(L593,"~","~~"),"*","~*"),"?","~?"))&lt;&gt;1,"Other amount is invalid",IF(J593&lt;&gt;0,"Amount differs","Matched")))))))</x:f>
      </x:c>
      <x:c r="L593" t="str">
        <x:f>IF(COUNTA(A593:F593)=0,"",LEN(A593)&amp;":"&amp;A593&amp;LEN(B593)&amp;":"&amp;B593&amp;LEN(C593)&amp;":"&amp;C593&amp;LEN(D593)&amp;":"&amp;D593)</x:f>
      </x:c>
      <x:c r="M593" t="str">
        <x:f>IF(COUNTA(A593:F593)=0,"",IF(ISNUMBER(E593),1,0))</x:f>
      </x:c>
    </x:row>
    <x:row r="594">
      <x:c r="A594" s="11"/>
      <x:c r="B594" s="11"/>
      <x:c r="C594" s="11"/>
      <x:c r="D594" s="11"/>
      <x:c r="E594" s="12"/>
      <x:c r="F594" s="10"/>
      <x:c r="G594" s="2" t="str">
        <x:f>IF(COUNTA(A594:F594)=0,"",COUNTIFS('External Data'!$L$2:$L$1001,SUBSTITUTE(SUBSTITUTE(SUBSTITUTE(L594,"~","~~"),"*","~*"),"?","~?")))</x:f>
      </x:c>
      <x:c r="H594" s="2" t="str">
        <x:f>IF(COUNTA(A594:F594)=0,"",COUNTIFS('App Data'!$L$2:$L$1001,SUBSTITUTE(SUBSTITUTE(SUBSTITUTE(L594,"~","~~"),"*","~*"),"?","~?")))</x:f>
      </x:c>
      <x:c r="I594" s="13" t="str">
        <x:f>IF(OR(H594&lt;&gt;1,G594&lt;&gt;1),"",SUMIFS('App Data'!$E$2:$E$1001,'App Data'!$L$2:$L$1001,SUBSTITUTE(SUBSTITUTE(SUBSTITUTE(L594,"~","~~"),"*","~*"),"?","~?")))</x:f>
      </x:c>
      <x:c r="J594" s="13" t="str">
        <x:f>IF(OR(NOT(ISNUMBER(E594)),NOT(ISNUMBER(I594))),"",ROUND(E594-I594,2))</x:f>
      </x:c>
      <x:c r="K594" s="2" t="str">
        <x:f>IF(COUNTA(A594:F594)=0,"",IF(OR(A594="",B594="",C594="",D594="",NOT(ISNUMBER(E594))),"Missing / invalid input",IF(G594&gt;1,"Duplicate key in this source",IF(H594=0,"Missing in other source",IF(H594&gt;1,"Duplicate in other source",IF(SUMIFS('App Data'!$M$2:$M$1001,'App Data'!$L$2:$L$1001,SUBSTITUTE(SUBSTITUTE(SUBSTITUTE(L594,"~","~~"),"*","~*"),"?","~?"))&lt;&gt;1,"Other amount is invalid",IF(J594&lt;&gt;0,"Amount differs","Matched")))))))</x:f>
      </x:c>
      <x:c r="L594" t="str">
        <x:f>IF(COUNTA(A594:F594)=0,"",LEN(A594)&amp;":"&amp;A594&amp;LEN(B594)&amp;":"&amp;B594&amp;LEN(C594)&amp;":"&amp;C594&amp;LEN(D594)&amp;":"&amp;D594)</x:f>
      </x:c>
      <x:c r="M594" t="str">
        <x:f>IF(COUNTA(A594:F594)=0,"",IF(ISNUMBER(E594),1,0))</x:f>
      </x:c>
    </x:row>
    <x:row r="595">
      <x:c r="A595" s="11"/>
      <x:c r="B595" s="11"/>
      <x:c r="C595" s="11"/>
      <x:c r="D595" s="11"/>
      <x:c r="E595" s="12"/>
      <x:c r="F595" s="10"/>
      <x:c r="G595" s="2" t="str">
        <x:f>IF(COUNTA(A595:F595)=0,"",COUNTIFS('External Data'!$L$2:$L$1001,SUBSTITUTE(SUBSTITUTE(SUBSTITUTE(L595,"~","~~"),"*","~*"),"?","~?")))</x:f>
      </x:c>
      <x:c r="H595" s="2" t="str">
        <x:f>IF(COUNTA(A595:F595)=0,"",COUNTIFS('App Data'!$L$2:$L$1001,SUBSTITUTE(SUBSTITUTE(SUBSTITUTE(L595,"~","~~"),"*","~*"),"?","~?")))</x:f>
      </x:c>
      <x:c r="I595" s="13" t="str">
        <x:f>IF(OR(H595&lt;&gt;1,G595&lt;&gt;1),"",SUMIFS('App Data'!$E$2:$E$1001,'App Data'!$L$2:$L$1001,SUBSTITUTE(SUBSTITUTE(SUBSTITUTE(L595,"~","~~"),"*","~*"),"?","~?")))</x:f>
      </x:c>
      <x:c r="J595" s="13" t="str">
        <x:f>IF(OR(NOT(ISNUMBER(E595)),NOT(ISNUMBER(I595))),"",ROUND(E595-I595,2))</x:f>
      </x:c>
      <x:c r="K595" s="2" t="str">
        <x:f>IF(COUNTA(A595:F595)=0,"",IF(OR(A595="",B595="",C595="",D595="",NOT(ISNUMBER(E595))),"Missing / invalid input",IF(G595&gt;1,"Duplicate key in this source",IF(H595=0,"Missing in other source",IF(H595&gt;1,"Duplicate in other source",IF(SUMIFS('App Data'!$M$2:$M$1001,'App Data'!$L$2:$L$1001,SUBSTITUTE(SUBSTITUTE(SUBSTITUTE(L595,"~","~~"),"*","~*"),"?","~?"))&lt;&gt;1,"Other amount is invalid",IF(J595&lt;&gt;0,"Amount differs","Matched")))))))</x:f>
      </x:c>
      <x:c r="L595" t="str">
        <x:f>IF(COUNTA(A595:F595)=0,"",LEN(A595)&amp;":"&amp;A595&amp;LEN(B595)&amp;":"&amp;B595&amp;LEN(C595)&amp;":"&amp;C595&amp;LEN(D595)&amp;":"&amp;D595)</x:f>
      </x:c>
      <x:c r="M595" t="str">
        <x:f>IF(COUNTA(A595:F595)=0,"",IF(ISNUMBER(E595),1,0))</x:f>
      </x:c>
    </x:row>
    <x:row r="596">
      <x:c r="A596" s="11"/>
      <x:c r="B596" s="11"/>
      <x:c r="C596" s="11"/>
      <x:c r="D596" s="11"/>
      <x:c r="E596" s="12"/>
      <x:c r="F596" s="10"/>
      <x:c r="G596" s="2" t="str">
        <x:f>IF(COUNTA(A596:F596)=0,"",COUNTIFS('External Data'!$L$2:$L$1001,SUBSTITUTE(SUBSTITUTE(SUBSTITUTE(L596,"~","~~"),"*","~*"),"?","~?")))</x:f>
      </x:c>
      <x:c r="H596" s="2" t="str">
        <x:f>IF(COUNTA(A596:F596)=0,"",COUNTIFS('App Data'!$L$2:$L$1001,SUBSTITUTE(SUBSTITUTE(SUBSTITUTE(L596,"~","~~"),"*","~*"),"?","~?")))</x:f>
      </x:c>
      <x:c r="I596" s="13" t="str">
        <x:f>IF(OR(H596&lt;&gt;1,G596&lt;&gt;1),"",SUMIFS('App Data'!$E$2:$E$1001,'App Data'!$L$2:$L$1001,SUBSTITUTE(SUBSTITUTE(SUBSTITUTE(L596,"~","~~"),"*","~*"),"?","~?")))</x:f>
      </x:c>
      <x:c r="J596" s="13" t="str">
        <x:f>IF(OR(NOT(ISNUMBER(E596)),NOT(ISNUMBER(I596))),"",ROUND(E596-I596,2))</x:f>
      </x:c>
      <x:c r="K596" s="2" t="str">
        <x:f>IF(COUNTA(A596:F596)=0,"",IF(OR(A596="",B596="",C596="",D596="",NOT(ISNUMBER(E596))),"Missing / invalid input",IF(G596&gt;1,"Duplicate key in this source",IF(H596=0,"Missing in other source",IF(H596&gt;1,"Duplicate in other source",IF(SUMIFS('App Data'!$M$2:$M$1001,'App Data'!$L$2:$L$1001,SUBSTITUTE(SUBSTITUTE(SUBSTITUTE(L596,"~","~~"),"*","~*"),"?","~?"))&lt;&gt;1,"Other amount is invalid",IF(J596&lt;&gt;0,"Amount differs","Matched")))))))</x:f>
      </x:c>
      <x:c r="L596" t="str">
        <x:f>IF(COUNTA(A596:F596)=0,"",LEN(A596)&amp;":"&amp;A596&amp;LEN(B596)&amp;":"&amp;B596&amp;LEN(C596)&amp;":"&amp;C596&amp;LEN(D596)&amp;":"&amp;D596)</x:f>
      </x:c>
      <x:c r="M596" t="str">
        <x:f>IF(COUNTA(A596:F596)=0,"",IF(ISNUMBER(E596),1,0))</x:f>
      </x:c>
    </x:row>
    <x:row r="597">
      <x:c r="A597" s="11"/>
      <x:c r="B597" s="11"/>
      <x:c r="C597" s="11"/>
      <x:c r="D597" s="11"/>
      <x:c r="E597" s="12"/>
      <x:c r="F597" s="10"/>
      <x:c r="G597" s="2" t="str">
        <x:f>IF(COUNTA(A597:F597)=0,"",COUNTIFS('External Data'!$L$2:$L$1001,SUBSTITUTE(SUBSTITUTE(SUBSTITUTE(L597,"~","~~"),"*","~*"),"?","~?")))</x:f>
      </x:c>
      <x:c r="H597" s="2" t="str">
        <x:f>IF(COUNTA(A597:F597)=0,"",COUNTIFS('App Data'!$L$2:$L$1001,SUBSTITUTE(SUBSTITUTE(SUBSTITUTE(L597,"~","~~"),"*","~*"),"?","~?")))</x:f>
      </x:c>
      <x:c r="I597" s="13" t="str">
        <x:f>IF(OR(H597&lt;&gt;1,G597&lt;&gt;1),"",SUMIFS('App Data'!$E$2:$E$1001,'App Data'!$L$2:$L$1001,SUBSTITUTE(SUBSTITUTE(SUBSTITUTE(L597,"~","~~"),"*","~*"),"?","~?")))</x:f>
      </x:c>
      <x:c r="J597" s="13" t="str">
        <x:f>IF(OR(NOT(ISNUMBER(E597)),NOT(ISNUMBER(I597))),"",ROUND(E597-I597,2))</x:f>
      </x:c>
      <x:c r="K597" s="2" t="str">
        <x:f>IF(COUNTA(A597:F597)=0,"",IF(OR(A597="",B597="",C597="",D597="",NOT(ISNUMBER(E597))),"Missing / invalid input",IF(G597&gt;1,"Duplicate key in this source",IF(H597=0,"Missing in other source",IF(H597&gt;1,"Duplicate in other source",IF(SUMIFS('App Data'!$M$2:$M$1001,'App Data'!$L$2:$L$1001,SUBSTITUTE(SUBSTITUTE(SUBSTITUTE(L597,"~","~~"),"*","~*"),"?","~?"))&lt;&gt;1,"Other amount is invalid",IF(J597&lt;&gt;0,"Amount differs","Matched")))))))</x:f>
      </x:c>
      <x:c r="L597" t="str">
        <x:f>IF(COUNTA(A597:F597)=0,"",LEN(A597)&amp;":"&amp;A597&amp;LEN(B597)&amp;":"&amp;B597&amp;LEN(C597)&amp;":"&amp;C597&amp;LEN(D597)&amp;":"&amp;D597)</x:f>
      </x:c>
      <x:c r="M597" t="str">
        <x:f>IF(COUNTA(A597:F597)=0,"",IF(ISNUMBER(E597),1,0))</x:f>
      </x:c>
    </x:row>
    <x:row r="598">
      <x:c r="A598" s="11"/>
      <x:c r="B598" s="11"/>
      <x:c r="C598" s="11"/>
      <x:c r="D598" s="11"/>
      <x:c r="E598" s="12"/>
      <x:c r="F598" s="10"/>
      <x:c r="G598" s="2" t="str">
        <x:f>IF(COUNTA(A598:F598)=0,"",COUNTIFS('External Data'!$L$2:$L$1001,SUBSTITUTE(SUBSTITUTE(SUBSTITUTE(L598,"~","~~"),"*","~*"),"?","~?")))</x:f>
      </x:c>
      <x:c r="H598" s="2" t="str">
        <x:f>IF(COUNTA(A598:F598)=0,"",COUNTIFS('App Data'!$L$2:$L$1001,SUBSTITUTE(SUBSTITUTE(SUBSTITUTE(L598,"~","~~"),"*","~*"),"?","~?")))</x:f>
      </x:c>
      <x:c r="I598" s="13" t="str">
        <x:f>IF(OR(H598&lt;&gt;1,G598&lt;&gt;1),"",SUMIFS('App Data'!$E$2:$E$1001,'App Data'!$L$2:$L$1001,SUBSTITUTE(SUBSTITUTE(SUBSTITUTE(L598,"~","~~"),"*","~*"),"?","~?")))</x:f>
      </x:c>
      <x:c r="J598" s="13" t="str">
        <x:f>IF(OR(NOT(ISNUMBER(E598)),NOT(ISNUMBER(I598))),"",ROUND(E598-I598,2))</x:f>
      </x:c>
      <x:c r="K598" s="2" t="str">
        <x:f>IF(COUNTA(A598:F598)=0,"",IF(OR(A598="",B598="",C598="",D598="",NOT(ISNUMBER(E598))),"Missing / invalid input",IF(G598&gt;1,"Duplicate key in this source",IF(H598=0,"Missing in other source",IF(H598&gt;1,"Duplicate in other source",IF(SUMIFS('App Data'!$M$2:$M$1001,'App Data'!$L$2:$L$1001,SUBSTITUTE(SUBSTITUTE(SUBSTITUTE(L598,"~","~~"),"*","~*"),"?","~?"))&lt;&gt;1,"Other amount is invalid",IF(J598&lt;&gt;0,"Amount differs","Matched")))))))</x:f>
      </x:c>
      <x:c r="L598" t="str">
        <x:f>IF(COUNTA(A598:F598)=0,"",LEN(A598)&amp;":"&amp;A598&amp;LEN(B598)&amp;":"&amp;B598&amp;LEN(C598)&amp;":"&amp;C598&amp;LEN(D598)&amp;":"&amp;D598)</x:f>
      </x:c>
      <x:c r="M598" t="str">
        <x:f>IF(COUNTA(A598:F598)=0,"",IF(ISNUMBER(E598),1,0))</x:f>
      </x:c>
    </x:row>
    <x:row r="599">
      <x:c r="A599" s="11"/>
      <x:c r="B599" s="11"/>
      <x:c r="C599" s="11"/>
      <x:c r="D599" s="11"/>
      <x:c r="E599" s="12"/>
      <x:c r="F599" s="10"/>
      <x:c r="G599" s="2" t="str">
        <x:f>IF(COUNTA(A599:F599)=0,"",COUNTIFS('External Data'!$L$2:$L$1001,SUBSTITUTE(SUBSTITUTE(SUBSTITUTE(L599,"~","~~"),"*","~*"),"?","~?")))</x:f>
      </x:c>
      <x:c r="H599" s="2" t="str">
        <x:f>IF(COUNTA(A599:F599)=0,"",COUNTIFS('App Data'!$L$2:$L$1001,SUBSTITUTE(SUBSTITUTE(SUBSTITUTE(L599,"~","~~"),"*","~*"),"?","~?")))</x:f>
      </x:c>
      <x:c r="I599" s="13" t="str">
        <x:f>IF(OR(H599&lt;&gt;1,G599&lt;&gt;1),"",SUMIFS('App Data'!$E$2:$E$1001,'App Data'!$L$2:$L$1001,SUBSTITUTE(SUBSTITUTE(SUBSTITUTE(L599,"~","~~"),"*","~*"),"?","~?")))</x:f>
      </x:c>
      <x:c r="J599" s="13" t="str">
        <x:f>IF(OR(NOT(ISNUMBER(E599)),NOT(ISNUMBER(I599))),"",ROUND(E599-I599,2))</x:f>
      </x:c>
      <x:c r="K599" s="2" t="str">
        <x:f>IF(COUNTA(A599:F599)=0,"",IF(OR(A599="",B599="",C599="",D599="",NOT(ISNUMBER(E599))),"Missing / invalid input",IF(G599&gt;1,"Duplicate key in this source",IF(H599=0,"Missing in other source",IF(H599&gt;1,"Duplicate in other source",IF(SUMIFS('App Data'!$M$2:$M$1001,'App Data'!$L$2:$L$1001,SUBSTITUTE(SUBSTITUTE(SUBSTITUTE(L599,"~","~~"),"*","~*"),"?","~?"))&lt;&gt;1,"Other amount is invalid",IF(J599&lt;&gt;0,"Amount differs","Matched")))))))</x:f>
      </x:c>
      <x:c r="L599" t="str">
        <x:f>IF(COUNTA(A599:F599)=0,"",LEN(A599)&amp;":"&amp;A599&amp;LEN(B599)&amp;":"&amp;B599&amp;LEN(C599)&amp;":"&amp;C599&amp;LEN(D599)&amp;":"&amp;D599)</x:f>
      </x:c>
      <x:c r="M599" t="str">
        <x:f>IF(COUNTA(A599:F599)=0,"",IF(ISNUMBER(E599),1,0))</x:f>
      </x:c>
    </x:row>
    <x:row r="600">
      <x:c r="A600" s="11"/>
      <x:c r="B600" s="11"/>
      <x:c r="C600" s="11"/>
      <x:c r="D600" s="11"/>
      <x:c r="E600" s="12"/>
      <x:c r="F600" s="10"/>
      <x:c r="G600" s="2" t="str">
        <x:f>IF(COUNTA(A600:F600)=0,"",COUNTIFS('External Data'!$L$2:$L$1001,SUBSTITUTE(SUBSTITUTE(SUBSTITUTE(L600,"~","~~"),"*","~*"),"?","~?")))</x:f>
      </x:c>
      <x:c r="H600" s="2" t="str">
        <x:f>IF(COUNTA(A600:F600)=0,"",COUNTIFS('App Data'!$L$2:$L$1001,SUBSTITUTE(SUBSTITUTE(SUBSTITUTE(L600,"~","~~"),"*","~*"),"?","~?")))</x:f>
      </x:c>
      <x:c r="I600" s="13" t="str">
        <x:f>IF(OR(H600&lt;&gt;1,G600&lt;&gt;1),"",SUMIFS('App Data'!$E$2:$E$1001,'App Data'!$L$2:$L$1001,SUBSTITUTE(SUBSTITUTE(SUBSTITUTE(L600,"~","~~"),"*","~*"),"?","~?")))</x:f>
      </x:c>
      <x:c r="J600" s="13" t="str">
        <x:f>IF(OR(NOT(ISNUMBER(E600)),NOT(ISNUMBER(I600))),"",ROUND(E600-I600,2))</x:f>
      </x:c>
      <x:c r="K600" s="2" t="str">
        <x:f>IF(COUNTA(A600:F600)=0,"",IF(OR(A600="",B600="",C600="",D600="",NOT(ISNUMBER(E600))),"Missing / invalid input",IF(G600&gt;1,"Duplicate key in this source",IF(H600=0,"Missing in other source",IF(H600&gt;1,"Duplicate in other source",IF(SUMIFS('App Data'!$M$2:$M$1001,'App Data'!$L$2:$L$1001,SUBSTITUTE(SUBSTITUTE(SUBSTITUTE(L600,"~","~~"),"*","~*"),"?","~?"))&lt;&gt;1,"Other amount is invalid",IF(J600&lt;&gt;0,"Amount differs","Matched")))))))</x:f>
      </x:c>
      <x:c r="L600" t="str">
        <x:f>IF(COUNTA(A600:F600)=0,"",LEN(A600)&amp;":"&amp;A600&amp;LEN(B600)&amp;":"&amp;B600&amp;LEN(C600)&amp;":"&amp;C600&amp;LEN(D600)&amp;":"&amp;D600)</x:f>
      </x:c>
      <x:c r="M600" t="str">
        <x:f>IF(COUNTA(A600:F600)=0,"",IF(ISNUMBER(E600),1,0))</x:f>
      </x:c>
    </x:row>
    <x:row r="601">
      <x:c r="A601" s="11"/>
      <x:c r="B601" s="11"/>
      <x:c r="C601" s="11"/>
      <x:c r="D601" s="11"/>
      <x:c r="E601" s="12"/>
      <x:c r="F601" s="10"/>
      <x:c r="G601" s="2" t="str">
        <x:f>IF(COUNTA(A601:F601)=0,"",COUNTIFS('External Data'!$L$2:$L$1001,SUBSTITUTE(SUBSTITUTE(SUBSTITUTE(L601,"~","~~"),"*","~*"),"?","~?")))</x:f>
      </x:c>
      <x:c r="H601" s="2" t="str">
        <x:f>IF(COUNTA(A601:F601)=0,"",COUNTIFS('App Data'!$L$2:$L$1001,SUBSTITUTE(SUBSTITUTE(SUBSTITUTE(L601,"~","~~"),"*","~*"),"?","~?")))</x:f>
      </x:c>
      <x:c r="I601" s="13" t="str">
        <x:f>IF(OR(H601&lt;&gt;1,G601&lt;&gt;1),"",SUMIFS('App Data'!$E$2:$E$1001,'App Data'!$L$2:$L$1001,SUBSTITUTE(SUBSTITUTE(SUBSTITUTE(L601,"~","~~"),"*","~*"),"?","~?")))</x:f>
      </x:c>
      <x:c r="J601" s="13" t="str">
        <x:f>IF(OR(NOT(ISNUMBER(E601)),NOT(ISNUMBER(I601))),"",ROUND(E601-I601,2))</x:f>
      </x:c>
      <x:c r="K601" s="2" t="str">
        <x:f>IF(COUNTA(A601:F601)=0,"",IF(OR(A601="",B601="",C601="",D601="",NOT(ISNUMBER(E601))),"Missing / invalid input",IF(G601&gt;1,"Duplicate key in this source",IF(H601=0,"Missing in other source",IF(H601&gt;1,"Duplicate in other source",IF(SUMIFS('App Data'!$M$2:$M$1001,'App Data'!$L$2:$L$1001,SUBSTITUTE(SUBSTITUTE(SUBSTITUTE(L601,"~","~~"),"*","~*"),"?","~?"))&lt;&gt;1,"Other amount is invalid",IF(J601&lt;&gt;0,"Amount differs","Matched")))))))</x:f>
      </x:c>
      <x:c r="L601" t="str">
        <x:f>IF(COUNTA(A601:F601)=0,"",LEN(A601)&amp;":"&amp;A601&amp;LEN(B601)&amp;":"&amp;B601&amp;LEN(C601)&amp;":"&amp;C601&amp;LEN(D601)&amp;":"&amp;D601)</x:f>
      </x:c>
      <x:c r="M601" t="str">
        <x:f>IF(COUNTA(A601:F601)=0,"",IF(ISNUMBER(E601),1,0))</x:f>
      </x:c>
    </x:row>
    <x:row r="602">
      <x:c r="A602" s="11"/>
      <x:c r="B602" s="11"/>
      <x:c r="C602" s="11"/>
      <x:c r="D602" s="11"/>
      <x:c r="E602" s="12"/>
      <x:c r="F602" s="10"/>
      <x:c r="G602" s="2" t="str">
        <x:f>IF(COUNTA(A602:F602)=0,"",COUNTIFS('External Data'!$L$2:$L$1001,SUBSTITUTE(SUBSTITUTE(SUBSTITUTE(L602,"~","~~"),"*","~*"),"?","~?")))</x:f>
      </x:c>
      <x:c r="H602" s="2" t="str">
        <x:f>IF(COUNTA(A602:F602)=0,"",COUNTIFS('App Data'!$L$2:$L$1001,SUBSTITUTE(SUBSTITUTE(SUBSTITUTE(L602,"~","~~"),"*","~*"),"?","~?")))</x:f>
      </x:c>
      <x:c r="I602" s="13" t="str">
        <x:f>IF(OR(H602&lt;&gt;1,G602&lt;&gt;1),"",SUMIFS('App Data'!$E$2:$E$1001,'App Data'!$L$2:$L$1001,SUBSTITUTE(SUBSTITUTE(SUBSTITUTE(L602,"~","~~"),"*","~*"),"?","~?")))</x:f>
      </x:c>
      <x:c r="J602" s="13" t="str">
        <x:f>IF(OR(NOT(ISNUMBER(E602)),NOT(ISNUMBER(I602))),"",ROUND(E602-I602,2))</x:f>
      </x:c>
      <x:c r="K602" s="2" t="str">
        <x:f>IF(COUNTA(A602:F602)=0,"",IF(OR(A602="",B602="",C602="",D602="",NOT(ISNUMBER(E602))),"Missing / invalid input",IF(G602&gt;1,"Duplicate key in this source",IF(H602=0,"Missing in other source",IF(H602&gt;1,"Duplicate in other source",IF(SUMIFS('App Data'!$M$2:$M$1001,'App Data'!$L$2:$L$1001,SUBSTITUTE(SUBSTITUTE(SUBSTITUTE(L602,"~","~~"),"*","~*"),"?","~?"))&lt;&gt;1,"Other amount is invalid",IF(J602&lt;&gt;0,"Amount differs","Matched")))))))</x:f>
      </x:c>
      <x:c r="L602" t="str">
        <x:f>IF(COUNTA(A602:F602)=0,"",LEN(A602)&amp;":"&amp;A602&amp;LEN(B602)&amp;":"&amp;B602&amp;LEN(C602)&amp;":"&amp;C602&amp;LEN(D602)&amp;":"&amp;D602)</x:f>
      </x:c>
      <x:c r="M602" t="str">
        <x:f>IF(COUNTA(A602:F602)=0,"",IF(ISNUMBER(E602),1,0))</x:f>
      </x:c>
    </x:row>
    <x:row r="603">
      <x:c r="A603" s="11"/>
      <x:c r="B603" s="11"/>
      <x:c r="C603" s="11"/>
      <x:c r="D603" s="11"/>
      <x:c r="E603" s="12"/>
      <x:c r="F603" s="10"/>
      <x:c r="G603" s="2" t="str">
        <x:f>IF(COUNTA(A603:F603)=0,"",COUNTIFS('External Data'!$L$2:$L$1001,SUBSTITUTE(SUBSTITUTE(SUBSTITUTE(L603,"~","~~"),"*","~*"),"?","~?")))</x:f>
      </x:c>
      <x:c r="H603" s="2" t="str">
        <x:f>IF(COUNTA(A603:F603)=0,"",COUNTIFS('App Data'!$L$2:$L$1001,SUBSTITUTE(SUBSTITUTE(SUBSTITUTE(L603,"~","~~"),"*","~*"),"?","~?")))</x:f>
      </x:c>
      <x:c r="I603" s="13" t="str">
        <x:f>IF(OR(H603&lt;&gt;1,G603&lt;&gt;1),"",SUMIFS('App Data'!$E$2:$E$1001,'App Data'!$L$2:$L$1001,SUBSTITUTE(SUBSTITUTE(SUBSTITUTE(L603,"~","~~"),"*","~*"),"?","~?")))</x:f>
      </x:c>
      <x:c r="J603" s="13" t="str">
        <x:f>IF(OR(NOT(ISNUMBER(E603)),NOT(ISNUMBER(I603))),"",ROUND(E603-I603,2))</x:f>
      </x:c>
      <x:c r="K603" s="2" t="str">
        <x:f>IF(COUNTA(A603:F603)=0,"",IF(OR(A603="",B603="",C603="",D603="",NOT(ISNUMBER(E603))),"Missing / invalid input",IF(G603&gt;1,"Duplicate key in this source",IF(H603=0,"Missing in other source",IF(H603&gt;1,"Duplicate in other source",IF(SUMIFS('App Data'!$M$2:$M$1001,'App Data'!$L$2:$L$1001,SUBSTITUTE(SUBSTITUTE(SUBSTITUTE(L603,"~","~~"),"*","~*"),"?","~?"))&lt;&gt;1,"Other amount is invalid",IF(J603&lt;&gt;0,"Amount differs","Matched")))))))</x:f>
      </x:c>
      <x:c r="L603" t="str">
        <x:f>IF(COUNTA(A603:F603)=0,"",LEN(A603)&amp;":"&amp;A603&amp;LEN(B603)&amp;":"&amp;B603&amp;LEN(C603)&amp;":"&amp;C603&amp;LEN(D603)&amp;":"&amp;D603)</x:f>
      </x:c>
      <x:c r="M603" t="str">
        <x:f>IF(COUNTA(A603:F603)=0,"",IF(ISNUMBER(E603),1,0))</x:f>
      </x:c>
    </x:row>
    <x:row r="604">
      <x:c r="A604" s="11"/>
      <x:c r="B604" s="11"/>
      <x:c r="C604" s="11"/>
      <x:c r="D604" s="11"/>
      <x:c r="E604" s="12"/>
      <x:c r="F604" s="10"/>
      <x:c r="G604" s="2" t="str">
        <x:f>IF(COUNTA(A604:F604)=0,"",COUNTIFS('External Data'!$L$2:$L$1001,SUBSTITUTE(SUBSTITUTE(SUBSTITUTE(L604,"~","~~"),"*","~*"),"?","~?")))</x:f>
      </x:c>
      <x:c r="H604" s="2" t="str">
        <x:f>IF(COUNTA(A604:F604)=0,"",COUNTIFS('App Data'!$L$2:$L$1001,SUBSTITUTE(SUBSTITUTE(SUBSTITUTE(L604,"~","~~"),"*","~*"),"?","~?")))</x:f>
      </x:c>
      <x:c r="I604" s="13" t="str">
        <x:f>IF(OR(H604&lt;&gt;1,G604&lt;&gt;1),"",SUMIFS('App Data'!$E$2:$E$1001,'App Data'!$L$2:$L$1001,SUBSTITUTE(SUBSTITUTE(SUBSTITUTE(L604,"~","~~"),"*","~*"),"?","~?")))</x:f>
      </x:c>
      <x:c r="J604" s="13" t="str">
        <x:f>IF(OR(NOT(ISNUMBER(E604)),NOT(ISNUMBER(I604))),"",ROUND(E604-I604,2))</x:f>
      </x:c>
      <x:c r="K604" s="2" t="str">
        <x:f>IF(COUNTA(A604:F604)=0,"",IF(OR(A604="",B604="",C604="",D604="",NOT(ISNUMBER(E604))),"Missing / invalid input",IF(G604&gt;1,"Duplicate key in this source",IF(H604=0,"Missing in other source",IF(H604&gt;1,"Duplicate in other source",IF(SUMIFS('App Data'!$M$2:$M$1001,'App Data'!$L$2:$L$1001,SUBSTITUTE(SUBSTITUTE(SUBSTITUTE(L604,"~","~~"),"*","~*"),"?","~?"))&lt;&gt;1,"Other amount is invalid",IF(J604&lt;&gt;0,"Amount differs","Matched")))))))</x:f>
      </x:c>
      <x:c r="L604" t="str">
        <x:f>IF(COUNTA(A604:F604)=0,"",LEN(A604)&amp;":"&amp;A604&amp;LEN(B604)&amp;":"&amp;B604&amp;LEN(C604)&amp;":"&amp;C604&amp;LEN(D604)&amp;":"&amp;D604)</x:f>
      </x:c>
      <x:c r="M604" t="str">
        <x:f>IF(COUNTA(A604:F604)=0,"",IF(ISNUMBER(E604),1,0))</x:f>
      </x:c>
    </x:row>
    <x:row r="605">
      <x:c r="A605" s="11"/>
      <x:c r="B605" s="11"/>
      <x:c r="C605" s="11"/>
      <x:c r="D605" s="11"/>
      <x:c r="E605" s="12"/>
      <x:c r="F605" s="10"/>
      <x:c r="G605" s="2" t="str">
        <x:f>IF(COUNTA(A605:F605)=0,"",COUNTIFS('External Data'!$L$2:$L$1001,SUBSTITUTE(SUBSTITUTE(SUBSTITUTE(L605,"~","~~"),"*","~*"),"?","~?")))</x:f>
      </x:c>
      <x:c r="H605" s="2" t="str">
        <x:f>IF(COUNTA(A605:F605)=0,"",COUNTIFS('App Data'!$L$2:$L$1001,SUBSTITUTE(SUBSTITUTE(SUBSTITUTE(L605,"~","~~"),"*","~*"),"?","~?")))</x:f>
      </x:c>
      <x:c r="I605" s="13" t="str">
        <x:f>IF(OR(H605&lt;&gt;1,G605&lt;&gt;1),"",SUMIFS('App Data'!$E$2:$E$1001,'App Data'!$L$2:$L$1001,SUBSTITUTE(SUBSTITUTE(SUBSTITUTE(L605,"~","~~"),"*","~*"),"?","~?")))</x:f>
      </x:c>
      <x:c r="J605" s="13" t="str">
        <x:f>IF(OR(NOT(ISNUMBER(E605)),NOT(ISNUMBER(I605))),"",ROUND(E605-I605,2))</x:f>
      </x:c>
      <x:c r="K605" s="2" t="str">
        <x:f>IF(COUNTA(A605:F605)=0,"",IF(OR(A605="",B605="",C605="",D605="",NOT(ISNUMBER(E605))),"Missing / invalid input",IF(G605&gt;1,"Duplicate key in this source",IF(H605=0,"Missing in other source",IF(H605&gt;1,"Duplicate in other source",IF(SUMIFS('App Data'!$M$2:$M$1001,'App Data'!$L$2:$L$1001,SUBSTITUTE(SUBSTITUTE(SUBSTITUTE(L605,"~","~~"),"*","~*"),"?","~?"))&lt;&gt;1,"Other amount is invalid",IF(J605&lt;&gt;0,"Amount differs","Matched")))))))</x:f>
      </x:c>
      <x:c r="L605" t="str">
        <x:f>IF(COUNTA(A605:F605)=0,"",LEN(A605)&amp;":"&amp;A605&amp;LEN(B605)&amp;":"&amp;B605&amp;LEN(C605)&amp;":"&amp;C605&amp;LEN(D605)&amp;":"&amp;D605)</x:f>
      </x:c>
      <x:c r="M605" t="str">
        <x:f>IF(COUNTA(A605:F605)=0,"",IF(ISNUMBER(E605),1,0))</x:f>
      </x:c>
    </x:row>
    <x:row r="606">
      <x:c r="A606" s="11"/>
      <x:c r="B606" s="11"/>
      <x:c r="C606" s="11"/>
      <x:c r="D606" s="11"/>
      <x:c r="E606" s="12"/>
      <x:c r="F606" s="10"/>
      <x:c r="G606" s="2" t="str">
        <x:f>IF(COUNTA(A606:F606)=0,"",COUNTIFS('External Data'!$L$2:$L$1001,SUBSTITUTE(SUBSTITUTE(SUBSTITUTE(L606,"~","~~"),"*","~*"),"?","~?")))</x:f>
      </x:c>
      <x:c r="H606" s="2" t="str">
        <x:f>IF(COUNTA(A606:F606)=0,"",COUNTIFS('App Data'!$L$2:$L$1001,SUBSTITUTE(SUBSTITUTE(SUBSTITUTE(L606,"~","~~"),"*","~*"),"?","~?")))</x:f>
      </x:c>
      <x:c r="I606" s="13" t="str">
        <x:f>IF(OR(H606&lt;&gt;1,G606&lt;&gt;1),"",SUMIFS('App Data'!$E$2:$E$1001,'App Data'!$L$2:$L$1001,SUBSTITUTE(SUBSTITUTE(SUBSTITUTE(L606,"~","~~"),"*","~*"),"?","~?")))</x:f>
      </x:c>
      <x:c r="J606" s="13" t="str">
        <x:f>IF(OR(NOT(ISNUMBER(E606)),NOT(ISNUMBER(I606))),"",ROUND(E606-I606,2))</x:f>
      </x:c>
      <x:c r="K606" s="2" t="str">
        <x:f>IF(COUNTA(A606:F606)=0,"",IF(OR(A606="",B606="",C606="",D606="",NOT(ISNUMBER(E606))),"Missing / invalid input",IF(G606&gt;1,"Duplicate key in this source",IF(H606=0,"Missing in other source",IF(H606&gt;1,"Duplicate in other source",IF(SUMIFS('App Data'!$M$2:$M$1001,'App Data'!$L$2:$L$1001,SUBSTITUTE(SUBSTITUTE(SUBSTITUTE(L606,"~","~~"),"*","~*"),"?","~?"))&lt;&gt;1,"Other amount is invalid",IF(J606&lt;&gt;0,"Amount differs","Matched")))))))</x:f>
      </x:c>
      <x:c r="L606" t="str">
        <x:f>IF(COUNTA(A606:F606)=0,"",LEN(A606)&amp;":"&amp;A606&amp;LEN(B606)&amp;":"&amp;B606&amp;LEN(C606)&amp;":"&amp;C606&amp;LEN(D606)&amp;":"&amp;D606)</x:f>
      </x:c>
      <x:c r="M606" t="str">
        <x:f>IF(COUNTA(A606:F606)=0,"",IF(ISNUMBER(E606),1,0))</x:f>
      </x:c>
    </x:row>
    <x:row r="607">
      <x:c r="A607" s="11"/>
      <x:c r="B607" s="11"/>
      <x:c r="C607" s="11"/>
      <x:c r="D607" s="11"/>
      <x:c r="E607" s="12"/>
      <x:c r="F607" s="10"/>
      <x:c r="G607" s="2" t="str">
        <x:f>IF(COUNTA(A607:F607)=0,"",COUNTIFS('External Data'!$L$2:$L$1001,SUBSTITUTE(SUBSTITUTE(SUBSTITUTE(L607,"~","~~"),"*","~*"),"?","~?")))</x:f>
      </x:c>
      <x:c r="H607" s="2" t="str">
        <x:f>IF(COUNTA(A607:F607)=0,"",COUNTIFS('App Data'!$L$2:$L$1001,SUBSTITUTE(SUBSTITUTE(SUBSTITUTE(L607,"~","~~"),"*","~*"),"?","~?")))</x:f>
      </x:c>
      <x:c r="I607" s="13" t="str">
        <x:f>IF(OR(H607&lt;&gt;1,G607&lt;&gt;1),"",SUMIFS('App Data'!$E$2:$E$1001,'App Data'!$L$2:$L$1001,SUBSTITUTE(SUBSTITUTE(SUBSTITUTE(L607,"~","~~"),"*","~*"),"?","~?")))</x:f>
      </x:c>
      <x:c r="J607" s="13" t="str">
        <x:f>IF(OR(NOT(ISNUMBER(E607)),NOT(ISNUMBER(I607))),"",ROUND(E607-I607,2))</x:f>
      </x:c>
      <x:c r="K607" s="2" t="str">
        <x:f>IF(COUNTA(A607:F607)=0,"",IF(OR(A607="",B607="",C607="",D607="",NOT(ISNUMBER(E607))),"Missing / invalid input",IF(G607&gt;1,"Duplicate key in this source",IF(H607=0,"Missing in other source",IF(H607&gt;1,"Duplicate in other source",IF(SUMIFS('App Data'!$M$2:$M$1001,'App Data'!$L$2:$L$1001,SUBSTITUTE(SUBSTITUTE(SUBSTITUTE(L607,"~","~~"),"*","~*"),"?","~?"))&lt;&gt;1,"Other amount is invalid",IF(J607&lt;&gt;0,"Amount differs","Matched")))))))</x:f>
      </x:c>
      <x:c r="L607" t="str">
        <x:f>IF(COUNTA(A607:F607)=0,"",LEN(A607)&amp;":"&amp;A607&amp;LEN(B607)&amp;":"&amp;B607&amp;LEN(C607)&amp;":"&amp;C607&amp;LEN(D607)&amp;":"&amp;D607)</x:f>
      </x:c>
      <x:c r="M607" t="str">
        <x:f>IF(COUNTA(A607:F607)=0,"",IF(ISNUMBER(E607),1,0))</x:f>
      </x:c>
    </x:row>
    <x:row r="608">
      <x:c r="A608" s="11"/>
      <x:c r="B608" s="11"/>
      <x:c r="C608" s="11"/>
      <x:c r="D608" s="11"/>
      <x:c r="E608" s="12"/>
      <x:c r="F608" s="10"/>
      <x:c r="G608" s="2" t="str">
        <x:f>IF(COUNTA(A608:F608)=0,"",COUNTIFS('External Data'!$L$2:$L$1001,SUBSTITUTE(SUBSTITUTE(SUBSTITUTE(L608,"~","~~"),"*","~*"),"?","~?")))</x:f>
      </x:c>
      <x:c r="H608" s="2" t="str">
        <x:f>IF(COUNTA(A608:F608)=0,"",COUNTIFS('App Data'!$L$2:$L$1001,SUBSTITUTE(SUBSTITUTE(SUBSTITUTE(L608,"~","~~"),"*","~*"),"?","~?")))</x:f>
      </x:c>
      <x:c r="I608" s="13" t="str">
        <x:f>IF(OR(H608&lt;&gt;1,G608&lt;&gt;1),"",SUMIFS('App Data'!$E$2:$E$1001,'App Data'!$L$2:$L$1001,SUBSTITUTE(SUBSTITUTE(SUBSTITUTE(L608,"~","~~"),"*","~*"),"?","~?")))</x:f>
      </x:c>
      <x:c r="J608" s="13" t="str">
        <x:f>IF(OR(NOT(ISNUMBER(E608)),NOT(ISNUMBER(I608))),"",ROUND(E608-I608,2))</x:f>
      </x:c>
      <x:c r="K608" s="2" t="str">
        <x:f>IF(COUNTA(A608:F608)=0,"",IF(OR(A608="",B608="",C608="",D608="",NOT(ISNUMBER(E608))),"Missing / invalid input",IF(G608&gt;1,"Duplicate key in this source",IF(H608=0,"Missing in other source",IF(H608&gt;1,"Duplicate in other source",IF(SUMIFS('App Data'!$M$2:$M$1001,'App Data'!$L$2:$L$1001,SUBSTITUTE(SUBSTITUTE(SUBSTITUTE(L608,"~","~~"),"*","~*"),"?","~?"))&lt;&gt;1,"Other amount is invalid",IF(J608&lt;&gt;0,"Amount differs","Matched")))))))</x:f>
      </x:c>
      <x:c r="L608" t="str">
        <x:f>IF(COUNTA(A608:F608)=0,"",LEN(A608)&amp;":"&amp;A608&amp;LEN(B608)&amp;":"&amp;B608&amp;LEN(C608)&amp;":"&amp;C608&amp;LEN(D608)&amp;":"&amp;D608)</x:f>
      </x:c>
      <x:c r="M608" t="str">
        <x:f>IF(COUNTA(A608:F608)=0,"",IF(ISNUMBER(E608),1,0))</x:f>
      </x:c>
    </x:row>
    <x:row r="609">
      <x:c r="A609" s="11"/>
      <x:c r="B609" s="11"/>
      <x:c r="C609" s="11"/>
      <x:c r="D609" s="11"/>
      <x:c r="E609" s="12"/>
      <x:c r="F609" s="10"/>
      <x:c r="G609" s="2" t="str">
        <x:f>IF(COUNTA(A609:F609)=0,"",COUNTIFS('External Data'!$L$2:$L$1001,SUBSTITUTE(SUBSTITUTE(SUBSTITUTE(L609,"~","~~"),"*","~*"),"?","~?")))</x:f>
      </x:c>
      <x:c r="H609" s="2" t="str">
        <x:f>IF(COUNTA(A609:F609)=0,"",COUNTIFS('App Data'!$L$2:$L$1001,SUBSTITUTE(SUBSTITUTE(SUBSTITUTE(L609,"~","~~"),"*","~*"),"?","~?")))</x:f>
      </x:c>
      <x:c r="I609" s="13" t="str">
        <x:f>IF(OR(H609&lt;&gt;1,G609&lt;&gt;1),"",SUMIFS('App Data'!$E$2:$E$1001,'App Data'!$L$2:$L$1001,SUBSTITUTE(SUBSTITUTE(SUBSTITUTE(L609,"~","~~"),"*","~*"),"?","~?")))</x:f>
      </x:c>
      <x:c r="J609" s="13" t="str">
        <x:f>IF(OR(NOT(ISNUMBER(E609)),NOT(ISNUMBER(I609))),"",ROUND(E609-I609,2))</x:f>
      </x:c>
      <x:c r="K609" s="2" t="str">
        <x:f>IF(COUNTA(A609:F609)=0,"",IF(OR(A609="",B609="",C609="",D609="",NOT(ISNUMBER(E609))),"Missing / invalid input",IF(G609&gt;1,"Duplicate key in this source",IF(H609=0,"Missing in other source",IF(H609&gt;1,"Duplicate in other source",IF(SUMIFS('App Data'!$M$2:$M$1001,'App Data'!$L$2:$L$1001,SUBSTITUTE(SUBSTITUTE(SUBSTITUTE(L609,"~","~~"),"*","~*"),"?","~?"))&lt;&gt;1,"Other amount is invalid",IF(J609&lt;&gt;0,"Amount differs","Matched")))))))</x:f>
      </x:c>
      <x:c r="L609" t="str">
        <x:f>IF(COUNTA(A609:F609)=0,"",LEN(A609)&amp;":"&amp;A609&amp;LEN(B609)&amp;":"&amp;B609&amp;LEN(C609)&amp;":"&amp;C609&amp;LEN(D609)&amp;":"&amp;D609)</x:f>
      </x:c>
      <x:c r="M609" t="str">
        <x:f>IF(COUNTA(A609:F609)=0,"",IF(ISNUMBER(E609),1,0))</x:f>
      </x:c>
    </x:row>
    <x:row r="610">
      <x:c r="A610" s="11"/>
      <x:c r="B610" s="11"/>
      <x:c r="C610" s="11"/>
      <x:c r="D610" s="11"/>
      <x:c r="E610" s="12"/>
      <x:c r="F610" s="10"/>
      <x:c r="G610" s="2" t="str">
        <x:f>IF(COUNTA(A610:F610)=0,"",COUNTIFS('External Data'!$L$2:$L$1001,SUBSTITUTE(SUBSTITUTE(SUBSTITUTE(L610,"~","~~"),"*","~*"),"?","~?")))</x:f>
      </x:c>
      <x:c r="H610" s="2" t="str">
        <x:f>IF(COUNTA(A610:F610)=0,"",COUNTIFS('App Data'!$L$2:$L$1001,SUBSTITUTE(SUBSTITUTE(SUBSTITUTE(L610,"~","~~"),"*","~*"),"?","~?")))</x:f>
      </x:c>
      <x:c r="I610" s="13" t="str">
        <x:f>IF(OR(H610&lt;&gt;1,G610&lt;&gt;1),"",SUMIFS('App Data'!$E$2:$E$1001,'App Data'!$L$2:$L$1001,SUBSTITUTE(SUBSTITUTE(SUBSTITUTE(L610,"~","~~"),"*","~*"),"?","~?")))</x:f>
      </x:c>
      <x:c r="J610" s="13" t="str">
        <x:f>IF(OR(NOT(ISNUMBER(E610)),NOT(ISNUMBER(I610))),"",ROUND(E610-I610,2))</x:f>
      </x:c>
      <x:c r="K610" s="2" t="str">
        <x:f>IF(COUNTA(A610:F610)=0,"",IF(OR(A610="",B610="",C610="",D610="",NOT(ISNUMBER(E610))),"Missing / invalid input",IF(G610&gt;1,"Duplicate key in this source",IF(H610=0,"Missing in other source",IF(H610&gt;1,"Duplicate in other source",IF(SUMIFS('App Data'!$M$2:$M$1001,'App Data'!$L$2:$L$1001,SUBSTITUTE(SUBSTITUTE(SUBSTITUTE(L610,"~","~~"),"*","~*"),"?","~?"))&lt;&gt;1,"Other amount is invalid",IF(J610&lt;&gt;0,"Amount differs","Matched")))))))</x:f>
      </x:c>
      <x:c r="L610" t="str">
        <x:f>IF(COUNTA(A610:F610)=0,"",LEN(A610)&amp;":"&amp;A610&amp;LEN(B610)&amp;":"&amp;B610&amp;LEN(C610)&amp;":"&amp;C610&amp;LEN(D610)&amp;":"&amp;D610)</x:f>
      </x:c>
      <x:c r="M610" t="str">
        <x:f>IF(COUNTA(A610:F610)=0,"",IF(ISNUMBER(E610),1,0))</x:f>
      </x:c>
    </x:row>
    <x:row r="611">
      <x:c r="A611" s="11"/>
      <x:c r="B611" s="11"/>
      <x:c r="C611" s="11"/>
      <x:c r="D611" s="11"/>
      <x:c r="E611" s="12"/>
      <x:c r="F611" s="10"/>
      <x:c r="G611" s="2" t="str">
        <x:f>IF(COUNTA(A611:F611)=0,"",COUNTIFS('External Data'!$L$2:$L$1001,SUBSTITUTE(SUBSTITUTE(SUBSTITUTE(L611,"~","~~"),"*","~*"),"?","~?")))</x:f>
      </x:c>
      <x:c r="H611" s="2" t="str">
        <x:f>IF(COUNTA(A611:F611)=0,"",COUNTIFS('App Data'!$L$2:$L$1001,SUBSTITUTE(SUBSTITUTE(SUBSTITUTE(L611,"~","~~"),"*","~*"),"?","~?")))</x:f>
      </x:c>
      <x:c r="I611" s="13" t="str">
        <x:f>IF(OR(H611&lt;&gt;1,G611&lt;&gt;1),"",SUMIFS('App Data'!$E$2:$E$1001,'App Data'!$L$2:$L$1001,SUBSTITUTE(SUBSTITUTE(SUBSTITUTE(L611,"~","~~"),"*","~*"),"?","~?")))</x:f>
      </x:c>
      <x:c r="J611" s="13" t="str">
        <x:f>IF(OR(NOT(ISNUMBER(E611)),NOT(ISNUMBER(I611))),"",ROUND(E611-I611,2))</x:f>
      </x:c>
      <x:c r="K611" s="2" t="str">
        <x:f>IF(COUNTA(A611:F611)=0,"",IF(OR(A611="",B611="",C611="",D611="",NOT(ISNUMBER(E611))),"Missing / invalid input",IF(G611&gt;1,"Duplicate key in this source",IF(H611=0,"Missing in other source",IF(H611&gt;1,"Duplicate in other source",IF(SUMIFS('App Data'!$M$2:$M$1001,'App Data'!$L$2:$L$1001,SUBSTITUTE(SUBSTITUTE(SUBSTITUTE(L611,"~","~~"),"*","~*"),"?","~?"))&lt;&gt;1,"Other amount is invalid",IF(J611&lt;&gt;0,"Amount differs","Matched")))))))</x:f>
      </x:c>
      <x:c r="L611" t="str">
        <x:f>IF(COUNTA(A611:F611)=0,"",LEN(A611)&amp;":"&amp;A611&amp;LEN(B611)&amp;":"&amp;B611&amp;LEN(C611)&amp;":"&amp;C611&amp;LEN(D611)&amp;":"&amp;D611)</x:f>
      </x:c>
      <x:c r="M611" t="str">
        <x:f>IF(COUNTA(A611:F611)=0,"",IF(ISNUMBER(E611),1,0))</x:f>
      </x:c>
    </x:row>
    <x:row r="612">
      <x:c r="A612" s="11"/>
      <x:c r="B612" s="11"/>
      <x:c r="C612" s="11"/>
      <x:c r="D612" s="11"/>
      <x:c r="E612" s="12"/>
      <x:c r="F612" s="10"/>
      <x:c r="G612" s="2" t="str">
        <x:f>IF(COUNTA(A612:F612)=0,"",COUNTIFS('External Data'!$L$2:$L$1001,SUBSTITUTE(SUBSTITUTE(SUBSTITUTE(L612,"~","~~"),"*","~*"),"?","~?")))</x:f>
      </x:c>
      <x:c r="H612" s="2" t="str">
        <x:f>IF(COUNTA(A612:F612)=0,"",COUNTIFS('App Data'!$L$2:$L$1001,SUBSTITUTE(SUBSTITUTE(SUBSTITUTE(L612,"~","~~"),"*","~*"),"?","~?")))</x:f>
      </x:c>
      <x:c r="I612" s="13" t="str">
        <x:f>IF(OR(H612&lt;&gt;1,G612&lt;&gt;1),"",SUMIFS('App Data'!$E$2:$E$1001,'App Data'!$L$2:$L$1001,SUBSTITUTE(SUBSTITUTE(SUBSTITUTE(L612,"~","~~"),"*","~*"),"?","~?")))</x:f>
      </x:c>
      <x:c r="J612" s="13" t="str">
        <x:f>IF(OR(NOT(ISNUMBER(E612)),NOT(ISNUMBER(I612))),"",ROUND(E612-I612,2))</x:f>
      </x:c>
      <x:c r="K612" s="2" t="str">
        <x:f>IF(COUNTA(A612:F612)=0,"",IF(OR(A612="",B612="",C612="",D612="",NOT(ISNUMBER(E612))),"Missing / invalid input",IF(G612&gt;1,"Duplicate key in this source",IF(H612=0,"Missing in other source",IF(H612&gt;1,"Duplicate in other source",IF(SUMIFS('App Data'!$M$2:$M$1001,'App Data'!$L$2:$L$1001,SUBSTITUTE(SUBSTITUTE(SUBSTITUTE(L612,"~","~~"),"*","~*"),"?","~?"))&lt;&gt;1,"Other amount is invalid",IF(J612&lt;&gt;0,"Amount differs","Matched")))))))</x:f>
      </x:c>
      <x:c r="L612" t="str">
        <x:f>IF(COUNTA(A612:F612)=0,"",LEN(A612)&amp;":"&amp;A612&amp;LEN(B612)&amp;":"&amp;B612&amp;LEN(C612)&amp;":"&amp;C612&amp;LEN(D612)&amp;":"&amp;D612)</x:f>
      </x:c>
      <x:c r="M612" t="str">
        <x:f>IF(COUNTA(A612:F612)=0,"",IF(ISNUMBER(E612),1,0))</x:f>
      </x:c>
    </x:row>
    <x:row r="613">
      <x:c r="A613" s="11"/>
      <x:c r="B613" s="11"/>
      <x:c r="C613" s="11"/>
      <x:c r="D613" s="11"/>
      <x:c r="E613" s="12"/>
      <x:c r="F613" s="10"/>
      <x:c r="G613" s="2" t="str">
        <x:f>IF(COUNTA(A613:F613)=0,"",COUNTIFS('External Data'!$L$2:$L$1001,SUBSTITUTE(SUBSTITUTE(SUBSTITUTE(L613,"~","~~"),"*","~*"),"?","~?")))</x:f>
      </x:c>
      <x:c r="H613" s="2" t="str">
        <x:f>IF(COUNTA(A613:F613)=0,"",COUNTIFS('App Data'!$L$2:$L$1001,SUBSTITUTE(SUBSTITUTE(SUBSTITUTE(L613,"~","~~"),"*","~*"),"?","~?")))</x:f>
      </x:c>
      <x:c r="I613" s="13" t="str">
        <x:f>IF(OR(H613&lt;&gt;1,G613&lt;&gt;1),"",SUMIFS('App Data'!$E$2:$E$1001,'App Data'!$L$2:$L$1001,SUBSTITUTE(SUBSTITUTE(SUBSTITUTE(L613,"~","~~"),"*","~*"),"?","~?")))</x:f>
      </x:c>
      <x:c r="J613" s="13" t="str">
        <x:f>IF(OR(NOT(ISNUMBER(E613)),NOT(ISNUMBER(I613))),"",ROUND(E613-I613,2))</x:f>
      </x:c>
      <x:c r="K613" s="2" t="str">
        <x:f>IF(COUNTA(A613:F613)=0,"",IF(OR(A613="",B613="",C613="",D613="",NOT(ISNUMBER(E613))),"Missing / invalid input",IF(G613&gt;1,"Duplicate key in this source",IF(H613=0,"Missing in other source",IF(H613&gt;1,"Duplicate in other source",IF(SUMIFS('App Data'!$M$2:$M$1001,'App Data'!$L$2:$L$1001,SUBSTITUTE(SUBSTITUTE(SUBSTITUTE(L613,"~","~~"),"*","~*"),"?","~?"))&lt;&gt;1,"Other amount is invalid",IF(J613&lt;&gt;0,"Amount differs","Matched")))))))</x:f>
      </x:c>
      <x:c r="L613" t="str">
        <x:f>IF(COUNTA(A613:F613)=0,"",LEN(A613)&amp;":"&amp;A613&amp;LEN(B613)&amp;":"&amp;B613&amp;LEN(C613)&amp;":"&amp;C613&amp;LEN(D613)&amp;":"&amp;D613)</x:f>
      </x:c>
      <x:c r="M613" t="str">
        <x:f>IF(COUNTA(A613:F613)=0,"",IF(ISNUMBER(E613),1,0))</x:f>
      </x:c>
    </x:row>
    <x:row r="614">
      <x:c r="A614" s="11"/>
      <x:c r="B614" s="11"/>
      <x:c r="C614" s="11"/>
      <x:c r="D614" s="11"/>
      <x:c r="E614" s="12"/>
      <x:c r="F614" s="10"/>
      <x:c r="G614" s="2" t="str">
        <x:f>IF(COUNTA(A614:F614)=0,"",COUNTIFS('External Data'!$L$2:$L$1001,SUBSTITUTE(SUBSTITUTE(SUBSTITUTE(L614,"~","~~"),"*","~*"),"?","~?")))</x:f>
      </x:c>
      <x:c r="H614" s="2" t="str">
        <x:f>IF(COUNTA(A614:F614)=0,"",COUNTIFS('App Data'!$L$2:$L$1001,SUBSTITUTE(SUBSTITUTE(SUBSTITUTE(L614,"~","~~"),"*","~*"),"?","~?")))</x:f>
      </x:c>
      <x:c r="I614" s="13" t="str">
        <x:f>IF(OR(H614&lt;&gt;1,G614&lt;&gt;1),"",SUMIFS('App Data'!$E$2:$E$1001,'App Data'!$L$2:$L$1001,SUBSTITUTE(SUBSTITUTE(SUBSTITUTE(L614,"~","~~"),"*","~*"),"?","~?")))</x:f>
      </x:c>
      <x:c r="J614" s="13" t="str">
        <x:f>IF(OR(NOT(ISNUMBER(E614)),NOT(ISNUMBER(I614))),"",ROUND(E614-I614,2))</x:f>
      </x:c>
      <x:c r="K614" s="2" t="str">
        <x:f>IF(COUNTA(A614:F614)=0,"",IF(OR(A614="",B614="",C614="",D614="",NOT(ISNUMBER(E614))),"Missing / invalid input",IF(G614&gt;1,"Duplicate key in this source",IF(H614=0,"Missing in other source",IF(H614&gt;1,"Duplicate in other source",IF(SUMIFS('App Data'!$M$2:$M$1001,'App Data'!$L$2:$L$1001,SUBSTITUTE(SUBSTITUTE(SUBSTITUTE(L614,"~","~~"),"*","~*"),"?","~?"))&lt;&gt;1,"Other amount is invalid",IF(J614&lt;&gt;0,"Amount differs","Matched")))))))</x:f>
      </x:c>
      <x:c r="L614" t="str">
        <x:f>IF(COUNTA(A614:F614)=0,"",LEN(A614)&amp;":"&amp;A614&amp;LEN(B614)&amp;":"&amp;B614&amp;LEN(C614)&amp;":"&amp;C614&amp;LEN(D614)&amp;":"&amp;D614)</x:f>
      </x:c>
      <x:c r="M614" t="str">
        <x:f>IF(COUNTA(A614:F614)=0,"",IF(ISNUMBER(E614),1,0))</x:f>
      </x:c>
    </x:row>
    <x:row r="615">
      <x:c r="A615" s="11"/>
      <x:c r="B615" s="11"/>
      <x:c r="C615" s="11"/>
      <x:c r="D615" s="11"/>
      <x:c r="E615" s="12"/>
      <x:c r="F615" s="10"/>
      <x:c r="G615" s="2" t="str">
        <x:f>IF(COUNTA(A615:F615)=0,"",COUNTIFS('External Data'!$L$2:$L$1001,SUBSTITUTE(SUBSTITUTE(SUBSTITUTE(L615,"~","~~"),"*","~*"),"?","~?")))</x:f>
      </x:c>
      <x:c r="H615" s="2" t="str">
        <x:f>IF(COUNTA(A615:F615)=0,"",COUNTIFS('App Data'!$L$2:$L$1001,SUBSTITUTE(SUBSTITUTE(SUBSTITUTE(L615,"~","~~"),"*","~*"),"?","~?")))</x:f>
      </x:c>
      <x:c r="I615" s="13" t="str">
        <x:f>IF(OR(H615&lt;&gt;1,G615&lt;&gt;1),"",SUMIFS('App Data'!$E$2:$E$1001,'App Data'!$L$2:$L$1001,SUBSTITUTE(SUBSTITUTE(SUBSTITUTE(L615,"~","~~"),"*","~*"),"?","~?")))</x:f>
      </x:c>
      <x:c r="J615" s="13" t="str">
        <x:f>IF(OR(NOT(ISNUMBER(E615)),NOT(ISNUMBER(I615))),"",ROUND(E615-I615,2))</x:f>
      </x:c>
      <x:c r="K615" s="2" t="str">
        <x:f>IF(COUNTA(A615:F615)=0,"",IF(OR(A615="",B615="",C615="",D615="",NOT(ISNUMBER(E615))),"Missing / invalid input",IF(G615&gt;1,"Duplicate key in this source",IF(H615=0,"Missing in other source",IF(H615&gt;1,"Duplicate in other source",IF(SUMIFS('App Data'!$M$2:$M$1001,'App Data'!$L$2:$L$1001,SUBSTITUTE(SUBSTITUTE(SUBSTITUTE(L615,"~","~~"),"*","~*"),"?","~?"))&lt;&gt;1,"Other amount is invalid",IF(J615&lt;&gt;0,"Amount differs","Matched")))))))</x:f>
      </x:c>
      <x:c r="L615" t="str">
        <x:f>IF(COUNTA(A615:F615)=0,"",LEN(A615)&amp;":"&amp;A615&amp;LEN(B615)&amp;":"&amp;B615&amp;LEN(C615)&amp;":"&amp;C615&amp;LEN(D615)&amp;":"&amp;D615)</x:f>
      </x:c>
      <x:c r="M615" t="str">
        <x:f>IF(COUNTA(A615:F615)=0,"",IF(ISNUMBER(E615),1,0))</x:f>
      </x:c>
    </x:row>
    <x:row r="616">
      <x:c r="A616" s="11"/>
      <x:c r="B616" s="11"/>
      <x:c r="C616" s="11"/>
      <x:c r="D616" s="11"/>
      <x:c r="E616" s="12"/>
      <x:c r="F616" s="10"/>
      <x:c r="G616" s="2" t="str">
        <x:f>IF(COUNTA(A616:F616)=0,"",COUNTIFS('External Data'!$L$2:$L$1001,SUBSTITUTE(SUBSTITUTE(SUBSTITUTE(L616,"~","~~"),"*","~*"),"?","~?")))</x:f>
      </x:c>
      <x:c r="H616" s="2" t="str">
        <x:f>IF(COUNTA(A616:F616)=0,"",COUNTIFS('App Data'!$L$2:$L$1001,SUBSTITUTE(SUBSTITUTE(SUBSTITUTE(L616,"~","~~"),"*","~*"),"?","~?")))</x:f>
      </x:c>
      <x:c r="I616" s="13" t="str">
        <x:f>IF(OR(H616&lt;&gt;1,G616&lt;&gt;1),"",SUMIFS('App Data'!$E$2:$E$1001,'App Data'!$L$2:$L$1001,SUBSTITUTE(SUBSTITUTE(SUBSTITUTE(L616,"~","~~"),"*","~*"),"?","~?")))</x:f>
      </x:c>
      <x:c r="J616" s="13" t="str">
        <x:f>IF(OR(NOT(ISNUMBER(E616)),NOT(ISNUMBER(I616))),"",ROUND(E616-I616,2))</x:f>
      </x:c>
      <x:c r="K616" s="2" t="str">
        <x:f>IF(COUNTA(A616:F616)=0,"",IF(OR(A616="",B616="",C616="",D616="",NOT(ISNUMBER(E616))),"Missing / invalid input",IF(G616&gt;1,"Duplicate key in this source",IF(H616=0,"Missing in other source",IF(H616&gt;1,"Duplicate in other source",IF(SUMIFS('App Data'!$M$2:$M$1001,'App Data'!$L$2:$L$1001,SUBSTITUTE(SUBSTITUTE(SUBSTITUTE(L616,"~","~~"),"*","~*"),"?","~?"))&lt;&gt;1,"Other amount is invalid",IF(J616&lt;&gt;0,"Amount differs","Matched")))))))</x:f>
      </x:c>
      <x:c r="L616" t="str">
        <x:f>IF(COUNTA(A616:F616)=0,"",LEN(A616)&amp;":"&amp;A616&amp;LEN(B616)&amp;":"&amp;B616&amp;LEN(C616)&amp;":"&amp;C616&amp;LEN(D616)&amp;":"&amp;D616)</x:f>
      </x:c>
      <x:c r="M616" t="str">
        <x:f>IF(COUNTA(A616:F616)=0,"",IF(ISNUMBER(E616),1,0))</x:f>
      </x:c>
    </x:row>
    <x:row r="617">
      <x:c r="A617" s="11"/>
      <x:c r="B617" s="11"/>
      <x:c r="C617" s="11"/>
      <x:c r="D617" s="11"/>
      <x:c r="E617" s="12"/>
      <x:c r="F617" s="10"/>
      <x:c r="G617" s="2" t="str">
        <x:f>IF(COUNTA(A617:F617)=0,"",COUNTIFS('External Data'!$L$2:$L$1001,SUBSTITUTE(SUBSTITUTE(SUBSTITUTE(L617,"~","~~"),"*","~*"),"?","~?")))</x:f>
      </x:c>
      <x:c r="H617" s="2" t="str">
        <x:f>IF(COUNTA(A617:F617)=0,"",COUNTIFS('App Data'!$L$2:$L$1001,SUBSTITUTE(SUBSTITUTE(SUBSTITUTE(L617,"~","~~"),"*","~*"),"?","~?")))</x:f>
      </x:c>
      <x:c r="I617" s="13" t="str">
        <x:f>IF(OR(H617&lt;&gt;1,G617&lt;&gt;1),"",SUMIFS('App Data'!$E$2:$E$1001,'App Data'!$L$2:$L$1001,SUBSTITUTE(SUBSTITUTE(SUBSTITUTE(L617,"~","~~"),"*","~*"),"?","~?")))</x:f>
      </x:c>
      <x:c r="J617" s="13" t="str">
        <x:f>IF(OR(NOT(ISNUMBER(E617)),NOT(ISNUMBER(I617))),"",ROUND(E617-I617,2))</x:f>
      </x:c>
      <x:c r="K617" s="2" t="str">
        <x:f>IF(COUNTA(A617:F617)=0,"",IF(OR(A617="",B617="",C617="",D617="",NOT(ISNUMBER(E617))),"Missing / invalid input",IF(G617&gt;1,"Duplicate key in this source",IF(H617=0,"Missing in other source",IF(H617&gt;1,"Duplicate in other source",IF(SUMIFS('App Data'!$M$2:$M$1001,'App Data'!$L$2:$L$1001,SUBSTITUTE(SUBSTITUTE(SUBSTITUTE(L617,"~","~~"),"*","~*"),"?","~?"))&lt;&gt;1,"Other amount is invalid",IF(J617&lt;&gt;0,"Amount differs","Matched")))))))</x:f>
      </x:c>
      <x:c r="L617" t="str">
        <x:f>IF(COUNTA(A617:F617)=0,"",LEN(A617)&amp;":"&amp;A617&amp;LEN(B617)&amp;":"&amp;B617&amp;LEN(C617)&amp;":"&amp;C617&amp;LEN(D617)&amp;":"&amp;D617)</x:f>
      </x:c>
      <x:c r="M617" t="str">
        <x:f>IF(COUNTA(A617:F617)=0,"",IF(ISNUMBER(E617),1,0))</x:f>
      </x:c>
    </x:row>
    <x:row r="618">
      <x:c r="A618" s="11"/>
      <x:c r="B618" s="11"/>
      <x:c r="C618" s="11"/>
      <x:c r="D618" s="11"/>
      <x:c r="E618" s="12"/>
      <x:c r="F618" s="10"/>
      <x:c r="G618" s="2" t="str">
        <x:f>IF(COUNTA(A618:F618)=0,"",COUNTIFS('External Data'!$L$2:$L$1001,SUBSTITUTE(SUBSTITUTE(SUBSTITUTE(L618,"~","~~"),"*","~*"),"?","~?")))</x:f>
      </x:c>
      <x:c r="H618" s="2" t="str">
        <x:f>IF(COUNTA(A618:F618)=0,"",COUNTIFS('App Data'!$L$2:$L$1001,SUBSTITUTE(SUBSTITUTE(SUBSTITUTE(L618,"~","~~"),"*","~*"),"?","~?")))</x:f>
      </x:c>
      <x:c r="I618" s="13" t="str">
        <x:f>IF(OR(H618&lt;&gt;1,G618&lt;&gt;1),"",SUMIFS('App Data'!$E$2:$E$1001,'App Data'!$L$2:$L$1001,SUBSTITUTE(SUBSTITUTE(SUBSTITUTE(L618,"~","~~"),"*","~*"),"?","~?")))</x:f>
      </x:c>
      <x:c r="J618" s="13" t="str">
        <x:f>IF(OR(NOT(ISNUMBER(E618)),NOT(ISNUMBER(I618))),"",ROUND(E618-I618,2))</x:f>
      </x:c>
      <x:c r="K618" s="2" t="str">
        <x:f>IF(COUNTA(A618:F618)=0,"",IF(OR(A618="",B618="",C618="",D618="",NOT(ISNUMBER(E618))),"Missing / invalid input",IF(G618&gt;1,"Duplicate key in this source",IF(H618=0,"Missing in other source",IF(H618&gt;1,"Duplicate in other source",IF(SUMIFS('App Data'!$M$2:$M$1001,'App Data'!$L$2:$L$1001,SUBSTITUTE(SUBSTITUTE(SUBSTITUTE(L618,"~","~~"),"*","~*"),"?","~?"))&lt;&gt;1,"Other amount is invalid",IF(J618&lt;&gt;0,"Amount differs","Matched")))))))</x:f>
      </x:c>
      <x:c r="L618" t="str">
        <x:f>IF(COUNTA(A618:F618)=0,"",LEN(A618)&amp;":"&amp;A618&amp;LEN(B618)&amp;":"&amp;B618&amp;LEN(C618)&amp;":"&amp;C618&amp;LEN(D618)&amp;":"&amp;D618)</x:f>
      </x:c>
      <x:c r="M618" t="str">
        <x:f>IF(COUNTA(A618:F618)=0,"",IF(ISNUMBER(E618),1,0))</x:f>
      </x:c>
    </x:row>
    <x:row r="619">
      <x:c r="A619" s="11"/>
      <x:c r="B619" s="11"/>
      <x:c r="C619" s="11"/>
      <x:c r="D619" s="11"/>
      <x:c r="E619" s="12"/>
      <x:c r="F619" s="10"/>
      <x:c r="G619" s="2" t="str">
        <x:f>IF(COUNTA(A619:F619)=0,"",COUNTIFS('External Data'!$L$2:$L$1001,SUBSTITUTE(SUBSTITUTE(SUBSTITUTE(L619,"~","~~"),"*","~*"),"?","~?")))</x:f>
      </x:c>
      <x:c r="H619" s="2" t="str">
        <x:f>IF(COUNTA(A619:F619)=0,"",COUNTIFS('App Data'!$L$2:$L$1001,SUBSTITUTE(SUBSTITUTE(SUBSTITUTE(L619,"~","~~"),"*","~*"),"?","~?")))</x:f>
      </x:c>
      <x:c r="I619" s="13" t="str">
        <x:f>IF(OR(H619&lt;&gt;1,G619&lt;&gt;1),"",SUMIFS('App Data'!$E$2:$E$1001,'App Data'!$L$2:$L$1001,SUBSTITUTE(SUBSTITUTE(SUBSTITUTE(L619,"~","~~"),"*","~*"),"?","~?")))</x:f>
      </x:c>
      <x:c r="J619" s="13" t="str">
        <x:f>IF(OR(NOT(ISNUMBER(E619)),NOT(ISNUMBER(I619))),"",ROUND(E619-I619,2))</x:f>
      </x:c>
      <x:c r="K619" s="2" t="str">
        <x:f>IF(COUNTA(A619:F619)=0,"",IF(OR(A619="",B619="",C619="",D619="",NOT(ISNUMBER(E619))),"Missing / invalid input",IF(G619&gt;1,"Duplicate key in this source",IF(H619=0,"Missing in other source",IF(H619&gt;1,"Duplicate in other source",IF(SUMIFS('App Data'!$M$2:$M$1001,'App Data'!$L$2:$L$1001,SUBSTITUTE(SUBSTITUTE(SUBSTITUTE(L619,"~","~~"),"*","~*"),"?","~?"))&lt;&gt;1,"Other amount is invalid",IF(J619&lt;&gt;0,"Amount differs","Matched")))))))</x:f>
      </x:c>
      <x:c r="L619" t="str">
        <x:f>IF(COUNTA(A619:F619)=0,"",LEN(A619)&amp;":"&amp;A619&amp;LEN(B619)&amp;":"&amp;B619&amp;LEN(C619)&amp;":"&amp;C619&amp;LEN(D619)&amp;":"&amp;D619)</x:f>
      </x:c>
      <x:c r="M619" t="str">
        <x:f>IF(COUNTA(A619:F619)=0,"",IF(ISNUMBER(E619),1,0))</x:f>
      </x:c>
    </x:row>
    <x:row r="620">
      <x:c r="A620" s="11"/>
      <x:c r="B620" s="11"/>
      <x:c r="C620" s="11"/>
      <x:c r="D620" s="11"/>
      <x:c r="E620" s="12"/>
      <x:c r="F620" s="10"/>
      <x:c r="G620" s="2" t="str">
        <x:f>IF(COUNTA(A620:F620)=0,"",COUNTIFS('External Data'!$L$2:$L$1001,SUBSTITUTE(SUBSTITUTE(SUBSTITUTE(L620,"~","~~"),"*","~*"),"?","~?")))</x:f>
      </x:c>
      <x:c r="H620" s="2" t="str">
        <x:f>IF(COUNTA(A620:F620)=0,"",COUNTIFS('App Data'!$L$2:$L$1001,SUBSTITUTE(SUBSTITUTE(SUBSTITUTE(L620,"~","~~"),"*","~*"),"?","~?")))</x:f>
      </x:c>
      <x:c r="I620" s="13" t="str">
        <x:f>IF(OR(H620&lt;&gt;1,G620&lt;&gt;1),"",SUMIFS('App Data'!$E$2:$E$1001,'App Data'!$L$2:$L$1001,SUBSTITUTE(SUBSTITUTE(SUBSTITUTE(L620,"~","~~"),"*","~*"),"?","~?")))</x:f>
      </x:c>
      <x:c r="J620" s="13" t="str">
        <x:f>IF(OR(NOT(ISNUMBER(E620)),NOT(ISNUMBER(I620))),"",ROUND(E620-I620,2))</x:f>
      </x:c>
      <x:c r="K620" s="2" t="str">
        <x:f>IF(COUNTA(A620:F620)=0,"",IF(OR(A620="",B620="",C620="",D620="",NOT(ISNUMBER(E620))),"Missing / invalid input",IF(G620&gt;1,"Duplicate key in this source",IF(H620=0,"Missing in other source",IF(H620&gt;1,"Duplicate in other source",IF(SUMIFS('App Data'!$M$2:$M$1001,'App Data'!$L$2:$L$1001,SUBSTITUTE(SUBSTITUTE(SUBSTITUTE(L620,"~","~~"),"*","~*"),"?","~?"))&lt;&gt;1,"Other amount is invalid",IF(J620&lt;&gt;0,"Amount differs","Matched")))))))</x:f>
      </x:c>
      <x:c r="L620" t="str">
        <x:f>IF(COUNTA(A620:F620)=0,"",LEN(A620)&amp;":"&amp;A620&amp;LEN(B620)&amp;":"&amp;B620&amp;LEN(C620)&amp;":"&amp;C620&amp;LEN(D620)&amp;":"&amp;D620)</x:f>
      </x:c>
      <x:c r="M620" t="str">
        <x:f>IF(COUNTA(A620:F620)=0,"",IF(ISNUMBER(E620),1,0))</x:f>
      </x:c>
    </x:row>
    <x:row r="621">
      <x:c r="A621" s="11"/>
      <x:c r="B621" s="11"/>
      <x:c r="C621" s="11"/>
      <x:c r="D621" s="11"/>
      <x:c r="E621" s="12"/>
      <x:c r="F621" s="10"/>
      <x:c r="G621" s="2" t="str">
        <x:f>IF(COUNTA(A621:F621)=0,"",COUNTIFS('External Data'!$L$2:$L$1001,SUBSTITUTE(SUBSTITUTE(SUBSTITUTE(L621,"~","~~"),"*","~*"),"?","~?")))</x:f>
      </x:c>
      <x:c r="H621" s="2" t="str">
        <x:f>IF(COUNTA(A621:F621)=0,"",COUNTIFS('App Data'!$L$2:$L$1001,SUBSTITUTE(SUBSTITUTE(SUBSTITUTE(L621,"~","~~"),"*","~*"),"?","~?")))</x:f>
      </x:c>
      <x:c r="I621" s="13" t="str">
        <x:f>IF(OR(H621&lt;&gt;1,G621&lt;&gt;1),"",SUMIFS('App Data'!$E$2:$E$1001,'App Data'!$L$2:$L$1001,SUBSTITUTE(SUBSTITUTE(SUBSTITUTE(L621,"~","~~"),"*","~*"),"?","~?")))</x:f>
      </x:c>
      <x:c r="J621" s="13" t="str">
        <x:f>IF(OR(NOT(ISNUMBER(E621)),NOT(ISNUMBER(I621))),"",ROUND(E621-I621,2))</x:f>
      </x:c>
      <x:c r="K621" s="2" t="str">
        <x:f>IF(COUNTA(A621:F621)=0,"",IF(OR(A621="",B621="",C621="",D621="",NOT(ISNUMBER(E621))),"Missing / invalid input",IF(G621&gt;1,"Duplicate key in this source",IF(H621=0,"Missing in other source",IF(H621&gt;1,"Duplicate in other source",IF(SUMIFS('App Data'!$M$2:$M$1001,'App Data'!$L$2:$L$1001,SUBSTITUTE(SUBSTITUTE(SUBSTITUTE(L621,"~","~~"),"*","~*"),"?","~?"))&lt;&gt;1,"Other amount is invalid",IF(J621&lt;&gt;0,"Amount differs","Matched")))))))</x:f>
      </x:c>
      <x:c r="L621" t="str">
        <x:f>IF(COUNTA(A621:F621)=0,"",LEN(A621)&amp;":"&amp;A621&amp;LEN(B621)&amp;":"&amp;B621&amp;LEN(C621)&amp;":"&amp;C621&amp;LEN(D621)&amp;":"&amp;D621)</x:f>
      </x:c>
      <x:c r="M621" t="str">
        <x:f>IF(COUNTA(A621:F621)=0,"",IF(ISNUMBER(E621),1,0))</x:f>
      </x:c>
    </x:row>
    <x:row r="622">
      <x:c r="A622" s="11"/>
      <x:c r="B622" s="11"/>
      <x:c r="C622" s="11"/>
      <x:c r="D622" s="11"/>
      <x:c r="E622" s="12"/>
      <x:c r="F622" s="10"/>
      <x:c r="G622" s="2" t="str">
        <x:f>IF(COUNTA(A622:F622)=0,"",COUNTIFS('External Data'!$L$2:$L$1001,SUBSTITUTE(SUBSTITUTE(SUBSTITUTE(L622,"~","~~"),"*","~*"),"?","~?")))</x:f>
      </x:c>
      <x:c r="H622" s="2" t="str">
        <x:f>IF(COUNTA(A622:F622)=0,"",COUNTIFS('App Data'!$L$2:$L$1001,SUBSTITUTE(SUBSTITUTE(SUBSTITUTE(L622,"~","~~"),"*","~*"),"?","~?")))</x:f>
      </x:c>
      <x:c r="I622" s="13" t="str">
        <x:f>IF(OR(H622&lt;&gt;1,G622&lt;&gt;1),"",SUMIFS('App Data'!$E$2:$E$1001,'App Data'!$L$2:$L$1001,SUBSTITUTE(SUBSTITUTE(SUBSTITUTE(L622,"~","~~"),"*","~*"),"?","~?")))</x:f>
      </x:c>
      <x:c r="J622" s="13" t="str">
        <x:f>IF(OR(NOT(ISNUMBER(E622)),NOT(ISNUMBER(I622))),"",ROUND(E622-I622,2))</x:f>
      </x:c>
      <x:c r="K622" s="2" t="str">
        <x:f>IF(COUNTA(A622:F622)=0,"",IF(OR(A622="",B622="",C622="",D622="",NOT(ISNUMBER(E622))),"Missing / invalid input",IF(G622&gt;1,"Duplicate key in this source",IF(H622=0,"Missing in other source",IF(H622&gt;1,"Duplicate in other source",IF(SUMIFS('App Data'!$M$2:$M$1001,'App Data'!$L$2:$L$1001,SUBSTITUTE(SUBSTITUTE(SUBSTITUTE(L622,"~","~~"),"*","~*"),"?","~?"))&lt;&gt;1,"Other amount is invalid",IF(J622&lt;&gt;0,"Amount differs","Matched")))))))</x:f>
      </x:c>
      <x:c r="L622" t="str">
        <x:f>IF(COUNTA(A622:F622)=0,"",LEN(A622)&amp;":"&amp;A622&amp;LEN(B622)&amp;":"&amp;B622&amp;LEN(C622)&amp;":"&amp;C622&amp;LEN(D622)&amp;":"&amp;D622)</x:f>
      </x:c>
      <x:c r="M622" t="str">
        <x:f>IF(COUNTA(A622:F622)=0,"",IF(ISNUMBER(E622),1,0))</x:f>
      </x:c>
    </x:row>
    <x:row r="623">
      <x:c r="A623" s="11"/>
      <x:c r="B623" s="11"/>
      <x:c r="C623" s="11"/>
      <x:c r="D623" s="11"/>
      <x:c r="E623" s="12"/>
      <x:c r="F623" s="10"/>
      <x:c r="G623" s="2" t="str">
        <x:f>IF(COUNTA(A623:F623)=0,"",COUNTIFS('External Data'!$L$2:$L$1001,SUBSTITUTE(SUBSTITUTE(SUBSTITUTE(L623,"~","~~"),"*","~*"),"?","~?")))</x:f>
      </x:c>
      <x:c r="H623" s="2" t="str">
        <x:f>IF(COUNTA(A623:F623)=0,"",COUNTIFS('App Data'!$L$2:$L$1001,SUBSTITUTE(SUBSTITUTE(SUBSTITUTE(L623,"~","~~"),"*","~*"),"?","~?")))</x:f>
      </x:c>
      <x:c r="I623" s="13" t="str">
        <x:f>IF(OR(H623&lt;&gt;1,G623&lt;&gt;1),"",SUMIFS('App Data'!$E$2:$E$1001,'App Data'!$L$2:$L$1001,SUBSTITUTE(SUBSTITUTE(SUBSTITUTE(L623,"~","~~"),"*","~*"),"?","~?")))</x:f>
      </x:c>
      <x:c r="J623" s="13" t="str">
        <x:f>IF(OR(NOT(ISNUMBER(E623)),NOT(ISNUMBER(I623))),"",ROUND(E623-I623,2))</x:f>
      </x:c>
      <x:c r="K623" s="2" t="str">
        <x:f>IF(COUNTA(A623:F623)=0,"",IF(OR(A623="",B623="",C623="",D623="",NOT(ISNUMBER(E623))),"Missing / invalid input",IF(G623&gt;1,"Duplicate key in this source",IF(H623=0,"Missing in other source",IF(H623&gt;1,"Duplicate in other source",IF(SUMIFS('App Data'!$M$2:$M$1001,'App Data'!$L$2:$L$1001,SUBSTITUTE(SUBSTITUTE(SUBSTITUTE(L623,"~","~~"),"*","~*"),"?","~?"))&lt;&gt;1,"Other amount is invalid",IF(J623&lt;&gt;0,"Amount differs","Matched")))))))</x:f>
      </x:c>
      <x:c r="L623" t="str">
        <x:f>IF(COUNTA(A623:F623)=0,"",LEN(A623)&amp;":"&amp;A623&amp;LEN(B623)&amp;":"&amp;B623&amp;LEN(C623)&amp;":"&amp;C623&amp;LEN(D623)&amp;":"&amp;D623)</x:f>
      </x:c>
      <x:c r="M623" t="str">
        <x:f>IF(COUNTA(A623:F623)=0,"",IF(ISNUMBER(E623),1,0))</x:f>
      </x:c>
    </x:row>
    <x:row r="624">
      <x:c r="A624" s="11"/>
      <x:c r="B624" s="11"/>
      <x:c r="C624" s="11"/>
      <x:c r="D624" s="11"/>
      <x:c r="E624" s="12"/>
      <x:c r="F624" s="10"/>
      <x:c r="G624" s="2" t="str">
        <x:f>IF(COUNTA(A624:F624)=0,"",COUNTIFS('External Data'!$L$2:$L$1001,SUBSTITUTE(SUBSTITUTE(SUBSTITUTE(L624,"~","~~"),"*","~*"),"?","~?")))</x:f>
      </x:c>
      <x:c r="H624" s="2" t="str">
        <x:f>IF(COUNTA(A624:F624)=0,"",COUNTIFS('App Data'!$L$2:$L$1001,SUBSTITUTE(SUBSTITUTE(SUBSTITUTE(L624,"~","~~"),"*","~*"),"?","~?")))</x:f>
      </x:c>
      <x:c r="I624" s="13" t="str">
        <x:f>IF(OR(H624&lt;&gt;1,G624&lt;&gt;1),"",SUMIFS('App Data'!$E$2:$E$1001,'App Data'!$L$2:$L$1001,SUBSTITUTE(SUBSTITUTE(SUBSTITUTE(L624,"~","~~"),"*","~*"),"?","~?")))</x:f>
      </x:c>
      <x:c r="J624" s="13" t="str">
        <x:f>IF(OR(NOT(ISNUMBER(E624)),NOT(ISNUMBER(I624))),"",ROUND(E624-I624,2))</x:f>
      </x:c>
      <x:c r="K624" s="2" t="str">
        <x:f>IF(COUNTA(A624:F624)=0,"",IF(OR(A624="",B624="",C624="",D624="",NOT(ISNUMBER(E624))),"Missing / invalid input",IF(G624&gt;1,"Duplicate key in this source",IF(H624=0,"Missing in other source",IF(H624&gt;1,"Duplicate in other source",IF(SUMIFS('App Data'!$M$2:$M$1001,'App Data'!$L$2:$L$1001,SUBSTITUTE(SUBSTITUTE(SUBSTITUTE(L624,"~","~~"),"*","~*"),"?","~?"))&lt;&gt;1,"Other amount is invalid",IF(J624&lt;&gt;0,"Amount differs","Matched")))))))</x:f>
      </x:c>
      <x:c r="L624" t="str">
        <x:f>IF(COUNTA(A624:F624)=0,"",LEN(A624)&amp;":"&amp;A624&amp;LEN(B624)&amp;":"&amp;B624&amp;LEN(C624)&amp;":"&amp;C624&amp;LEN(D624)&amp;":"&amp;D624)</x:f>
      </x:c>
      <x:c r="M624" t="str">
        <x:f>IF(COUNTA(A624:F624)=0,"",IF(ISNUMBER(E624),1,0))</x:f>
      </x:c>
    </x:row>
    <x:row r="625">
      <x:c r="A625" s="11"/>
      <x:c r="B625" s="11"/>
      <x:c r="C625" s="11"/>
      <x:c r="D625" s="11"/>
      <x:c r="E625" s="12"/>
      <x:c r="F625" s="10"/>
      <x:c r="G625" s="2" t="str">
        <x:f>IF(COUNTA(A625:F625)=0,"",COUNTIFS('External Data'!$L$2:$L$1001,SUBSTITUTE(SUBSTITUTE(SUBSTITUTE(L625,"~","~~"),"*","~*"),"?","~?")))</x:f>
      </x:c>
      <x:c r="H625" s="2" t="str">
        <x:f>IF(COUNTA(A625:F625)=0,"",COUNTIFS('App Data'!$L$2:$L$1001,SUBSTITUTE(SUBSTITUTE(SUBSTITUTE(L625,"~","~~"),"*","~*"),"?","~?")))</x:f>
      </x:c>
      <x:c r="I625" s="13" t="str">
        <x:f>IF(OR(H625&lt;&gt;1,G625&lt;&gt;1),"",SUMIFS('App Data'!$E$2:$E$1001,'App Data'!$L$2:$L$1001,SUBSTITUTE(SUBSTITUTE(SUBSTITUTE(L625,"~","~~"),"*","~*"),"?","~?")))</x:f>
      </x:c>
      <x:c r="J625" s="13" t="str">
        <x:f>IF(OR(NOT(ISNUMBER(E625)),NOT(ISNUMBER(I625))),"",ROUND(E625-I625,2))</x:f>
      </x:c>
      <x:c r="K625" s="2" t="str">
        <x:f>IF(COUNTA(A625:F625)=0,"",IF(OR(A625="",B625="",C625="",D625="",NOT(ISNUMBER(E625))),"Missing / invalid input",IF(G625&gt;1,"Duplicate key in this source",IF(H625=0,"Missing in other source",IF(H625&gt;1,"Duplicate in other source",IF(SUMIFS('App Data'!$M$2:$M$1001,'App Data'!$L$2:$L$1001,SUBSTITUTE(SUBSTITUTE(SUBSTITUTE(L625,"~","~~"),"*","~*"),"?","~?"))&lt;&gt;1,"Other amount is invalid",IF(J625&lt;&gt;0,"Amount differs","Matched")))))))</x:f>
      </x:c>
      <x:c r="L625" t="str">
        <x:f>IF(COUNTA(A625:F625)=0,"",LEN(A625)&amp;":"&amp;A625&amp;LEN(B625)&amp;":"&amp;B625&amp;LEN(C625)&amp;":"&amp;C625&amp;LEN(D625)&amp;":"&amp;D625)</x:f>
      </x:c>
      <x:c r="M625" t="str">
        <x:f>IF(COUNTA(A625:F625)=0,"",IF(ISNUMBER(E625),1,0))</x:f>
      </x:c>
    </x:row>
    <x:row r="626">
      <x:c r="A626" s="11"/>
      <x:c r="B626" s="11"/>
      <x:c r="C626" s="11"/>
      <x:c r="D626" s="11"/>
      <x:c r="E626" s="12"/>
      <x:c r="F626" s="10"/>
      <x:c r="G626" s="2" t="str">
        <x:f>IF(COUNTA(A626:F626)=0,"",COUNTIFS('External Data'!$L$2:$L$1001,SUBSTITUTE(SUBSTITUTE(SUBSTITUTE(L626,"~","~~"),"*","~*"),"?","~?")))</x:f>
      </x:c>
      <x:c r="H626" s="2" t="str">
        <x:f>IF(COUNTA(A626:F626)=0,"",COUNTIFS('App Data'!$L$2:$L$1001,SUBSTITUTE(SUBSTITUTE(SUBSTITUTE(L626,"~","~~"),"*","~*"),"?","~?")))</x:f>
      </x:c>
      <x:c r="I626" s="13" t="str">
        <x:f>IF(OR(H626&lt;&gt;1,G626&lt;&gt;1),"",SUMIFS('App Data'!$E$2:$E$1001,'App Data'!$L$2:$L$1001,SUBSTITUTE(SUBSTITUTE(SUBSTITUTE(L626,"~","~~"),"*","~*"),"?","~?")))</x:f>
      </x:c>
      <x:c r="J626" s="13" t="str">
        <x:f>IF(OR(NOT(ISNUMBER(E626)),NOT(ISNUMBER(I626))),"",ROUND(E626-I626,2))</x:f>
      </x:c>
      <x:c r="K626" s="2" t="str">
        <x:f>IF(COUNTA(A626:F626)=0,"",IF(OR(A626="",B626="",C626="",D626="",NOT(ISNUMBER(E626))),"Missing / invalid input",IF(G626&gt;1,"Duplicate key in this source",IF(H626=0,"Missing in other source",IF(H626&gt;1,"Duplicate in other source",IF(SUMIFS('App Data'!$M$2:$M$1001,'App Data'!$L$2:$L$1001,SUBSTITUTE(SUBSTITUTE(SUBSTITUTE(L626,"~","~~"),"*","~*"),"?","~?"))&lt;&gt;1,"Other amount is invalid",IF(J626&lt;&gt;0,"Amount differs","Matched")))))))</x:f>
      </x:c>
      <x:c r="L626" t="str">
        <x:f>IF(COUNTA(A626:F626)=0,"",LEN(A626)&amp;":"&amp;A626&amp;LEN(B626)&amp;":"&amp;B626&amp;LEN(C626)&amp;":"&amp;C626&amp;LEN(D626)&amp;":"&amp;D626)</x:f>
      </x:c>
      <x:c r="M626" t="str">
        <x:f>IF(COUNTA(A626:F626)=0,"",IF(ISNUMBER(E626),1,0))</x:f>
      </x:c>
    </x:row>
    <x:row r="627">
      <x:c r="A627" s="11"/>
      <x:c r="B627" s="11"/>
      <x:c r="C627" s="11"/>
      <x:c r="D627" s="11"/>
      <x:c r="E627" s="12"/>
      <x:c r="F627" s="10"/>
      <x:c r="G627" s="2" t="str">
        <x:f>IF(COUNTA(A627:F627)=0,"",COUNTIFS('External Data'!$L$2:$L$1001,SUBSTITUTE(SUBSTITUTE(SUBSTITUTE(L627,"~","~~"),"*","~*"),"?","~?")))</x:f>
      </x:c>
      <x:c r="H627" s="2" t="str">
        <x:f>IF(COUNTA(A627:F627)=0,"",COUNTIFS('App Data'!$L$2:$L$1001,SUBSTITUTE(SUBSTITUTE(SUBSTITUTE(L627,"~","~~"),"*","~*"),"?","~?")))</x:f>
      </x:c>
      <x:c r="I627" s="13" t="str">
        <x:f>IF(OR(H627&lt;&gt;1,G627&lt;&gt;1),"",SUMIFS('App Data'!$E$2:$E$1001,'App Data'!$L$2:$L$1001,SUBSTITUTE(SUBSTITUTE(SUBSTITUTE(L627,"~","~~"),"*","~*"),"?","~?")))</x:f>
      </x:c>
      <x:c r="J627" s="13" t="str">
        <x:f>IF(OR(NOT(ISNUMBER(E627)),NOT(ISNUMBER(I627))),"",ROUND(E627-I627,2))</x:f>
      </x:c>
      <x:c r="K627" s="2" t="str">
        <x:f>IF(COUNTA(A627:F627)=0,"",IF(OR(A627="",B627="",C627="",D627="",NOT(ISNUMBER(E627))),"Missing / invalid input",IF(G627&gt;1,"Duplicate key in this source",IF(H627=0,"Missing in other source",IF(H627&gt;1,"Duplicate in other source",IF(SUMIFS('App Data'!$M$2:$M$1001,'App Data'!$L$2:$L$1001,SUBSTITUTE(SUBSTITUTE(SUBSTITUTE(L627,"~","~~"),"*","~*"),"?","~?"))&lt;&gt;1,"Other amount is invalid",IF(J627&lt;&gt;0,"Amount differs","Matched")))))))</x:f>
      </x:c>
      <x:c r="L627" t="str">
        <x:f>IF(COUNTA(A627:F627)=0,"",LEN(A627)&amp;":"&amp;A627&amp;LEN(B627)&amp;":"&amp;B627&amp;LEN(C627)&amp;":"&amp;C627&amp;LEN(D627)&amp;":"&amp;D627)</x:f>
      </x:c>
      <x:c r="M627" t="str">
        <x:f>IF(COUNTA(A627:F627)=0,"",IF(ISNUMBER(E627),1,0))</x:f>
      </x:c>
    </x:row>
    <x:row r="628">
      <x:c r="A628" s="11"/>
      <x:c r="B628" s="11"/>
      <x:c r="C628" s="11"/>
      <x:c r="D628" s="11"/>
      <x:c r="E628" s="12"/>
      <x:c r="F628" s="10"/>
      <x:c r="G628" s="2" t="str">
        <x:f>IF(COUNTA(A628:F628)=0,"",COUNTIFS('External Data'!$L$2:$L$1001,SUBSTITUTE(SUBSTITUTE(SUBSTITUTE(L628,"~","~~"),"*","~*"),"?","~?")))</x:f>
      </x:c>
      <x:c r="H628" s="2" t="str">
        <x:f>IF(COUNTA(A628:F628)=0,"",COUNTIFS('App Data'!$L$2:$L$1001,SUBSTITUTE(SUBSTITUTE(SUBSTITUTE(L628,"~","~~"),"*","~*"),"?","~?")))</x:f>
      </x:c>
      <x:c r="I628" s="13" t="str">
        <x:f>IF(OR(H628&lt;&gt;1,G628&lt;&gt;1),"",SUMIFS('App Data'!$E$2:$E$1001,'App Data'!$L$2:$L$1001,SUBSTITUTE(SUBSTITUTE(SUBSTITUTE(L628,"~","~~"),"*","~*"),"?","~?")))</x:f>
      </x:c>
      <x:c r="J628" s="13" t="str">
        <x:f>IF(OR(NOT(ISNUMBER(E628)),NOT(ISNUMBER(I628))),"",ROUND(E628-I628,2))</x:f>
      </x:c>
      <x:c r="K628" s="2" t="str">
        <x:f>IF(COUNTA(A628:F628)=0,"",IF(OR(A628="",B628="",C628="",D628="",NOT(ISNUMBER(E628))),"Missing / invalid input",IF(G628&gt;1,"Duplicate key in this source",IF(H628=0,"Missing in other source",IF(H628&gt;1,"Duplicate in other source",IF(SUMIFS('App Data'!$M$2:$M$1001,'App Data'!$L$2:$L$1001,SUBSTITUTE(SUBSTITUTE(SUBSTITUTE(L628,"~","~~"),"*","~*"),"?","~?"))&lt;&gt;1,"Other amount is invalid",IF(J628&lt;&gt;0,"Amount differs","Matched")))))))</x:f>
      </x:c>
      <x:c r="L628" t="str">
        <x:f>IF(COUNTA(A628:F628)=0,"",LEN(A628)&amp;":"&amp;A628&amp;LEN(B628)&amp;":"&amp;B628&amp;LEN(C628)&amp;":"&amp;C628&amp;LEN(D628)&amp;":"&amp;D628)</x:f>
      </x:c>
      <x:c r="M628" t="str">
        <x:f>IF(COUNTA(A628:F628)=0,"",IF(ISNUMBER(E628),1,0))</x:f>
      </x:c>
    </x:row>
    <x:row r="629">
      <x:c r="A629" s="11"/>
      <x:c r="B629" s="11"/>
      <x:c r="C629" s="11"/>
      <x:c r="D629" s="11"/>
      <x:c r="E629" s="12"/>
      <x:c r="F629" s="10"/>
      <x:c r="G629" s="2" t="str">
        <x:f>IF(COUNTA(A629:F629)=0,"",COUNTIFS('External Data'!$L$2:$L$1001,SUBSTITUTE(SUBSTITUTE(SUBSTITUTE(L629,"~","~~"),"*","~*"),"?","~?")))</x:f>
      </x:c>
      <x:c r="H629" s="2" t="str">
        <x:f>IF(COUNTA(A629:F629)=0,"",COUNTIFS('App Data'!$L$2:$L$1001,SUBSTITUTE(SUBSTITUTE(SUBSTITUTE(L629,"~","~~"),"*","~*"),"?","~?")))</x:f>
      </x:c>
      <x:c r="I629" s="13" t="str">
        <x:f>IF(OR(H629&lt;&gt;1,G629&lt;&gt;1),"",SUMIFS('App Data'!$E$2:$E$1001,'App Data'!$L$2:$L$1001,SUBSTITUTE(SUBSTITUTE(SUBSTITUTE(L629,"~","~~"),"*","~*"),"?","~?")))</x:f>
      </x:c>
      <x:c r="J629" s="13" t="str">
        <x:f>IF(OR(NOT(ISNUMBER(E629)),NOT(ISNUMBER(I629))),"",ROUND(E629-I629,2))</x:f>
      </x:c>
      <x:c r="K629" s="2" t="str">
        <x:f>IF(COUNTA(A629:F629)=0,"",IF(OR(A629="",B629="",C629="",D629="",NOT(ISNUMBER(E629))),"Missing / invalid input",IF(G629&gt;1,"Duplicate key in this source",IF(H629=0,"Missing in other source",IF(H629&gt;1,"Duplicate in other source",IF(SUMIFS('App Data'!$M$2:$M$1001,'App Data'!$L$2:$L$1001,SUBSTITUTE(SUBSTITUTE(SUBSTITUTE(L629,"~","~~"),"*","~*"),"?","~?"))&lt;&gt;1,"Other amount is invalid",IF(J629&lt;&gt;0,"Amount differs","Matched")))))))</x:f>
      </x:c>
      <x:c r="L629" t="str">
        <x:f>IF(COUNTA(A629:F629)=0,"",LEN(A629)&amp;":"&amp;A629&amp;LEN(B629)&amp;":"&amp;B629&amp;LEN(C629)&amp;":"&amp;C629&amp;LEN(D629)&amp;":"&amp;D629)</x:f>
      </x:c>
      <x:c r="M629" t="str">
        <x:f>IF(COUNTA(A629:F629)=0,"",IF(ISNUMBER(E629),1,0))</x:f>
      </x:c>
    </x:row>
    <x:row r="630">
      <x:c r="A630" s="11"/>
      <x:c r="B630" s="11"/>
      <x:c r="C630" s="11"/>
      <x:c r="D630" s="11"/>
      <x:c r="E630" s="12"/>
      <x:c r="F630" s="10"/>
      <x:c r="G630" s="2" t="str">
        <x:f>IF(COUNTA(A630:F630)=0,"",COUNTIFS('External Data'!$L$2:$L$1001,SUBSTITUTE(SUBSTITUTE(SUBSTITUTE(L630,"~","~~"),"*","~*"),"?","~?")))</x:f>
      </x:c>
      <x:c r="H630" s="2" t="str">
        <x:f>IF(COUNTA(A630:F630)=0,"",COUNTIFS('App Data'!$L$2:$L$1001,SUBSTITUTE(SUBSTITUTE(SUBSTITUTE(L630,"~","~~"),"*","~*"),"?","~?")))</x:f>
      </x:c>
      <x:c r="I630" s="13" t="str">
        <x:f>IF(OR(H630&lt;&gt;1,G630&lt;&gt;1),"",SUMIFS('App Data'!$E$2:$E$1001,'App Data'!$L$2:$L$1001,SUBSTITUTE(SUBSTITUTE(SUBSTITUTE(L630,"~","~~"),"*","~*"),"?","~?")))</x:f>
      </x:c>
      <x:c r="J630" s="13" t="str">
        <x:f>IF(OR(NOT(ISNUMBER(E630)),NOT(ISNUMBER(I630))),"",ROUND(E630-I630,2))</x:f>
      </x:c>
      <x:c r="K630" s="2" t="str">
        <x:f>IF(COUNTA(A630:F630)=0,"",IF(OR(A630="",B630="",C630="",D630="",NOT(ISNUMBER(E630))),"Missing / invalid input",IF(G630&gt;1,"Duplicate key in this source",IF(H630=0,"Missing in other source",IF(H630&gt;1,"Duplicate in other source",IF(SUMIFS('App Data'!$M$2:$M$1001,'App Data'!$L$2:$L$1001,SUBSTITUTE(SUBSTITUTE(SUBSTITUTE(L630,"~","~~"),"*","~*"),"?","~?"))&lt;&gt;1,"Other amount is invalid",IF(J630&lt;&gt;0,"Amount differs","Matched")))))))</x:f>
      </x:c>
      <x:c r="L630" t="str">
        <x:f>IF(COUNTA(A630:F630)=0,"",LEN(A630)&amp;":"&amp;A630&amp;LEN(B630)&amp;":"&amp;B630&amp;LEN(C630)&amp;":"&amp;C630&amp;LEN(D630)&amp;":"&amp;D630)</x:f>
      </x:c>
      <x:c r="M630" t="str">
        <x:f>IF(COUNTA(A630:F630)=0,"",IF(ISNUMBER(E630),1,0))</x:f>
      </x:c>
    </x:row>
    <x:row r="631">
      <x:c r="A631" s="11"/>
      <x:c r="B631" s="11"/>
      <x:c r="C631" s="11"/>
      <x:c r="D631" s="11"/>
      <x:c r="E631" s="12"/>
      <x:c r="F631" s="10"/>
      <x:c r="G631" s="2" t="str">
        <x:f>IF(COUNTA(A631:F631)=0,"",COUNTIFS('External Data'!$L$2:$L$1001,SUBSTITUTE(SUBSTITUTE(SUBSTITUTE(L631,"~","~~"),"*","~*"),"?","~?")))</x:f>
      </x:c>
      <x:c r="H631" s="2" t="str">
        <x:f>IF(COUNTA(A631:F631)=0,"",COUNTIFS('App Data'!$L$2:$L$1001,SUBSTITUTE(SUBSTITUTE(SUBSTITUTE(L631,"~","~~"),"*","~*"),"?","~?")))</x:f>
      </x:c>
      <x:c r="I631" s="13" t="str">
        <x:f>IF(OR(H631&lt;&gt;1,G631&lt;&gt;1),"",SUMIFS('App Data'!$E$2:$E$1001,'App Data'!$L$2:$L$1001,SUBSTITUTE(SUBSTITUTE(SUBSTITUTE(L631,"~","~~"),"*","~*"),"?","~?")))</x:f>
      </x:c>
      <x:c r="J631" s="13" t="str">
        <x:f>IF(OR(NOT(ISNUMBER(E631)),NOT(ISNUMBER(I631))),"",ROUND(E631-I631,2))</x:f>
      </x:c>
      <x:c r="K631" s="2" t="str">
        <x:f>IF(COUNTA(A631:F631)=0,"",IF(OR(A631="",B631="",C631="",D631="",NOT(ISNUMBER(E631))),"Missing / invalid input",IF(G631&gt;1,"Duplicate key in this source",IF(H631=0,"Missing in other source",IF(H631&gt;1,"Duplicate in other source",IF(SUMIFS('App Data'!$M$2:$M$1001,'App Data'!$L$2:$L$1001,SUBSTITUTE(SUBSTITUTE(SUBSTITUTE(L631,"~","~~"),"*","~*"),"?","~?"))&lt;&gt;1,"Other amount is invalid",IF(J631&lt;&gt;0,"Amount differs","Matched")))))))</x:f>
      </x:c>
      <x:c r="L631" t="str">
        <x:f>IF(COUNTA(A631:F631)=0,"",LEN(A631)&amp;":"&amp;A631&amp;LEN(B631)&amp;":"&amp;B631&amp;LEN(C631)&amp;":"&amp;C631&amp;LEN(D631)&amp;":"&amp;D631)</x:f>
      </x:c>
      <x:c r="M631" t="str">
        <x:f>IF(COUNTA(A631:F631)=0,"",IF(ISNUMBER(E631),1,0))</x:f>
      </x:c>
    </x:row>
    <x:row r="632">
      <x:c r="A632" s="11"/>
      <x:c r="B632" s="11"/>
      <x:c r="C632" s="11"/>
      <x:c r="D632" s="11"/>
      <x:c r="E632" s="12"/>
      <x:c r="F632" s="10"/>
      <x:c r="G632" s="2" t="str">
        <x:f>IF(COUNTA(A632:F632)=0,"",COUNTIFS('External Data'!$L$2:$L$1001,SUBSTITUTE(SUBSTITUTE(SUBSTITUTE(L632,"~","~~"),"*","~*"),"?","~?")))</x:f>
      </x:c>
      <x:c r="H632" s="2" t="str">
        <x:f>IF(COUNTA(A632:F632)=0,"",COUNTIFS('App Data'!$L$2:$L$1001,SUBSTITUTE(SUBSTITUTE(SUBSTITUTE(L632,"~","~~"),"*","~*"),"?","~?")))</x:f>
      </x:c>
      <x:c r="I632" s="13" t="str">
        <x:f>IF(OR(H632&lt;&gt;1,G632&lt;&gt;1),"",SUMIFS('App Data'!$E$2:$E$1001,'App Data'!$L$2:$L$1001,SUBSTITUTE(SUBSTITUTE(SUBSTITUTE(L632,"~","~~"),"*","~*"),"?","~?")))</x:f>
      </x:c>
      <x:c r="J632" s="13" t="str">
        <x:f>IF(OR(NOT(ISNUMBER(E632)),NOT(ISNUMBER(I632))),"",ROUND(E632-I632,2))</x:f>
      </x:c>
      <x:c r="K632" s="2" t="str">
        <x:f>IF(COUNTA(A632:F632)=0,"",IF(OR(A632="",B632="",C632="",D632="",NOT(ISNUMBER(E632))),"Missing / invalid input",IF(G632&gt;1,"Duplicate key in this source",IF(H632=0,"Missing in other source",IF(H632&gt;1,"Duplicate in other source",IF(SUMIFS('App Data'!$M$2:$M$1001,'App Data'!$L$2:$L$1001,SUBSTITUTE(SUBSTITUTE(SUBSTITUTE(L632,"~","~~"),"*","~*"),"?","~?"))&lt;&gt;1,"Other amount is invalid",IF(J632&lt;&gt;0,"Amount differs","Matched")))))))</x:f>
      </x:c>
      <x:c r="L632" t="str">
        <x:f>IF(COUNTA(A632:F632)=0,"",LEN(A632)&amp;":"&amp;A632&amp;LEN(B632)&amp;":"&amp;B632&amp;LEN(C632)&amp;":"&amp;C632&amp;LEN(D632)&amp;":"&amp;D632)</x:f>
      </x:c>
      <x:c r="M632" t="str">
        <x:f>IF(COUNTA(A632:F632)=0,"",IF(ISNUMBER(E632),1,0))</x:f>
      </x:c>
    </x:row>
    <x:row r="633">
      <x:c r="A633" s="11"/>
      <x:c r="B633" s="11"/>
      <x:c r="C633" s="11"/>
      <x:c r="D633" s="11"/>
      <x:c r="E633" s="12"/>
      <x:c r="F633" s="10"/>
      <x:c r="G633" s="2" t="str">
        <x:f>IF(COUNTA(A633:F633)=0,"",COUNTIFS('External Data'!$L$2:$L$1001,SUBSTITUTE(SUBSTITUTE(SUBSTITUTE(L633,"~","~~"),"*","~*"),"?","~?")))</x:f>
      </x:c>
      <x:c r="H633" s="2" t="str">
        <x:f>IF(COUNTA(A633:F633)=0,"",COUNTIFS('App Data'!$L$2:$L$1001,SUBSTITUTE(SUBSTITUTE(SUBSTITUTE(L633,"~","~~"),"*","~*"),"?","~?")))</x:f>
      </x:c>
      <x:c r="I633" s="13" t="str">
        <x:f>IF(OR(H633&lt;&gt;1,G633&lt;&gt;1),"",SUMIFS('App Data'!$E$2:$E$1001,'App Data'!$L$2:$L$1001,SUBSTITUTE(SUBSTITUTE(SUBSTITUTE(L633,"~","~~"),"*","~*"),"?","~?")))</x:f>
      </x:c>
      <x:c r="J633" s="13" t="str">
        <x:f>IF(OR(NOT(ISNUMBER(E633)),NOT(ISNUMBER(I633))),"",ROUND(E633-I633,2))</x:f>
      </x:c>
      <x:c r="K633" s="2" t="str">
        <x:f>IF(COUNTA(A633:F633)=0,"",IF(OR(A633="",B633="",C633="",D633="",NOT(ISNUMBER(E633))),"Missing / invalid input",IF(G633&gt;1,"Duplicate key in this source",IF(H633=0,"Missing in other source",IF(H633&gt;1,"Duplicate in other source",IF(SUMIFS('App Data'!$M$2:$M$1001,'App Data'!$L$2:$L$1001,SUBSTITUTE(SUBSTITUTE(SUBSTITUTE(L633,"~","~~"),"*","~*"),"?","~?"))&lt;&gt;1,"Other amount is invalid",IF(J633&lt;&gt;0,"Amount differs","Matched")))))))</x:f>
      </x:c>
      <x:c r="L633" t="str">
        <x:f>IF(COUNTA(A633:F633)=0,"",LEN(A633)&amp;":"&amp;A633&amp;LEN(B633)&amp;":"&amp;B633&amp;LEN(C633)&amp;":"&amp;C633&amp;LEN(D633)&amp;":"&amp;D633)</x:f>
      </x:c>
      <x:c r="M633" t="str">
        <x:f>IF(COUNTA(A633:F633)=0,"",IF(ISNUMBER(E633),1,0))</x:f>
      </x:c>
    </x:row>
    <x:row r="634">
      <x:c r="A634" s="11"/>
      <x:c r="B634" s="11"/>
      <x:c r="C634" s="11"/>
      <x:c r="D634" s="11"/>
      <x:c r="E634" s="12"/>
      <x:c r="F634" s="10"/>
      <x:c r="G634" s="2" t="str">
        <x:f>IF(COUNTA(A634:F634)=0,"",COUNTIFS('External Data'!$L$2:$L$1001,SUBSTITUTE(SUBSTITUTE(SUBSTITUTE(L634,"~","~~"),"*","~*"),"?","~?")))</x:f>
      </x:c>
      <x:c r="H634" s="2" t="str">
        <x:f>IF(COUNTA(A634:F634)=0,"",COUNTIFS('App Data'!$L$2:$L$1001,SUBSTITUTE(SUBSTITUTE(SUBSTITUTE(L634,"~","~~"),"*","~*"),"?","~?")))</x:f>
      </x:c>
      <x:c r="I634" s="13" t="str">
        <x:f>IF(OR(H634&lt;&gt;1,G634&lt;&gt;1),"",SUMIFS('App Data'!$E$2:$E$1001,'App Data'!$L$2:$L$1001,SUBSTITUTE(SUBSTITUTE(SUBSTITUTE(L634,"~","~~"),"*","~*"),"?","~?")))</x:f>
      </x:c>
      <x:c r="J634" s="13" t="str">
        <x:f>IF(OR(NOT(ISNUMBER(E634)),NOT(ISNUMBER(I634))),"",ROUND(E634-I634,2))</x:f>
      </x:c>
      <x:c r="K634" s="2" t="str">
        <x:f>IF(COUNTA(A634:F634)=0,"",IF(OR(A634="",B634="",C634="",D634="",NOT(ISNUMBER(E634))),"Missing / invalid input",IF(G634&gt;1,"Duplicate key in this source",IF(H634=0,"Missing in other source",IF(H634&gt;1,"Duplicate in other source",IF(SUMIFS('App Data'!$M$2:$M$1001,'App Data'!$L$2:$L$1001,SUBSTITUTE(SUBSTITUTE(SUBSTITUTE(L634,"~","~~"),"*","~*"),"?","~?"))&lt;&gt;1,"Other amount is invalid",IF(J634&lt;&gt;0,"Amount differs","Matched")))))))</x:f>
      </x:c>
      <x:c r="L634" t="str">
        <x:f>IF(COUNTA(A634:F634)=0,"",LEN(A634)&amp;":"&amp;A634&amp;LEN(B634)&amp;":"&amp;B634&amp;LEN(C634)&amp;":"&amp;C634&amp;LEN(D634)&amp;":"&amp;D634)</x:f>
      </x:c>
      <x:c r="M634" t="str">
        <x:f>IF(COUNTA(A634:F634)=0,"",IF(ISNUMBER(E634),1,0))</x:f>
      </x:c>
    </x:row>
    <x:row r="635">
      <x:c r="A635" s="11"/>
      <x:c r="B635" s="11"/>
      <x:c r="C635" s="11"/>
      <x:c r="D635" s="11"/>
      <x:c r="E635" s="12"/>
      <x:c r="F635" s="10"/>
      <x:c r="G635" s="2" t="str">
        <x:f>IF(COUNTA(A635:F635)=0,"",COUNTIFS('External Data'!$L$2:$L$1001,SUBSTITUTE(SUBSTITUTE(SUBSTITUTE(L635,"~","~~"),"*","~*"),"?","~?")))</x:f>
      </x:c>
      <x:c r="H635" s="2" t="str">
        <x:f>IF(COUNTA(A635:F635)=0,"",COUNTIFS('App Data'!$L$2:$L$1001,SUBSTITUTE(SUBSTITUTE(SUBSTITUTE(L635,"~","~~"),"*","~*"),"?","~?")))</x:f>
      </x:c>
      <x:c r="I635" s="13" t="str">
        <x:f>IF(OR(H635&lt;&gt;1,G635&lt;&gt;1),"",SUMIFS('App Data'!$E$2:$E$1001,'App Data'!$L$2:$L$1001,SUBSTITUTE(SUBSTITUTE(SUBSTITUTE(L635,"~","~~"),"*","~*"),"?","~?")))</x:f>
      </x:c>
      <x:c r="J635" s="13" t="str">
        <x:f>IF(OR(NOT(ISNUMBER(E635)),NOT(ISNUMBER(I635))),"",ROUND(E635-I635,2))</x:f>
      </x:c>
      <x:c r="K635" s="2" t="str">
        <x:f>IF(COUNTA(A635:F635)=0,"",IF(OR(A635="",B635="",C635="",D635="",NOT(ISNUMBER(E635))),"Missing / invalid input",IF(G635&gt;1,"Duplicate key in this source",IF(H635=0,"Missing in other source",IF(H635&gt;1,"Duplicate in other source",IF(SUMIFS('App Data'!$M$2:$M$1001,'App Data'!$L$2:$L$1001,SUBSTITUTE(SUBSTITUTE(SUBSTITUTE(L635,"~","~~"),"*","~*"),"?","~?"))&lt;&gt;1,"Other amount is invalid",IF(J635&lt;&gt;0,"Amount differs","Matched")))))))</x:f>
      </x:c>
      <x:c r="L635" t="str">
        <x:f>IF(COUNTA(A635:F635)=0,"",LEN(A635)&amp;":"&amp;A635&amp;LEN(B635)&amp;":"&amp;B635&amp;LEN(C635)&amp;":"&amp;C635&amp;LEN(D635)&amp;":"&amp;D635)</x:f>
      </x:c>
      <x:c r="M635" t="str">
        <x:f>IF(COUNTA(A635:F635)=0,"",IF(ISNUMBER(E635),1,0))</x:f>
      </x:c>
    </x:row>
    <x:row r="636">
      <x:c r="A636" s="11"/>
      <x:c r="B636" s="11"/>
      <x:c r="C636" s="11"/>
      <x:c r="D636" s="11"/>
      <x:c r="E636" s="12"/>
      <x:c r="F636" s="10"/>
      <x:c r="G636" s="2" t="str">
        <x:f>IF(COUNTA(A636:F636)=0,"",COUNTIFS('External Data'!$L$2:$L$1001,SUBSTITUTE(SUBSTITUTE(SUBSTITUTE(L636,"~","~~"),"*","~*"),"?","~?")))</x:f>
      </x:c>
      <x:c r="H636" s="2" t="str">
        <x:f>IF(COUNTA(A636:F636)=0,"",COUNTIFS('App Data'!$L$2:$L$1001,SUBSTITUTE(SUBSTITUTE(SUBSTITUTE(L636,"~","~~"),"*","~*"),"?","~?")))</x:f>
      </x:c>
      <x:c r="I636" s="13" t="str">
        <x:f>IF(OR(H636&lt;&gt;1,G636&lt;&gt;1),"",SUMIFS('App Data'!$E$2:$E$1001,'App Data'!$L$2:$L$1001,SUBSTITUTE(SUBSTITUTE(SUBSTITUTE(L636,"~","~~"),"*","~*"),"?","~?")))</x:f>
      </x:c>
      <x:c r="J636" s="13" t="str">
        <x:f>IF(OR(NOT(ISNUMBER(E636)),NOT(ISNUMBER(I636))),"",ROUND(E636-I636,2))</x:f>
      </x:c>
      <x:c r="K636" s="2" t="str">
        <x:f>IF(COUNTA(A636:F636)=0,"",IF(OR(A636="",B636="",C636="",D636="",NOT(ISNUMBER(E636))),"Missing / invalid input",IF(G636&gt;1,"Duplicate key in this source",IF(H636=0,"Missing in other source",IF(H636&gt;1,"Duplicate in other source",IF(SUMIFS('App Data'!$M$2:$M$1001,'App Data'!$L$2:$L$1001,SUBSTITUTE(SUBSTITUTE(SUBSTITUTE(L636,"~","~~"),"*","~*"),"?","~?"))&lt;&gt;1,"Other amount is invalid",IF(J636&lt;&gt;0,"Amount differs","Matched")))))))</x:f>
      </x:c>
      <x:c r="L636" t="str">
        <x:f>IF(COUNTA(A636:F636)=0,"",LEN(A636)&amp;":"&amp;A636&amp;LEN(B636)&amp;":"&amp;B636&amp;LEN(C636)&amp;":"&amp;C636&amp;LEN(D636)&amp;":"&amp;D636)</x:f>
      </x:c>
      <x:c r="M636" t="str">
        <x:f>IF(COUNTA(A636:F636)=0,"",IF(ISNUMBER(E636),1,0))</x:f>
      </x:c>
    </x:row>
    <x:row r="637">
      <x:c r="A637" s="11"/>
      <x:c r="B637" s="11"/>
      <x:c r="C637" s="11"/>
      <x:c r="D637" s="11"/>
      <x:c r="E637" s="12"/>
      <x:c r="F637" s="10"/>
      <x:c r="G637" s="2" t="str">
        <x:f>IF(COUNTA(A637:F637)=0,"",COUNTIFS('External Data'!$L$2:$L$1001,SUBSTITUTE(SUBSTITUTE(SUBSTITUTE(L637,"~","~~"),"*","~*"),"?","~?")))</x:f>
      </x:c>
      <x:c r="H637" s="2" t="str">
        <x:f>IF(COUNTA(A637:F637)=0,"",COUNTIFS('App Data'!$L$2:$L$1001,SUBSTITUTE(SUBSTITUTE(SUBSTITUTE(L637,"~","~~"),"*","~*"),"?","~?")))</x:f>
      </x:c>
      <x:c r="I637" s="13" t="str">
        <x:f>IF(OR(H637&lt;&gt;1,G637&lt;&gt;1),"",SUMIFS('App Data'!$E$2:$E$1001,'App Data'!$L$2:$L$1001,SUBSTITUTE(SUBSTITUTE(SUBSTITUTE(L637,"~","~~"),"*","~*"),"?","~?")))</x:f>
      </x:c>
      <x:c r="J637" s="13" t="str">
        <x:f>IF(OR(NOT(ISNUMBER(E637)),NOT(ISNUMBER(I637))),"",ROUND(E637-I637,2))</x:f>
      </x:c>
      <x:c r="K637" s="2" t="str">
        <x:f>IF(COUNTA(A637:F637)=0,"",IF(OR(A637="",B637="",C637="",D637="",NOT(ISNUMBER(E637))),"Missing / invalid input",IF(G637&gt;1,"Duplicate key in this source",IF(H637=0,"Missing in other source",IF(H637&gt;1,"Duplicate in other source",IF(SUMIFS('App Data'!$M$2:$M$1001,'App Data'!$L$2:$L$1001,SUBSTITUTE(SUBSTITUTE(SUBSTITUTE(L637,"~","~~"),"*","~*"),"?","~?"))&lt;&gt;1,"Other amount is invalid",IF(J637&lt;&gt;0,"Amount differs","Matched")))))))</x:f>
      </x:c>
      <x:c r="L637" t="str">
        <x:f>IF(COUNTA(A637:F637)=0,"",LEN(A637)&amp;":"&amp;A637&amp;LEN(B637)&amp;":"&amp;B637&amp;LEN(C637)&amp;":"&amp;C637&amp;LEN(D637)&amp;":"&amp;D637)</x:f>
      </x:c>
      <x:c r="M637" t="str">
        <x:f>IF(COUNTA(A637:F637)=0,"",IF(ISNUMBER(E637),1,0))</x:f>
      </x:c>
    </x:row>
    <x:row r="638">
      <x:c r="A638" s="11"/>
      <x:c r="B638" s="11"/>
      <x:c r="C638" s="11"/>
      <x:c r="D638" s="11"/>
      <x:c r="E638" s="12"/>
      <x:c r="F638" s="10"/>
      <x:c r="G638" s="2" t="str">
        <x:f>IF(COUNTA(A638:F638)=0,"",COUNTIFS('External Data'!$L$2:$L$1001,SUBSTITUTE(SUBSTITUTE(SUBSTITUTE(L638,"~","~~"),"*","~*"),"?","~?")))</x:f>
      </x:c>
      <x:c r="H638" s="2" t="str">
        <x:f>IF(COUNTA(A638:F638)=0,"",COUNTIFS('App Data'!$L$2:$L$1001,SUBSTITUTE(SUBSTITUTE(SUBSTITUTE(L638,"~","~~"),"*","~*"),"?","~?")))</x:f>
      </x:c>
      <x:c r="I638" s="13" t="str">
        <x:f>IF(OR(H638&lt;&gt;1,G638&lt;&gt;1),"",SUMIFS('App Data'!$E$2:$E$1001,'App Data'!$L$2:$L$1001,SUBSTITUTE(SUBSTITUTE(SUBSTITUTE(L638,"~","~~"),"*","~*"),"?","~?")))</x:f>
      </x:c>
      <x:c r="J638" s="13" t="str">
        <x:f>IF(OR(NOT(ISNUMBER(E638)),NOT(ISNUMBER(I638))),"",ROUND(E638-I638,2))</x:f>
      </x:c>
      <x:c r="K638" s="2" t="str">
        <x:f>IF(COUNTA(A638:F638)=0,"",IF(OR(A638="",B638="",C638="",D638="",NOT(ISNUMBER(E638))),"Missing / invalid input",IF(G638&gt;1,"Duplicate key in this source",IF(H638=0,"Missing in other source",IF(H638&gt;1,"Duplicate in other source",IF(SUMIFS('App Data'!$M$2:$M$1001,'App Data'!$L$2:$L$1001,SUBSTITUTE(SUBSTITUTE(SUBSTITUTE(L638,"~","~~"),"*","~*"),"?","~?"))&lt;&gt;1,"Other amount is invalid",IF(J638&lt;&gt;0,"Amount differs","Matched")))))))</x:f>
      </x:c>
      <x:c r="L638" t="str">
        <x:f>IF(COUNTA(A638:F638)=0,"",LEN(A638)&amp;":"&amp;A638&amp;LEN(B638)&amp;":"&amp;B638&amp;LEN(C638)&amp;":"&amp;C638&amp;LEN(D638)&amp;":"&amp;D638)</x:f>
      </x:c>
      <x:c r="M638" t="str">
        <x:f>IF(COUNTA(A638:F638)=0,"",IF(ISNUMBER(E638),1,0))</x:f>
      </x:c>
    </x:row>
    <x:row r="639">
      <x:c r="A639" s="11"/>
      <x:c r="B639" s="11"/>
      <x:c r="C639" s="11"/>
      <x:c r="D639" s="11"/>
      <x:c r="E639" s="12"/>
      <x:c r="F639" s="10"/>
      <x:c r="G639" s="2" t="str">
        <x:f>IF(COUNTA(A639:F639)=0,"",COUNTIFS('External Data'!$L$2:$L$1001,SUBSTITUTE(SUBSTITUTE(SUBSTITUTE(L639,"~","~~"),"*","~*"),"?","~?")))</x:f>
      </x:c>
      <x:c r="H639" s="2" t="str">
        <x:f>IF(COUNTA(A639:F639)=0,"",COUNTIFS('App Data'!$L$2:$L$1001,SUBSTITUTE(SUBSTITUTE(SUBSTITUTE(L639,"~","~~"),"*","~*"),"?","~?")))</x:f>
      </x:c>
      <x:c r="I639" s="13" t="str">
        <x:f>IF(OR(H639&lt;&gt;1,G639&lt;&gt;1),"",SUMIFS('App Data'!$E$2:$E$1001,'App Data'!$L$2:$L$1001,SUBSTITUTE(SUBSTITUTE(SUBSTITUTE(L639,"~","~~"),"*","~*"),"?","~?")))</x:f>
      </x:c>
      <x:c r="J639" s="13" t="str">
        <x:f>IF(OR(NOT(ISNUMBER(E639)),NOT(ISNUMBER(I639))),"",ROUND(E639-I639,2))</x:f>
      </x:c>
      <x:c r="K639" s="2" t="str">
        <x:f>IF(COUNTA(A639:F639)=0,"",IF(OR(A639="",B639="",C639="",D639="",NOT(ISNUMBER(E639))),"Missing / invalid input",IF(G639&gt;1,"Duplicate key in this source",IF(H639=0,"Missing in other source",IF(H639&gt;1,"Duplicate in other source",IF(SUMIFS('App Data'!$M$2:$M$1001,'App Data'!$L$2:$L$1001,SUBSTITUTE(SUBSTITUTE(SUBSTITUTE(L639,"~","~~"),"*","~*"),"?","~?"))&lt;&gt;1,"Other amount is invalid",IF(J639&lt;&gt;0,"Amount differs","Matched")))))))</x:f>
      </x:c>
      <x:c r="L639" t="str">
        <x:f>IF(COUNTA(A639:F639)=0,"",LEN(A639)&amp;":"&amp;A639&amp;LEN(B639)&amp;":"&amp;B639&amp;LEN(C639)&amp;":"&amp;C639&amp;LEN(D639)&amp;":"&amp;D639)</x:f>
      </x:c>
      <x:c r="M639" t="str">
        <x:f>IF(COUNTA(A639:F639)=0,"",IF(ISNUMBER(E639),1,0))</x:f>
      </x:c>
    </x:row>
    <x:row r="640">
      <x:c r="A640" s="11"/>
      <x:c r="B640" s="11"/>
      <x:c r="C640" s="11"/>
      <x:c r="D640" s="11"/>
      <x:c r="E640" s="12"/>
      <x:c r="F640" s="10"/>
      <x:c r="G640" s="2" t="str">
        <x:f>IF(COUNTA(A640:F640)=0,"",COUNTIFS('External Data'!$L$2:$L$1001,SUBSTITUTE(SUBSTITUTE(SUBSTITUTE(L640,"~","~~"),"*","~*"),"?","~?")))</x:f>
      </x:c>
      <x:c r="H640" s="2" t="str">
        <x:f>IF(COUNTA(A640:F640)=0,"",COUNTIFS('App Data'!$L$2:$L$1001,SUBSTITUTE(SUBSTITUTE(SUBSTITUTE(L640,"~","~~"),"*","~*"),"?","~?")))</x:f>
      </x:c>
      <x:c r="I640" s="13" t="str">
        <x:f>IF(OR(H640&lt;&gt;1,G640&lt;&gt;1),"",SUMIFS('App Data'!$E$2:$E$1001,'App Data'!$L$2:$L$1001,SUBSTITUTE(SUBSTITUTE(SUBSTITUTE(L640,"~","~~"),"*","~*"),"?","~?")))</x:f>
      </x:c>
      <x:c r="J640" s="13" t="str">
        <x:f>IF(OR(NOT(ISNUMBER(E640)),NOT(ISNUMBER(I640))),"",ROUND(E640-I640,2))</x:f>
      </x:c>
      <x:c r="K640" s="2" t="str">
        <x:f>IF(COUNTA(A640:F640)=0,"",IF(OR(A640="",B640="",C640="",D640="",NOT(ISNUMBER(E640))),"Missing / invalid input",IF(G640&gt;1,"Duplicate key in this source",IF(H640=0,"Missing in other source",IF(H640&gt;1,"Duplicate in other source",IF(SUMIFS('App Data'!$M$2:$M$1001,'App Data'!$L$2:$L$1001,SUBSTITUTE(SUBSTITUTE(SUBSTITUTE(L640,"~","~~"),"*","~*"),"?","~?"))&lt;&gt;1,"Other amount is invalid",IF(J640&lt;&gt;0,"Amount differs","Matched")))))))</x:f>
      </x:c>
      <x:c r="L640" t="str">
        <x:f>IF(COUNTA(A640:F640)=0,"",LEN(A640)&amp;":"&amp;A640&amp;LEN(B640)&amp;":"&amp;B640&amp;LEN(C640)&amp;":"&amp;C640&amp;LEN(D640)&amp;":"&amp;D640)</x:f>
      </x:c>
      <x:c r="M640" t="str">
        <x:f>IF(COUNTA(A640:F640)=0,"",IF(ISNUMBER(E640),1,0))</x:f>
      </x:c>
    </x:row>
    <x:row r="641">
      <x:c r="A641" s="11"/>
      <x:c r="B641" s="11"/>
      <x:c r="C641" s="11"/>
      <x:c r="D641" s="11"/>
      <x:c r="E641" s="12"/>
      <x:c r="F641" s="10"/>
      <x:c r="G641" s="2" t="str">
        <x:f>IF(COUNTA(A641:F641)=0,"",COUNTIFS('External Data'!$L$2:$L$1001,SUBSTITUTE(SUBSTITUTE(SUBSTITUTE(L641,"~","~~"),"*","~*"),"?","~?")))</x:f>
      </x:c>
      <x:c r="H641" s="2" t="str">
        <x:f>IF(COUNTA(A641:F641)=0,"",COUNTIFS('App Data'!$L$2:$L$1001,SUBSTITUTE(SUBSTITUTE(SUBSTITUTE(L641,"~","~~"),"*","~*"),"?","~?")))</x:f>
      </x:c>
      <x:c r="I641" s="13" t="str">
        <x:f>IF(OR(H641&lt;&gt;1,G641&lt;&gt;1),"",SUMIFS('App Data'!$E$2:$E$1001,'App Data'!$L$2:$L$1001,SUBSTITUTE(SUBSTITUTE(SUBSTITUTE(L641,"~","~~"),"*","~*"),"?","~?")))</x:f>
      </x:c>
      <x:c r="J641" s="13" t="str">
        <x:f>IF(OR(NOT(ISNUMBER(E641)),NOT(ISNUMBER(I641))),"",ROUND(E641-I641,2))</x:f>
      </x:c>
      <x:c r="K641" s="2" t="str">
        <x:f>IF(COUNTA(A641:F641)=0,"",IF(OR(A641="",B641="",C641="",D641="",NOT(ISNUMBER(E641))),"Missing / invalid input",IF(G641&gt;1,"Duplicate key in this source",IF(H641=0,"Missing in other source",IF(H641&gt;1,"Duplicate in other source",IF(SUMIFS('App Data'!$M$2:$M$1001,'App Data'!$L$2:$L$1001,SUBSTITUTE(SUBSTITUTE(SUBSTITUTE(L641,"~","~~"),"*","~*"),"?","~?"))&lt;&gt;1,"Other amount is invalid",IF(J641&lt;&gt;0,"Amount differs","Matched")))))))</x:f>
      </x:c>
      <x:c r="L641" t="str">
        <x:f>IF(COUNTA(A641:F641)=0,"",LEN(A641)&amp;":"&amp;A641&amp;LEN(B641)&amp;":"&amp;B641&amp;LEN(C641)&amp;":"&amp;C641&amp;LEN(D641)&amp;":"&amp;D641)</x:f>
      </x:c>
      <x:c r="M641" t="str">
        <x:f>IF(COUNTA(A641:F641)=0,"",IF(ISNUMBER(E641),1,0))</x:f>
      </x:c>
    </x:row>
    <x:row r="642">
      <x:c r="A642" s="11"/>
      <x:c r="B642" s="11"/>
      <x:c r="C642" s="11"/>
      <x:c r="D642" s="11"/>
      <x:c r="E642" s="12"/>
      <x:c r="F642" s="10"/>
      <x:c r="G642" s="2" t="str">
        <x:f>IF(COUNTA(A642:F642)=0,"",COUNTIFS('External Data'!$L$2:$L$1001,SUBSTITUTE(SUBSTITUTE(SUBSTITUTE(L642,"~","~~"),"*","~*"),"?","~?")))</x:f>
      </x:c>
      <x:c r="H642" s="2" t="str">
        <x:f>IF(COUNTA(A642:F642)=0,"",COUNTIFS('App Data'!$L$2:$L$1001,SUBSTITUTE(SUBSTITUTE(SUBSTITUTE(L642,"~","~~"),"*","~*"),"?","~?")))</x:f>
      </x:c>
      <x:c r="I642" s="13" t="str">
        <x:f>IF(OR(H642&lt;&gt;1,G642&lt;&gt;1),"",SUMIFS('App Data'!$E$2:$E$1001,'App Data'!$L$2:$L$1001,SUBSTITUTE(SUBSTITUTE(SUBSTITUTE(L642,"~","~~"),"*","~*"),"?","~?")))</x:f>
      </x:c>
      <x:c r="J642" s="13" t="str">
        <x:f>IF(OR(NOT(ISNUMBER(E642)),NOT(ISNUMBER(I642))),"",ROUND(E642-I642,2))</x:f>
      </x:c>
      <x:c r="K642" s="2" t="str">
        <x:f>IF(COUNTA(A642:F642)=0,"",IF(OR(A642="",B642="",C642="",D642="",NOT(ISNUMBER(E642))),"Missing / invalid input",IF(G642&gt;1,"Duplicate key in this source",IF(H642=0,"Missing in other source",IF(H642&gt;1,"Duplicate in other source",IF(SUMIFS('App Data'!$M$2:$M$1001,'App Data'!$L$2:$L$1001,SUBSTITUTE(SUBSTITUTE(SUBSTITUTE(L642,"~","~~"),"*","~*"),"?","~?"))&lt;&gt;1,"Other amount is invalid",IF(J642&lt;&gt;0,"Amount differs","Matched")))))))</x:f>
      </x:c>
      <x:c r="L642" t="str">
        <x:f>IF(COUNTA(A642:F642)=0,"",LEN(A642)&amp;":"&amp;A642&amp;LEN(B642)&amp;":"&amp;B642&amp;LEN(C642)&amp;":"&amp;C642&amp;LEN(D642)&amp;":"&amp;D642)</x:f>
      </x:c>
      <x:c r="M642" t="str">
        <x:f>IF(COUNTA(A642:F642)=0,"",IF(ISNUMBER(E642),1,0))</x:f>
      </x:c>
    </x:row>
    <x:row r="643">
      <x:c r="A643" s="11"/>
      <x:c r="B643" s="11"/>
      <x:c r="C643" s="11"/>
      <x:c r="D643" s="11"/>
      <x:c r="E643" s="12"/>
      <x:c r="F643" s="10"/>
      <x:c r="G643" s="2" t="str">
        <x:f>IF(COUNTA(A643:F643)=0,"",COUNTIFS('External Data'!$L$2:$L$1001,SUBSTITUTE(SUBSTITUTE(SUBSTITUTE(L643,"~","~~"),"*","~*"),"?","~?")))</x:f>
      </x:c>
      <x:c r="H643" s="2" t="str">
        <x:f>IF(COUNTA(A643:F643)=0,"",COUNTIFS('App Data'!$L$2:$L$1001,SUBSTITUTE(SUBSTITUTE(SUBSTITUTE(L643,"~","~~"),"*","~*"),"?","~?")))</x:f>
      </x:c>
      <x:c r="I643" s="13" t="str">
        <x:f>IF(OR(H643&lt;&gt;1,G643&lt;&gt;1),"",SUMIFS('App Data'!$E$2:$E$1001,'App Data'!$L$2:$L$1001,SUBSTITUTE(SUBSTITUTE(SUBSTITUTE(L643,"~","~~"),"*","~*"),"?","~?")))</x:f>
      </x:c>
      <x:c r="J643" s="13" t="str">
        <x:f>IF(OR(NOT(ISNUMBER(E643)),NOT(ISNUMBER(I643))),"",ROUND(E643-I643,2))</x:f>
      </x:c>
      <x:c r="K643" s="2" t="str">
        <x:f>IF(COUNTA(A643:F643)=0,"",IF(OR(A643="",B643="",C643="",D643="",NOT(ISNUMBER(E643))),"Missing / invalid input",IF(G643&gt;1,"Duplicate key in this source",IF(H643=0,"Missing in other source",IF(H643&gt;1,"Duplicate in other source",IF(SUMIFS('App Data'!$M$2:$M$1001,'App Data'!$L$2:$L$1001,SUBSTITUTE(SUBSTITUTE(SUBSTITUTE(L643,"~","~~"),"*","~*"),"?","~?"))&lt;&gt;1,"Other amount is invalid",IF(J643&lt;&gt;0,"Amount differs","Matched")))))))</x:f>
      </x:c>
      <x:c r="L643" t="str">
        <x:f>IF(COUNTA(A643:F643)=0,"",LEN(A643)&amp;":"&amp;A643&amp;LEN(B643)&amp;":"&amp;B643&amp;LEN(C643)&amp;":"&amp;C643&amp;LEN(D643)&amp;":"&amp;D643)</x:f>
      </x:c>
      <x:c r="M643" t="str">
        <x:f>IF(COUNTA(A643:F643)=0,"",IF(ISNUMBER(E643),1,0))</x:f>
      </x:c>
    </x:row>
    <x:row r="644">
      <x:c r="A644" s="11"/>
      <x:c r="B644" s="11"/>
      <x:c r="C644" s="11"/>
      <x:c r="D644" s="11"/>
      <x:c r="E644" s="12"/>
      <x:c r="F644" s="10"/>
      <x:c r="G644" s="2" t="str">
        <x:f>IF(COUNTA(A644:F644)=0,"",COUNTIFS('External Data'!$L$2:$L$1001,SUBSTITUTE(SUBSTITUTE(SUBSTITUTE(L644,"~","~~"),"*","~*"),"?","~?")))</x:f>
      </x:c>
      <x:c r="H644" s="2" t="str">
        <x:f>IF(COUNTA(A644:F644)=0,"",COUNTIFS('App Data'!$L$2:$L$1001,SUBSTITUTE(SUBSTITUTE(SUBSTITUTE(L644,"~","~~"),"*","~*"),"?","~?")))</x:f>
      </x:c>
      <x:c r="I644" s="13" t="str">
        <x:f>IF(OR(H644&lt;&gt;1,G644&lt;&gt;1),"",SUMIFS('App Data'!$E$2:$E$1001,'App Data'!$L$2:$L$1001,SUBSTITUTE(SUBSTITUTE(SUBSTITUTE(L644,"~","~~"),"*","~*"),"?","~?")))</x:f>
      </x:c>
      <x:c r="J644" s="13" t="str">
        <x:f>IF(OR(NOT(ISNUMBER(E644)),NOT(ISNUMBER(I644))),"",ROUND(E644-I644,2))</x:f>
      </x:c>
      <x:c r="K644" s="2" t="str">
        <x:f>IF(COUNTA(A644:F644)=0,"",IF(OR(A644="",B644="",C644="",D644="",NOT(ISNUMBER(E644))),"Missing / invalid input",IF(G644&gt;1,"Duplicate key in this source",IF(H644=0,"Missing in other source",IF(H644&gt;1,"Duplicate in other source",IF(SUMIFS('App Data'!$M$2:$M$1001,'App Data'!$L$2:$L$1001,SUBSTITUTE(SUBSTITUTE(SUBSTITUTE(L644,"~","~~"),"*","~*"),"?","~?"))&lt;&gt;1,"Other amount is invalid",IF(J644&lt;&gt;0,"Amount differs","Matched")))))))</x:f>
      </x:c>
      <x:c r="L644" t="str">
        <x:f>IF(COUNTA(A644:F644)=0,"",LEN(A644)&amp;":"&amp;A644&amp;LEN(B644)&amp;":"&amp;B644&amp;LEN(C644)&amp;":"&amp;C644&amp;LEN(D644)&amp;":"&amp;D644)</x:f>
      </x:c>
      <x:c r="M644" t="str">
        <x:f>IF(COUNTA(A644:F644)=0,"",IF(ISNUMBER(E644),1,0))</x:f>
      </x:c>
    </x:row>
    <x:row r="645">
      <x:c r="A645" s="11"/>
      <x:c r="B645" s="11"/>
      <x:c r="C645" s="11"/>
      <x:c r="D645" s="11"/>
      <x:c r="E645" s="12"/>
      <x:c r="F645" s="10"/>
      <x:c r="G645" s="2" t="str">
        <x:f>IF(COUNTA(A645:F645)=0,"",COUNTIFS('External Data'!$L$2:$L$1001,SUBSTITUTE(SUBSTITUTE(SUBSTITUTE(L645,"~","~~"),"*","~*"),"?","~?")))</x:f>
      </x:c>
      <x:c r="H645" s="2" t="str">
        <x:f>IF(COUNTA(A645:F645)=0,"",COUNTIFS('App Data'!$L$2:$L$1001,SUBSTITUTE(SUBSTITUTE(SUBSTITUTE(L645,"~","~~"),"*","~*"),"?","~?")))</x:f>
      </x:c>
      <x:c r="I645" s="13" t="str">
        <x:f>IF(OR(H645&lt;&gt;1,G645&lt;&gt;1),"",SUMIFS('App Data'!$E$2:$E$1001,'App Data'!$L$2:$L$1001,SUBSTITUTE(SUBSTITUTE(SUBSTITUTE(L645,"~","~~"),"*","~*"),"?","~?")))</x:f>
      </x:c>
      <x:c r="J645" s="13" t="str">
        <x:f>IF(OR(NOT(ISNUMBER(E645)),NOT(ISNUMBER(I645))),"",ROUND(E645-I645,2))</x:f>
      </x:c>
      <x:c r="K645" s="2" t="str">
        <x:f>IF(COUNTA(A645:F645)=0,"",IF(OR(A645="",B645="",C645="",D645="",NOT(ISNUMBER(E645))),"Missing / invalid input",IF(G645&gt;1,"Duplicate key in this source",IF(H645=0,"Missing in other source",IF(H645&gt;1,"Duplicate in other source",IF(SUMIFS('App Data'!$M$2:$M$1001,'App Data'!$L$2:$L$1001,SUBSTITUTE(SUBSTITUTE(SUBSTITUTE(L645,"~","~~"),"*","~*"),"?","~?"))&lt;&gt;1,"Other amount is invalid",IF(J645&lt;&gt;0,"Amount differs","Matched")))))))</x:f>
      </x:c>
      <x:c r="L645" t="str">
        <x:f>IF(COUNTA(A645:F645)=0,"",LEN(A645)&amp;":"&amp;A645&amp;LEN(B645)&amp;":"&amp;B645&amp;LEN(C645)&amp;":"&amp;C645&amp;LEN(D645)&amp;":"&amp;D645)</x:f>
      </x:c>
      <x:c r="M645" t="str">
        <x:f>IF(COUNTA(A645:F645)=0,"",IF(ISNUMBER(E645),1,0))</x:f>
      </x:c>
    </x:row>
    <x:row r="646">
      <x:c r="A646" s="11"/>
      <x:c r="B646" s="11"/>
      <x:c r="C646" s="11"/>
      <x:c r="D646" s="11"/>
      <x:c r="E646" s="12"/>
      <x:c r="F646" s="10"/>
      <x:c r="G646" s="2" t="str">
        <x:f>IF(COUNTA(A646:F646)=0,"",COUNTIFS('External Data'!$L$2:$L$1001,SUBSTITUTE(SUBSTITUTE(SUBSTITUTE(L646,"~","~~"),"*","~*"),"?","~?")))</x:f>
      </x:c>
      <x:c r="H646" s="2" t="str">
        <x:f>IF(COUNTA(A646:F646)=0,"",COUNTIFS('App Data'!$L$2:$L$1001,SUBSTITUTE(SUBSTITUTE(SUBSTITUTE(L646,"~","~~"),"*","~*"),"?","~?")))</x:f>
      </x:c>
      <x:c r="I646" s="13" t="str">
        <x:f>IF(OR(H646&lt;&gt;1,G646&lt;&gt;1),"",SUMIFS('App Data'!$E$2:$E$1001,'App Data'!$L$2:$L$1001,SUBSTITUTE(SUBSTITUTE(SUBSTITUTE(L646,"~","~~"),"*","~*"),"?","~?")))</x:f>
      </x:c>
      <x:c r="J646" s="13" t="str">
        <x:f>IF(OR(NOT(ISNUMBER(E646)),NOT(ISNUMBER(I646))),"",ROUND(E646-I646,2))</x:f>
      </x:c>
      <x:c r="K646" s="2" t="str">
        <x:f>IF(COUNTA(A646:F646)=0,"",IF(OR(A646="",B646="",C646="",D646="",NOT(ISNUMBER(E646))),"Missing / invalid input",IF(G646&gt;1,"Duplicate key in this source",IF(H646=0,"Missing in other source",IF(H646&gt;1,"Duplicate in other source",IF(SUMIFS('App Data'!$M$2:$M$1001,'App Data'!$L$2:$L$1001,SUBSTITUTE(SUBSTITUTE(SUBSTITUTE(L646,"~","~~"),"*","~*"),"?","~?"))&lt;&gt;1,"Other amount is invalid",IF(J646&lt;&gt;0,"Amount differs","Matched")))))))</x:f>
      </x:c>
      <x:c r="L646" t="str">
        <x:f>IF(COUNTA(A646:F646)=0,"",LEN(A646)&amp;":"&amp;A646&amp;LEN(B646)&amp;":"&amp;B646&amp;LEN(C646)&amp;":"&amp;C646&amp;LEN(D646)&amp;":"&amp;D646)</x:f>
      </x:c>
      <x:c r="M646" t="str">
        <x:f>IF(COUNTA(A646:F646)=0,"",IF(ISNUMBER(E646),1,0))</x:f>
      </x:c>
    </x:row>
    <x:row r="647">
      <x:c r="A647" s="11"/>
      <x:c r="B647" s="11"/>
      <x:c r="C647" s="11"/>
      <x:c r="D647" s="11"/>
      <x:c r="E647" s="12"/>
      <x:c r="F647" s="10"/>
      <x:c r="G647" s="2" t="str">
        <x:f>IF(COUNTA(A647:F647)=0,"",COUNTIFS('External Data'!$L$2:$L$1001,SUBSTITUTE(SUBSTITUTE(SUBSTITUTE(L647,"~","~~"),"*","~*"),"?","~?")))</x:f>
      </x:c>
      <x:c r="H647" s="2" t="str">
        <x:f>IF(COUNTA(A647:F647)=0,"",COUNTIFS('App Data'!$L$2:$L$1001,SUBSTITUTE(SUBSTITUTE(SUBSTITUTE(L647,"~","~~"),"*","~*"),"?","~?")))</x:f>
      </x:c>
      <x:c r="I647" s="13" t="str">
        <x:f>IF(OR(H647&lt;&gt;1,G647&lt;&gt;1),"",SUMIFS('App Data'!$E$2:$E$1001,'App Data'!$L$2:$L$1001,SUBSTITUTE(SUBSTITUTE(SUBSTITUTE(L647,"~","~~"),"*","~*"),"?","~?")))</x:f>
      </x:c>
      <x:c r="J647" s="13" t="str">
        <x:f>IF(OR(NOT(ISNUMBER(E647)),NOT(ISNUMBER(I647))),"",ROUND(E647-I647,2))</x:f>
      </x:c>
      <x:c r="K647" s="2" t="str">
        <x:f>IF(COUNTA(A647:F647)=0,"",IF(OR(A647="",B647="",C647="",D647="",NOT(ISNUMBER(E647))),"Missing / invalid input",IF(G647&gt;1,"Duplicate key in this source",IF(H647=0,"Missing in other source",IF(H647&gt;1,"Duplicate in other source",IF(SUMIFS('App Data'!$M$2:$M$1001,'App Data'!$L$2:$L$1001,SUBSTITUTE(SUBSTITUTE(SUBSTITUTE(L647,"~","~~"),"*","~*"),"?","~?"))&lt;&gt;1,"Other amount is invalid",IF(J647&lt;&gt;0,"Amount differs","Matched")))))))</x:f>
      </x:c>
      <x:c r="L647" t="str">
        <x:f>IF(COUNTA(A647:F647)=0,"",LEN(A647)&amp;":"&amp;A647&amp;LEN(B647)&amp;":"&amp;B647&amp;LEN(C647)&amp;":"&amp;C647&amp;LEN(D647)&amp;":"&amp;D647)</x:f>
      </x:c>
      <x:c r="M647" t="str">
        <x:f>IF(COUNTA(A647:F647)=0,"",IF(ISNUMBER(E647),1,0))</x:f>
      </x:c>
    </x:row>
    <x:row r="648">
      <x:c r="A648" s="11"/>
      <x:c r="B648" s="11"/>
      <x:c r="C648" s="11"/>
      <x:c r="D648" s="11"/>
      <x:c r="E648" s="12"/>
      <x:c r="F648" s="10"/>
      <x:c r="G648" s="2" t="str">
        <x:f>IF(COUNTA(A648:F648)=0,"",COUNTIFS('External Data'!$L$2:$L$1001,SUBSTITUTE(SUBSTITUTE(SUBSTITUTE(L648,"~","~~"),"*","~*"),"?","~?")))</x:f>
      </x:c>
      <x:c r="H648" s="2" t="str">
        <x:f>IF(COUNTA(A648:F648)=0,"",COUNTIFS('App Data'!$L$2:$L$1001,SUBSTITUTE(SUBSTITUTE(SUBSTITUTE(L648,"~","~~"),"*","~*"),"?","~?")))</x:f>
      </x:c>
      <x:c r="I648" s="13" t="str">
        <x:f>IF(OR(H648&lt;&gt;1,G648&lt;&gt;1),"",SUMIFS('App Data'!$E$2:$E$1001,'App Data'!$L$2:$L$1001,SUBSTITUTE(SUBSTITUTE(SUBSTITUTE(L648,"~","~~"),"*","~*"),"?","~?")))</x:f>
      </x:c>
      <x:c r="J648" s="13" t="str">
        <x:f>IF(OR(NOT(ISNUMBER(E648)),NOT(ISNUMBER(I648))),"",ROUND(E648-I648,2))</x:f>
      </x:c>
      <x:c r="K648" s="2" t="str">
        <x:f>IF(COUNTA(A648:F648)=0,"",IF(OR(A648="",B648="",C648="",D648="",NOT(ISNUMBER(E648))),"Missing / invalid input",IF(G648&gt;1,"Duplicate key in this source",IF(H648=0,"Missing in other source",IF(H648&gt;1,"Duplicate in other source",IF(SUMIFS('App Data'!$M$2:$M$1001,'App Data'!$L$2:$L$1001,SUBSTITUTE(SUBSTITUTE(SUBSTITUTE(L648,"~","~~"),"*","~*"),"?","~?"))&lt;&gt;1,"Other amount is invalid",IF(J648&lt;&gt;0,"Amount differs","Matched")))))))</x:f>
      </x:c>
      <x:c r="L648" t="str">
        <x:f>IF(COUNTA(A648:F648)=0,"",LEN(A648)&amp;":"&amp;A648&amp;LEN(B648)&amp;":"&amp;B648&amp;LEN(C648)&amp;":"&amp;C648&amp;LEN(D648)&amp;":"&amp;D648)</x:f>
      </x:c>
      <x:c r="M648" t="str">
        <x:f>IF(COUNTA(A648:F648)=0,"",IF(ISNUMBER(E648),1,0))</x:f>
      </x:c>
    </x:row>
    <x:row r="649">
      <x:c r="A649" s="11"/>
      <x:c r="B649" s="11"/>
      <x:c r="C649" s="11"/>
      <x:c r="D649" s="11"/>
      <x:c r="E649" s="12"/>
      <x:c r="F649" s="10"/>
      <x:c r="G649" s="2" t="str">
        <x:f>IF(COUNTA(A649:F649)=0,"",COUNTIFS('External Data'!$L$2:$L$1001,SUBSTITUTE(SUBSTITUTE(SUBSTITUTE(L649,"~","~~"),"*","~*"),"?","~?")))</x:f>
      </x:c>
      <x:c r="H649" s="2" t="str">
        <x:f>IF(COUNTA(A649:F649)=0,"",COUNTIFS('App Data'!$L$2:$L$1001,SUBSTITUTE(SUBSTITUTE(SUBSTITUTE(L649,"~","~~"),"*","~*"),"?","~?")))</x:f>
      </x:c>
      <x:c r="I649" s="13" t="str">
        <x:f>IF(OR(H649&lt;&gt;1,G649&lt;&gt;1),"",SUMIFS('App Data'!$E$2:$E$1001,'App Data'!$L$2:$L$1001,SUBSTITUTE(SUBSTITUTE(SUBSTITUTE(L649,"~","~~"),"*","~*"),"?","~?")))</x:f>
      </x:c>
      <x:c r="J649" s="13" t="str">
        <x:f>IF(OR(NOT(ISNUMBER(E649)),NOT(ISNUMBER(I649))),"",ROUND(E649-I649,2))</x:f>
      </x:c>
      <x:c r="K649" s="2" t="str">
        <x:f>IF(COUNTA(A649:F649)=0,"",IF(OR(A649="",B649="",C649="",D649="",NOT(ISNUMBER(E649))),"Missing / invalid input",IF(G649&gt;1,"Duplicate key in this source",IF(H649=0,"Missing in other source",IF(H649&gt;1,"Duplicate in other source",IF(SUMIFS('App Data'!$M$2:$M$1001,'App Data'!$L$2:$L$1001,SUBSTITUTE(SUBSTITUTE(SUBSTITUTE(L649,"~","~~"),"*","~*"),"?","~?"))&lt;&gt;1,"Other amount is invalid",IF(J649&lt;&gt;0,"Amount differs","Matched")))))))</x:f>
      </x:c>
      <x:c r="L649" t="str">
        <x:f>IF(COUNTA(A649:F649)=0,"",LEN(A649)&amp;":"&amp;A649&amp;LEN(B649)&amp;":"&amp;B649&amp;LEN(C649)&amp;":"&amp;C649&amp;LEN(D649)&amp;":"&amp;D649)</x:f>
      </x:c>
      <x:c r="M649" t="str">
        <x:f>IF(COUNTA(A649:F649)=0,"",IF(ISNUMBER(E649),1,0))</x:f>
      </x:c>
    </x:row>
    <x:row r="650">
      <x:c r="A650" s="11"/>
      <x:c r="B650" s="11"/>
      <x:c r="C650" s="11"/>
      <x:c r="D650" s="11"/>
      <x:c r="E650" s="12"/>
      <x:c r="F650" s="10"/>
      <x:c r="G650" s="2" t="str">
        <x:f>IF(COUNTA(A650:F650)=0,"",COUNTIFS('External Data'!$L$2:$L$1001,SUBSTITUTE(SUBSTITUTE(SUBSTITUTE(L650,"~","~~"),"*","~*"),"?","~?")))</x:f>
      </x:c>
      <x:c r="H650" s="2" t="str">
        <x:f>IF(COUNTA(A650:F650)=0,"",COUNTIFS('App Data'!$L$2:$L$1001,SUBSTITUTE(SUBSTITUTE(SUBSTITUTE(L650,"~","~~"),"*","~*"),"?","~?")))</x:f>
      </x:c>
      <x:c r="I650" s="13" t="str">
        <x:f>IF(OR(H650&lt;&gt;1,G650&lt;&gt;1),"",SUMIFS('App Data'!$E$2:$E$1001,'App Data'!$L$2:$L$1001,SUBSTITUTE(SUBSTITUTE(SUBSTITUTE(L650,"~","~~"),"*","~*"),"?","~?")))</x:f>
      </x:c>
      <x:c r="J650" s="13" t="str">
        <x:f>IF(OR(NOT(ISNUMBER(E650)),NOT(ISNUMBER(I650))),"",ROUND(E650-I650,2))</x:f>
      </x:c>
      <x:c r="K650" s="2" t="str">
        <x:f>IF(COUNTA(A650:F650)=0,"",IF(OR(A650="",B650="",C650="",D650="",NOT(ISNUMBER(E650))),"Missing / invalid input",IF(G650&gt;1,"Duplicate key in this source",IF(H650=0,"Missing in other source",IF(H650&gt;1,"Duplicate in other source",IF(SUMIFS('App Data'!$M$2:$M$1001,'App Data'!$L$2:$L$1001,SUBSTITUTE(SUBSTITUTE(SUBSTITUTE(L650,"~","~~"),"*","~*"),"?","~?"))&lt;&gt;1,"Other amount is invalid",IF(J650&lt;&gt;0,"Amount differs","Matched")))))))</x:f>
      </x:c>
      <x:c r="L650" t="str">
        <x:f>IF(COUNTA(A650:F650)=0,"",LEN(A650)&amp;":"&amp;A650&amp;LEN(B650)&amp;":"&amp;B650&amp;LEN(C650)&amp;":"&amp;C650&amp;LEN(D650)&amp;":"&amp;D650)</x:f>
      </x:c>
      <x:c r="M650" t="str">
        <x:f>IF(COUNTA(A650:F650)=0,"",IF(ISNUMBER(E650),1,0))</x:f>
      </x:c>
    </x:row>
    <x:row r="651">
      <x:c r="A651" s="11"/>
      <x:c r="B651" s="11"/>
      <x:c r="C651" s="11"/>
      <x:c r="D651" s="11"/>
      <x:c r="E651" s="12"/>
      <x:c r="F651" s="10"/>
      <x:c r="G651" s="2" t="str">
        <x:f>IF(COUNTA(A651:F651)=0,"",COUNTIFS('External Data'!$L$2:$L$1001,SUBSTITUTE(SUBSTITUTE(SUBSTITUTE(L651,"~","~~"),"*","~*"),"?","~?")))</x:f>
      </x:c>
      <x:c r="H651" s="2" t="str">
        <x:f>IF(COUNTA(A651:F651)=0,"",COUNTIFS('App Data'!$L$2:$L$1001,SUBSTITUTE(SUBSTITUTE(SUBSTITUTE(L651,"~","~~"),"*","~*"),"?","~?")))</x:f>
      </x:c>
      <x:c r="I651" s="13" t="str">
        <x:f>IF(OR(H651&lt;&gt;1,G651&lt;&gt;1),"",SUMIFS('App Data'!$E$2:$E$1001,'App Data'!$L$2:$L$1001,SUBSTITUTE(SUBSTITUTE(SUBSTITUTE(L651,"~","~~"),"*","~*"),"?","~?")))</x:f>
      </x:c>
      <x:c r="J651" s="13" t="str">
        <x:f>IF(OR(NOT(ISNUMBER(E651)),NOT(ISNUMBER(I651))),"",ROUND(E651-I651,2))</x:f>
      </x:c>
      <x:c r="K651" s="2" t="str">
        <x:f>IF(COUNTA(A651:F651)=0,"",IF(OR(A651="",B651="",C651="",D651="",NOT(ISNUMBER(E651))),"Missing / invalid input",IF(G651&gt;1,"Duplicate key in this source",IF(H651=0,"Missing in other source",IF(H651&gt;1,"Duplicate in other source",IF(SUMIFS('App Data'!$M$2:$M$1001,'App Data'!$L$2:$L$1001,SUBSTITUTE(SUBSTITUTE(SUBSTITUTE(L651,"~","~~"),"*","~*"),"?","~?"))&lt;&gt;1,"Other amount is invalid",IF(J651&lt;&gt;0,"Amount differs","Matched")))))))</x:f>
      </x:c>
      <x:c r="L651" t="str">
        <x:f>IF(COUNTA(A651:F651)=0,"",LEN(A651)&amp;":"&amp;A651&amp;LEN(B651)&amp;":"&amp;B651&amp;LEN(C651)&amp;":"&amp;C651&amp;LEN(D651)&amp;":"&amp;D651)</x:f>
      </x:c>
      <x:c r="M651" t="str">
        <x:f>IF(COUNTA(A651:F651)=0,"",IF(ISNUMBER(E651),1,0))</x:f>
      </x:c>
    </x:row>
    <x:row r="652">
      <x:c r="A652" s="11"/>
      <x:c r="B652" s="11"/>
      <x:c r="C652" s="11"/>
      <x:c r="D652" s="11"/>
      <x:c r="E652" s="12"/>
      <x:c r="F652" s="10"/>
      <x:c r="G652" s="2" t="str">
        <x:f>IF(COUNTA(A652:F652)=0,"",COUNTIFS('External Data'!$L$2:$L$1001,SUBSTITUTE(SUBSTITUTE(SUBSTITUTE(L652,"~","~~"),"*","~*"),"?","~?")))</x:f>
      </x:c>
      <x:c r="H652" s="2" t="str">
        <x:f>IF(COUNTA(A652:F652)=0,"",COUNTIFS('App Data'!$L$2:$L$1001,SUBSTITUTE(SUBSTITUTE(SUBSTITUTE(L652,"~","~~"),"*","~*"),"?","~?")))</x:f>
      </x:c>
      <x:c r="I652" s="13" t="str">
        <x:f>IF(OR(H652&lt;&gt;1,G652&lt;&gt;1),"",SUMIFS('App Data'!$E$2:$E$1001,'App Data'!$L$2:$L$1001,SUBSTITUTE(SUBSTITUTE(SUBSTITUTE(L652,"~","~~"),"*","~*"),"?","~?")))</x:f>
      </x:c>
      <x:c r="J652" s="13" t="str">
        <x:f>IF(OR(NOT(ISNUMBER(E652)),NOT(ISNUMBER(I652))),"",ROUND(E652-I652,2))</x:f>
      </x:c>
      <x:c r="K652" s="2" t="str">
        <x:f>IF(COUNTA(A652:F652)=0,"",IF(OR(A652="",B652="",C652="",D652="",NOT(ISNUMBER(E652))),"Missing / invalid input",IF(G652&gt;1,"Duplicate key in this source",IF(H652=0,"Missing in other source",IF(H652&gt;1,"Duplicate in other source",IF(SUMIFS('App Data'!$M$2:$M$1001,'App Data'!$L$2:$L$1001,SUBSTITUTE(SUBSTITUTE(SUBSTITUTE(L652,"~","~~"),"*","~*"),"?","~?"))&lt;&gt;1,"Other amount is invalid",IF(J652&lt;&gt;0,"Amount differs","Matched")))))))</x:f>
      </x:c>
      <x:c r="L652" t="str">
        <x:f>IF(COUNTA(A652:F652)=0,"",LEN(A652)&amp;":"&amp;A652&amp;LEN(B652)&amp;":"&amp;B652&amp;LEN(C652)&amp;":"&amp;C652&amp;LEN(D652)&amp;":"&amp;D652)</x:f>
      </x:c>
      <x:c r="M652" t="str">
        <x:f>IF(COUNTA(A652:F652)=0,"",IF(ISNUMBER(E652),1,0))</x:f>
      </x:c>
    </x:row>
    <x:row r="653">
      <x:c r="A653" s="11"/>
      <x:c r="B653" s="11"/>
      <x:c r="C653" s="11"/>
      <x:c r="D653" s="11"/>
      <x:c r="E653" s="12"/>
      <x:c r="F653" s="10"/>
      <x:c r="G653" s="2" t="str">
        <x:f>IF(COUNTA(A653:F653)=0,"",COUNTIFS('External Data'!$L$2:$L$1001,SUBSTITUTE(SUBSTITUTE(SUBSTITUTE(L653,"~","~~"),"*","~*"),"?","~?")))</x:f>
      </x:c>
      <x:c r="H653" s="2" t="str">
        <x:f>IF(COUNTA(A653:F653)=0,"",COUNTIFS('App Data'!$L$2:$L$1001,SUBSTITUTE(SUBSTITUTE(SUBSTITUTE(L653,"~","~~"),"*","~*"),"?","~?")))</x:f>
      </x:c>
      <x:c r="I653" s="13" t="str">
        <x:f>IF(OR(H653&lt;&gt;1,G653&lt;&gt;1),"",SUMIFS('App Data'!$E$2:$E$1001,'App Data'!$L$2:$L$1001,SUBSTITUTE(SUBSTITUTE(SUBSTITUTE(L653,"~","~~"),"*","~*"),"?","~?")))</x:f>
      </x:c>
      <x:c r="J653" s="13" t="str">
        <x:f>IF(OR(NOT(ISNUMBER(E653)),NOT(ISNUMBER(I653))),"",ROUND(E653-I653,2))</x:f>
      </x:c>
      <x:c r="K653" s="2" t="str">
        <x:f>IF(COUNTA(A653:F653)=0,"",IF(OR(A653="",B653="",C653="",D653="",NOT(ISNUMBER(E653))),"Missing / invalid input",IF(G653&gt;1,"Duplicate key in this source",IF(H653=0,"Missing in other source",IF(H653&gt;1,"Duplicate in other source",IF(SUMIFS('App Data'!$M$2:$M$1001,'App Data'!$L$2:$L$1001,SUBSTITUTE(SUBSTITUTE(SUBSTITUTE(L653,"~","~~"),"*","~*"),"?","~?"))&lt;&gt;1,"Other amount is invalid",IF(J653&lt;&gt;0,"Amount differs","Matched")))))))</x:f>
      </x:c>
      <x:c r="L653" t="str">
        <x:f>IF(COUNTA(A653:F653)=0,"",LEN(A653)&amp;":"&amp;A653&amp;LEN(B653)&amp;":"&amp;B653&amp;LEN(C653)&amp;":"&amp;C653&amp;LEN(D653)&amp;":"&amp;D653)</x:f>
      </x:c>
      <x:c r="M653" t="str">
        <x:f>IF(COUNTA(A653:F653)=0,"",IF(ISNUMBER(E653),1,0))</x:f>
      </x:c>
    </x:row>
    <x:row r="654">
      <x:c r="A654" s="11"/>
      <x:c r="B654" s="11"/>
      <x:c r="C654" s="11"/>
      <x:c r="D654" s="11"/>
      <x:c r="E654" s="12"/>
      <x:c r="F654" s="10"/>
      <x:c r="G654" s="2" t="str">
        <x:f>IF(COUNTA(A654:F654)=0,"",COUNTIFS('External Data'!$L$2:$L$1001,SUBSTITUTE(SUBSTITUTE(SUBSTITUTE(L654,"~","~~"),"*","~*"),"?","~?")))</x:f>
      </x:c>
      <x:c r="H654" s="2" t="str">
        <x:f>IF(COUNTA(A654:F654)=0,"",COUNTIFS('App Data'!$L$2:$L$1001,SUBSTITUTE(SUBSTITUTE(SUBSTITUTE(L654,"~","~~"),"*","~*"),"?","~?")))</x:f>
      </x:c>
      <x:c r="I654" s="13" t="str">
        <x:f>IF(OR(H654&lt;&gt;1,G654&lt;&gt;1),"",SUMIFS('App Data'!$E$2:$E$1001,'App Data'!$L$2:$L$1001,SUBSTITUTE(SUBSTITUTE(SUBSTITUTE(L654,"~","~~"),"*","~*"),"?","~?")))</x:f>
      </x:c>
      <x:c r="J654" s="13" t="str">
        <x:f>IF(OR(NOT(ISNUMBER(E654)),NOT(ISNUMBER(I654))),"",ROUND(E654-I654,2))</x:f>
      </x:c>
      <x:c r="K654" s="2" t="str">
        <x:f>IF(COUNTA(A654:F654)=0,"",IF(OR(A654="",B654="",C654="",D654="",NOT(ISNUMBER(E654))),"Missing / invalid input",IF(G654&gt;1,"Duplicate key in this source",IF(H654=0,"Missing in other source",IF(H654&gt;1,"Duplicate in other source",IF(SUMIFS('App Data'!$M$2:$M$1001,'App Data'!$L$2:$L$1001,SUBSTITUTE(SUBSTITUTE(SUBSTITUTE(L654,"~","~~"),"*","~*"),"?","~?"))&lt;&gt;1,"Other amount is invalid",IF(J654&lt;&gt;0,"Amount differs","Matched")))))))</x:f>
      </x:c>
      <x:c r="L654" t="str">
        <x:f>IF(COUNTA(A654:F654)=0,"",LEN(A654)&amp;":"&amp;A654&amp;LEN(B654)&amp;":"&amp;B654&amp;LEN(C654)&amp;":"&amp;C654&amp;LEN(D654)&amp;":"&amp;D654)</x:f>
      </x:c>
      <x:c r="M654" t="str">
        <x:f>IF(COUNTA(A654:F654)=0,"",IF(ISNUMBER(E654),1,0))</x:f>
      </x:c>
    </x:row>
    <x:row r="655">
      <x:c r="A655" s="11"/>
      <x:c r="B655" s="11"/>
      <x:c r="C655" s="11"/>
      <x:c r="D655" s="11"/>
      <x:c r="E655" s="12"/>
      <x:c r="F655" s="10"/>
      <x:c r="G655" s="2" t="str">
        <x:f>IF(COUNTA(A655:F655)=0,"",COUNTIFS('External Data'!$L$2:$L$1001,SUBSTITUTE(SUBSTITUTE(SUBSTITUTE(L655,"~","~~"),"*","~*"),"?","~?")))</x:f>
      </x:c>
      <x:c r="H655" s="2" t="str">
        <x:f>IF(COUNTA(A655:F655)=0,"",COUNTIFS('App Data'!$L$2:$L$1001,SUBSTITUTE(SUBSTITUTE(SUBSTITUTE(L655,"~","~~"),"*","~*"),"?","~?")))</x:f>
      </x:c>
      <x:c r="I655" s="13" t="str">
        <x:f>IF(OR(H655&lt;&gt;1,G655&lt;&gt;1),"",SUMIFS('App Data'!$E$2:$E$1001,'App Data'!$L$2:$L$1001,SUBSTITUTE(SUBSTITUTE(SUBSTITUTE(L655,"~","~~"),"*","~*"),"?","~?")))</x:f>
      </x:c>
      <x:c r="J655" s="13" t="str">
        <x:f>IF(OR(NOT(ISNUMBER(E655)),NOT(ISNUMBER(I655))),"",ROUND(E655-I655,2))</x:f>
      </x:c>
      <x:c r="K655" s="2" t="str">
        <x:f>IF(COUNTA(A655:F655)=0,"",IF(OR(A655="",B655="",C655="",D655="",NOT(ISNUMBER(E655))),"Missing / invalid input",IF(G655&gt;1,"Duplicate key in this source",IF(H655=0,"Missing in other source",IF(H655&gt;1,"Duplicate in other source",IF(SUMIFS('App Data'!$M$2:$M$1001,'App Data'!$L$2:$L$1001,SUBSTITUTE(SUBSTITUTE(SUBSTITUTE(L655,"~","~~"),"*","~*"),"?","~?"))&lt;&gt;1,"Other amount is invalid",IF(J655&lt;&gt;0,"Amount differs","Matched")))))))</x:f>
      </x:c>
      <x:c r="L655" t="str">
        <x:f>IF(COUNTA(A655:F655)=0,"",LEN(A655)&amp;":"&amp;A655&amp;LEN(B655)&amp;":"&amp;B655&amp;LEN(C655)&amp;":"&amp;C655&amp;LEN(D655)&amp;":"&amp;D655)</x:f>
      </x:c>
      <x:c r="M655" t="str">
        <x:f>IF(COUNTA(A655:F655)=0,"",IF(ISNUMBER(E655),1,0))</x:f>
      </x:c>
    </x:row>
    <x:row r="656">
      <x:c r="A656" s="11"/>
      <x:c r="B656" s="11"/>
      <x:c r="C656" s="11"/>
      <x:c r="D656" s="11"/>
      <x:c r="E656" s="12"/>
      <x:c r="F656" s="10"/>
      <x:c r="G656" s="2" t="str">
        <x:f>IF(COUNTA(A656:F656)=0,"",COUNTIFS('External Data'!$L$2:$L$1001,SUBSTITUTE(SUBSTITUTE(SUBSTITUTE(L656,"~","~~"),"*","~*"),"?","~?")))</x:f>
      </x:c>
      <x:c r="H656" s="2" t="str">
        <x:f>IF(COUNTA(A656:F656)=0,"",COUNTIFS('App Data'!$L$2:$L$1001,SUBSTITUTE(SUBSTITUTE(SUBSTITUTE(L656,"~","~~"),"*","~*"),"?","~?")))</x:f>
      </x:c>
      <x:c r="I656" s="13" t="str">
        <x:f>IF(OR(H656&lt;&gt;1,G656&lt;&gt;1),"",SUMIFS('App Data'!$E$2:$E$1001,'App Data'!$L$2:$L$1001,SUBSTITUTE(SUBSTITUTE(SUBSTITUTE(L656,"~","~~"),"*","~*"),"?","~?")))</x:f>
      </x:c>
      <x:c r="J656" s="13" t="str">
        <x:f>IF(OR(NOT(ISNUMBER(E656)),NOT(ISNUMBER(I656))),"",ROUND(E656-I656,2))</x:f>
      </x:c>
      <x:c r="K656" s="2" t="str">
        <x:f>IF(COUNTA(A656:F656)=0,"",IF(OR(A656="",B656="",C656="",D656="",NOT(ISNUMBER(E656))),"Missing / invalid input",IF(G656&gt;1,"Duplicate key in this source",IF(H656=0,"Missing in other source",IF(H656&gt;1,"Duplicate in other source",IF(SUMIFS('App Data'!$M$2:$M$1001,'App Data'!$L$2:$L$1001,SUBSTITUTE(SUBSTITUTE(SUBSTITUTE(L656,"~","~~"),"*","~*"),"?","~?"))&lt;&gt;1,"Other amount is invalid",IF(J656&lt;&gt;0,"Amount differs","Matched")))))))</x:f>
      </x:c>
      <x:c r="L656" t="str">
        <x:f>IF(COUNTA(A656:F656)=0,"",LEN(A656)&amp;":"&amp;A656&amp;LEN(B656)&amp;":"&amp;B656&amp;LEN(C656)&amp;":"&amp;C656&amp;LEN(D656)&amp;":"&amp;D656)</x:f>
      </x:c>
      <x:c r="M656" t="str">
        <x:f>IF(COUNTA(A656:F656)=0,"",IF(ISNUMBER(E656),1,0))</x:f>
      </x:c>
    </x:row>
    <x:row r="657">
      <x:c r="A657" s="11"/>
      <x:c r="B657" s="11"/>
      <x:c r="C657" s="11"/>
      <x:c r="D657" s="11"/>
      <x:c r="E657" s="12"/>
      <x:c r="F657" s="10"/>
      <x:c r="G657" s="2" t="str">
        <x:f>IF(COUNTA(A657:F657)=0,"",COUNTIFS('External Data'!$L$2:$L$1001,SUBSTITUTE(SUBSTITUTE(SUBSTITUTE(L657,"~","~~"),"*","~*"),"?","~?")))</x:f>
      </x:c>
      <x:c r="H657" s="2" t="str">
        <x:f>IF(COUNTA(A657:F657)=0,"",COUNTIFS('App Data'!$L$2:$L$1001,SUBSTITUTE(SUBSTITUTE(SUBSTITUTE(L657,"~","~~"),"*","~*"),"?","~?")))</x:f>
      </x:c>
      <x:c r="I657" s="13" t="str">
        <x:f>IF(OR(H657&lt;&gt;1,G657&lt;&gt;1),"",SUMIFS('App Data'!$E$2:$E$1001,'App Data'!$L$2:$L$1001,SUBSTITUTE(SUBSTITUTE(SUBSTITUTE(L657,"~","~~"),"*","~*"),"?","~?")))</x:f>
      </x:c>
      <x:c r="J657" s="13" t="str">
        <x:f>IF(OR(NOT(ISNUMBER(E657)),NOT(ISNUMBER(I657))),"",ROUND(E657-I657,2))</x:f>
      </x:c>
      <x:c r="K657" s="2" t="str">
        <x:f>IF(COUNTA(A657:F657)=0,"",IF(OR(A657="",B657="",C657="",D657="",NOT(ISNUMBER(E657))),"Missing / invalid input",IF(G657&gt;1,"Duplicate key in this source",IF(H657=0,"Missing in other source",IF(H657&gt;1,"Duplicate in other source",IF(SUMIFS('App Data'!$M$2:$M$1001,'App Data'!$L$2:$L$1001,SUBSTITUTE(SUBSTITUTE(SUBSTITUTE(L657,"~","~~"),"*","~*"),"?","~?"))&lt;&gt;1,"Other amount is invalid",IF(J657&lt;&gt;0,"Amount differs","Matched")))))))</x:f>
      </x:c>
      <x:c r="L657" t="str">
        <x:f>IF(COUNTA(A657:F657)=0,"",LEN(A657)&amp;":"&amp;A657&amp;LEN(B657)&amp;":"&amp;B657&amp;LEN(C657)&amp;":"&amp;C657&amp;LEN(D657)&amp;":"&amp;D657)</x:f>
      </x:c>
      <x:c r="M657" t="str">
        <x:f>IF(COUNTA(A657:F657)=0,"",IF(ISNUMBER(E657),1,0))</x:f>
      </x:c>
    </x:row>
    <x:row r="658">
      <x:c r="A658" s="11"/>
      <x:c r="B658" s="11"/>
      <x:c r="C658" s="11"/>
      <x:c r="D658" s="11"/>
      <x:c r="E658" s="12"/>
      <x:c r="F658" s="10"/>
      <x:c r="G658" s="2" t="str">
        <x:f>IF(COUNTA(A658:F658)=0,"",COUNTIFS('External Data'!$L$2:$L$1001,SUBSTITUTE(SUBSTITUTE(SUBSTITUTE(L658,"~","~~"),"*","~*"),"?","~?")))</x:f>
      </x:c>
      <x:c r="H658" s="2" t="str">
        <x:f>IF(COUNTA(A658:F658)=0,"",COUNTIFS('App Data'!$L$2:$L$1001,SUBSTITUTE(SUBSTITUTE(SUBSTITUTE(L658,"~","~~"),"*","~*"),"?","~?")))</x:f>
      </x:c>
      <x:c r="I658" s="13" t="str">
        <x:f>IF(OR(H658&lt;&gt;1,G658&lt;&gt;1),"",SUMIFS('App Data'!$E$2:$E$1001,'App Data'!$L$2:$L$1001,SUBSTITUTE(SUBSTITUTE(SUBSTITUTE(L658,"~","~~"),"*","~*"),"?","~?")))</x:f>
      </x:c>
      <x:c r="J658" s="13" t="str">
        <x:f>IF(OR(NOT(ISNUMBER(E658)),NOT(ISNUMBER(I658))),"",ROUND(E658-I658,2))</x:f>
      </x:c>
      <x:c r="K658" s="2" t="str">
        <x:f>IF(COUNTA(A658:F658)=0,"",IF(OR(A658="",B658="",C658="",D658="",NOT(ISNUMBER(E658))),"Missing / invalid input",IF(G658&gt;1,"Duplicate key in this source",IF(H658=0,"Missing in other source",IF(H658&gt;1,"Duplicate in other source",IF(SUMIFS('App Data'!$M$2:$M$1001,'App Data'!$L$2:$L$1001,SUBSTITUTE(SUBSTITUTE(SUBSTITUTE(L658,"~","~~"),"*","~*"),"?","~?"))&lt;&gt;1,"Other amount is invalid",IF(J658&lt;&gt;0,"Amount differs","Matched")))))))</x:f>
      </x:c>
      <x:c r="L658" t="str">
        <x:f>IF(COUNTA(A658:F658)=0,"",LEN(A658)&amp;":"&amp;A658&amp;LEN(B658)&amp;":"&amp;B658&amp;LEN(C658)&amp;":"&amp;C658&amp;LEN(D658)&amp;":"&amp;D658)</x:f>
      </x:c>
      <x:c r="M658" t="str">
        <x:f>IF(COUNTA(A658:F658)=0,"",IF(ISNUMBER(E658),1,0))</x:f>
      </x:c>
    </x:row>
    <x:row r="659">
      <x:c r="A659" s="11"/>
      <x:c r="B659" s="11"/>
      <x:c r="C659" s="11"/>
      <x:c r="D659" s="11"/>
      <x:c r="E659" s="12"/>
      <x:c r="F659" s="10"/>
      <x:c r="G659" s="2" t="str">
        <x:f>IF(COUNTA(A659:F659)=0,"",COUNTIFS('External Data'!$L$2:$L$1001,SUBSTITUTE(SUBSTITUTE(SUBSTITUTE(L659,"~","~~"),"*","~*"),"?","~?")))</x:f>
      </x:c>
      <x:c r="H659" s="2" t="str">
        <x:f>IF(COUNTA(A659:F659)=0,"",COUNTIFS('App Data'!$L$2:$L$1001,SUBSTITUTE(SUBSTITUTE(SUBSTITUTE(L659,"~","~~"),"*","~*"),"?","~?")))</x:f>
      </x:c>
      <x:c r="I659" s="13" t="str">
        <x:f>IF(OR(H659&lt;&gt;1,G659&lt;&gt;1),"",SUMIFS('App Data'!$E$2:$E$1001,'App Data'!$L$2:$L$1001,SUBSTITUTE(SUBSTITUTE(SUBSTITUTE(L659,"~","~~"),"*","~*"),"?","~?")))</x:f>
      </x:c>
      <x:c r="J659" s="13" t="str">
        <x:f>IF(OR(NOT(ISNUMBER(E659)),NOT(ISNUMBER(I659))),"",ROUND(E659-I659,2))</x:f>
      </x:c>
      <x:c r="K659" s="2" t="str">
        <x:f>IF(COUNTA(A659:F659)=0,"",IF(OR(A659="",B659="",C659="",D659="",NOT(ISNUMBER(E659))),"Missing / invalid input",IF(G659&gt;1,"Duplicate key in this source",IF(H659=0,"Missing in other source",IF(H659&gt;1,"Duplicate in other source",IF(SUMIFS('App Data'!$M$2:$M$1001,'App Data'!$L$2:$L$1001,SUBSTITUTE(SUBSTITUTE(SUBSTITUTE(L659,"~","~~"),"*","~*"),"?","~?"))&lt;&gt;1,"Other amount is invalid",IF(J659&lt;&gt;0,"Amount differs","Matched")))))))</x:f>
      </x:c>
      <x:c r="L659" t="str">
        <x:f>IF(COUNTA(A659:F659)=0,"",LEN(A659)&amp;":"&amp;A659&amp;LEN(B659)&amp;":"&amp;B659&amp;LEN(C659)&amp;":"&amp;C659&amp;LEN(D659)&amp;":"&amp;D659)</x:f>
      </x:c>
      <x:c r="M659" t="str">
        <x:f>IF(COUNTA(A659:F659)=0,"",IF(ISNUMBER(E659),1,0))</x:f>
      </x:c>
    </x:row>
    <x:row r="660">
      <x:c r="A660" s="11"/>
      <x:c r="B660" s="11"/>
      <x:c r="C660" s="11"/>
      <x:c r="D660" s="11"/>
      <x:c r="E660" s="12"/>
      <x:c r="F660" s="10"/>
      <x:c r="G660" s="2" t="str">
        <x:f>IF(COUNTA(A660:F660)=0,"",COUNTIFS('External Data'!$L$2:$L$1001,SUBSTITUTE(SUBSTITUTE(SUBSTITUTE(L660,"~","~~"),"*","~*"),"?","~?")))</x:f>
      </x:c>
      <x:c r="H660" s="2" t="str">
        <x:f>IF(COUNTA(A660:F660)=0,"",COUNTIFS('App Data'!$L$2:$L$1001,SUBSTITUTE(SUBSTITUTE(SUBSTITUTE(L660,"~","~~"),"*","~*"),"?","~?")))</x:f>
      </x:c>
      <x:c r="I660" s="13" t="str">
        <x:f>IF(OR(H660&lt;&gt;1,G660&lt;&gt;1),"",SUMIFS('App Data'!$E$2:$E$1001,'App Data'!$L$2:$L$1001,SUBSTITUTE(SUBSTITUTE(SUBSTITUTE(L660,"~","~~"),"*","~*"),"?","~?")))</x:f>
      </x:c>
      <x:c r="J660" s="13" t="str">
        <x:f>IF(OR(NOT(ISNUMBER(E660)),NOT(ISNUMBER(I660))),"",ROUND(E660-I660,2))</x:f>
      </x:c>
      <x:c r="K660" s="2" t="str">
        <x:f>IF(COUNTA(A660:F660)=0,"",IF(OR(A660="",B660="",C660="",D660="",NOT(ISNUMBER(E660))),"Missing / invalid input",IF(G660&gt;1,"Duplicate key in this source",IF(H660=0,"Missing in other source",IF(H660&gt;1,"Duplicate in other source",IF(SUMIFS('App Data'!$M$2:$M$1001,'App Data'!$L$2:$L$1001,SUBSTITUTE(SUBSTITUTE(SUBSTITUTE(L660,"~","~~"),"*","~*"),"?","~?"))&lt;&gt;1,"Other amount is invalid",IF(J660&lt;&gt;0,"Amount differs","Matched")))))))</x:f>
      </x:c>
      <x:c r="L660" t="str">
        <x:f>IF(COUNTA(A660:F660)=0,"",LEN(A660)&amp;":"&amp;A660&amp;LEN(B660)&amp;":"&amp;B660&amp;LEN(C660)&amp;":"&amp;C660&amp;LEN(D660)&amp;":"&amp;D660)</x:f>
      </x:c>
      <x:c r="M660" t="str">
        <x:f>IF(COUNTA(A660:F660)=0,"",IF(ISNUMBER(E660),1,0))</x:f>
      </x:c>
    </x:row>
    <x:row r="661">
      <x:c r="A661" s="11"/>
      <x:c r="B661" s="11"/>
      <x:c r="C661" s="11"/>
      <x:c r="D661" s="11"/>
      <x:c r="E661" s="12"/>
      <x:c r="F661" s="10"/>
      <x:c r="G661" s="2" t="str">
        <x:f>IF(COUNTA(A661:F661)=0,"",COUNTIFS('External Data'!$L$2:$L$1001,SUBSTITUTE(SUBSTITUTE(SUBSTITUTE(L661,"~","~~"),"*","~*"),"?","~?")))</x:f>
      </x:c>
      <x:c r="H661" s="2" t="str">
        <x:f>IF(COUNTA(A661:F661)=0,"",COUNTIFS('App Data'!$L$2:$L$1001,SUBSTITUTE(SUBSTITUTE(SUBSTITUTE(L661,"~","~~"),"*","~*"),"?","~?")))</x:f>
      </x:c>
      <x:c r="I661" s="13" t="str">
        <x:f>IF(OR(H661&lt;&gt;1,G661&lt;&gt;1),"",SUMIFS('App Data'!$E$2:$E$1001,'App Data'!$L$2:$L$1001,SUBSTITUTE(SUBSTITUTE(SUBSTITUTE(L661,"~","~~"),"*","~*"),"?","~?")))</x:f>
      </x:c>
      <x:c r="J661" s="13" t="str">
        <x:f>IF(OR(NOT(ISNUMBER(E661)),NOT(ISNUMBER(I661))),"",ROUND(E661-I661,2))</x:f>
      </x:c>
      <x:c r="K661" s="2" t="str">
        <x:f>IF(COUNTA(A661:F661)=0,"",IF(OR(A661="",B661="",C661="",D661="",NOT(ISNUMBER(E661))),"Missing / invalid input",IF(G661&gt;1,"Duplicate key in this source",IF(H661=0,"Missing in other source",IF(H661&gt;1,"Duplicate in other source",IF(SUMIFS('App Data'!$M$2:$M$1001,'App Data'!$L$2:$L$1001,SUBSTITUTE(SUBSTITUTE(SUBSTITUTE(L661,"~","~~"),"*","~*"),"?","~?"))&lt;&gt;1,"Other amount is invalid",IF(J661&lt;&gt;0,"Amount differs","Matched")))))))</x:f>
      </x:c>
      <x:c r="L661" t="str">
        <x:f>IF(COUNTA(A661:F661)=0,"",LEN(A661)&amp;":"&amp;A661&amp;LEN(B661)&amp;":"&amp;B661&amp;LEN(C661)&amp;":"&amp;C661&amp;LEN(D661)&amp;":"&amp;D661)</x:f>
      </x:c>
      <x:c r="M661" t="str">
        <x:f>IF(COUNTA(A661:F661)=0,"",IF(ISNUMBER(E661),1,0))</x:f>
      </x:c>
    </x:row>
    <x:row r="662">
      <x:c r="A662" s="11"/>
      <x:c r="B662" s="11"/>
      <x:c r="C662" s="11"/>
      <x:c r="D662" s="11"/>
      <x:c r="E662" s="12"/>
      <x:c r="F662" s="10"/>
      <x:c r="G662" s="2" t="str">
        <x:f>IF(COUNTA(A662:F662)=0,"",COUNTIFS('External Data'!$L$2:$L$1001,SUBSTITUTE(SUBSTITUTE(SUBSTITUTE(L662,"~","~~"),"*","~*"),"?","~?")))</x:f>
      </x:c>
      <x:c r="H662" s="2" t="str">
        <x:f>IF(COUNTA(A662:F662)=0,"",COUNTIFS('App Data'!$L$2:$L$1001,SUBSTITUTE(SUBSTITUTE(SUBSTITUTE(L662,"~","~~"),"*","~*"),"?","~?")))</x:f>
      </x:c>
      <x:c r="I662" s="13" t="str">
        <x:f>IF(OR(H662&lt;&gt;1,G662&lt;&gt;1),"",SUMIFS('App Data'!$E$2:$E$1001,'App Data'!$L$2:$L$1001,SUBSTITUTE(SUBSTITUTE(SUBSTITUTE(L662,"~","~~"),"*","~*"),"?","~?")))</x:f>
      </x:c>
      <x:c r="J662" s="13" t="str">
        <x:f>IF(OR(NOT(ISNUMBER(E662)),NOT(ISNUMBER(I662))),"",ROUND(E662-I662,2))</x:f>
      </x:c>
      <x:c r="K662" s="2" t="str">
        <x:f>IF(COUNTA(A662:F662)=0,"",IF(OR(A662="",B662="",C662="",D662="",NOT(ISNUMBER(E662))),"Missing / invalid input",IF(G662&gt;1,"Duplicate key in this source",IF(H662=0,"Missing in other source",IF(H662&gt;1,"Duplicate in other source",IF(SUMIFS('App Data'!$M$2:$M$1001,'App Data'!$L$2:$L$1001,SUBSTITUTE(SUBSTITUTE(SUBSTITUTE(L662,"~","~~"),"*","~*"),"?","~?"))&lt;&gt;1,"Other amount is invalid",IF(J662&lt;&gt;0,"Amount differs","Matched")))))))</x:f>
      </x:c>
      <x:c r="L662" t="str">
        <x:f>IF(COUNTA(A662:F662)=0,"",LEN(A662)&amp;":"&amp;A662&amp;LEN(B662)&amp;":"&amp;B662&amp;LEN(C662)&amp;":"&amp;C662&amp;LEN(D662)&amp;":"&amp;D662)</x:f>
      </x:c>
      <x:c r="M662" t="str">
        <x:f>IF(COUNTA(A662:F662)=0,"",IF(ISNUMBER(E662),1,0))</x:f>
      </x:c>
    </x:row>
    <x:row r="663">
      <x:c r="A663" s="11"/>
      <x:c r="B663" s="11"/>
      <x:c r="C663" s="11"/>
      <x:c r="D663" s="11"/>
      <x:c r="E663" s="12"/>
      <x:c r="F663" s="10"/>
      <x:c r="G663" s="2" t="str">
        <x:f>IF(COUNTA(A663:F663)=0,"",COUNTIFS('External Data'!$L$2:$L$1001,SUBSTITUTE(SUBSTITUTE(SUBSTITUTE(L663,"~","~~"),"*","~*"),"?","~?")))</x:f>
      </x:c>
      <x:c r="H663" s="2" t="str">
        <x:f>IF(COUNTA(A663:F663)=0,"",COUNTIFS('App Data'!$L$2:$L$1001,SUBSTITUTE(SUBSTITUTE(SUBSTITUTE(L663,"~","~~"),"*","~*"),"?","~?")))</x:f>
      </x:c>
      <x:c r="I663" s="13" t="str">
        <x:f>IF(OR(H663&lt;&gt;1,G663&lt;&gt;1),"",SUMIFS('App Data'!$E$2:$E$1001,'App Data'!$L$2:$L$1001,SUBSTITUTE(SUBSTITUTE(SUBSTITUTE(L663,"~","~~"),"*","~*"),"?","~?")))</x:f>
      </x:c>
      <x:c r="J663" s="13" t="str">
        <x:f>IF(OR(NOT(ISNUMBER(E663)),NOT(ISNUMBER(I663))),"",ROUND(E663-I663,2))</x:f>
      </x:c>
      <x:c r="K663" s="2" t="str">
        <x:f>IF(COUNTA(A663:F663)=0,"",IF(OR(A663="",B663="",C663="",D663="",NOT(ISNUMBER(E663))),"Missing / invalid input",IF(G663&gt;1,"Duplicate key in this source",IF(H663=0,"Missing in other source",IF(H663&gt;1,"Duplicate in other source",IF(SUMIFS('App Data'!$M$2:$M$1001,'App Data'!$L$2:$L$1001,SUBSTITUTE(SUBSTITUTE(SUBSTITUTE(L663,"~","~~"),"*","~*"),"?","~?"))&lt;&gt;1,"Other amount is invalid",IF(J663&lt;&gt;0,"Amount differs","Matched")))))))</x:f>
      </x:c>
      <x:c r="L663" t="str">
        <x:f>IF(COUNTA(A663:F663)=0,"",LEN(A663)&amp;":"&amp;A663&amp;LEN(B663)&amp;":"&amp;B663&amp;LEN(C663)&amp;":"&amp;C663&amp;LEN(D663)&amp;":"&amp;D663)</x:f>
      </x:c>
      <x:c r="M663" t="str">
        <x:f>IF(COUNTA(A663:F663)=0,"",IF(ISNUMBER(E663),1,0))</x:f>
      </x:c>
    </x:row>
    <x:row r="664">
      <x:c r="A664" s="11"/>
      <x:c r="B664" s="11"/>
      <x:c r="C664" s="11"/>
      <x:c r="D664" s="11"/>
      <x:c r="E664" s="12"/>
      <x:c r="F664" s="10"/>
      <x:c r="G664" s="2" t="str">
        <x:f>IF(COUNTA(A664:F664)=0,"",COUNTIFS('External Data'!$L$2:$L$1001,SUBSTITUTE(SUBSTITUTE(SUBSTITUTE(L664,"~","~~"),"*","~*"),"?","~?")))</x:f>
      </x:c>
      <x:c r="H664" s="2" t="str">
        <x:f>IF(COUNTA(A664:F664)=0,"",COUNTIFS('App Data'!$L$2:$L$1001,SUBSTITUTE(SUBSTITUTE(SUBSTITUTE(L664,"~","~~"),"*","~*"),"?","~?")))</x:f>
      </x:c>
      <x:c r="I664" s="13" t="str">
        <x:f>IF(OR(H664&lt;&gt;1,G664&lt;&gt;1),"",SUMIFS('App Data'!$E$2:$E$1001,'App Data'!$L$2:$L$1001,SUBSTITUTE(SUBSTITUTE(SUBSTITUTE(L664,"~","~~"),"*","~*"),"?","~?")))</x:f>
      </x:c>
      <x:c r="J664" s="13" t="str">
        <x:f>IF(OR(NOT(ISNUMBER(E664)),NOT(ISNUMBER(I664))),"",ROUND(E664-I664,2))</x:f>
      </x:c>
      <x:c r="K664" s="2" t="str">
        <x:f>IF(COUNTA(A664:F664)=0,"",IF(OR(A664="",B664="",C664="",D664="",NOT(ISNUMBER(E664))),"Missing / invalid input",IF(G664&gt;1,"Duplicate key in this source",IF(H664=0,"Missing in other source",IF(H664&gt;1,"Duplicate in other source",IF(SUMIFS('App Data'!$M$2:$M$1001,'App Data'!$L$2:$L$1001,SUBSTITUTE(SUBSTITUTE(SUBSTITUTE(L664,"~","~~"),"*","~*"),"?","~?"))&lt;&gt;1,"Other amount is invalid",IF(J664&lt;&gt;0,"Amount differs","Matched")))))))</x:f>
      </x:c>
      <x:c r="L664" t="str">
        <x:f>IF(COUNTA(A664:F664)=0,"",LEN(A664)&amp;":"&amp;A664&amp;LEN(B664)&amp;":"&amp;B664&amp;LEN(C664)&amp;":"&amp;C664&amp;LEN(D664)&amp;":"&amp;D664)</x:f>
      </x:c>
      <x:c r="M664" t="str">
        <x:f>IF(COUNTA(A664:F664)=0,"",IF(ISNUMBER(E664),1,0))</x:f>
      </x:c>
    </x:row>
    <x:row r="665">
      <x:c r="A665" s="11"/>
      <x:c r="B665" s="11"/>
      <x:c r="C665" s="11"/>
      <x:c r="D665" s="11"/>
      <x:c r="E665" s="12"/>
      <x:c r="F665" s="10"/>
      <x:c r="G665" s="2" t="str">
        <x:f>IF(COUNTA(A665:F665)=0,"",COUNTIFS('External Data'!$L$2:$L$1001,SUBSTITUTE(SUBSTITUTE(SUBSTITUTE(L665,"~","~~"),"*","~*"),"?","~?")))</x:f>
      </x:c>
      <x:c r="H665" s="2" t="str">
        <x:f>IF(COUNTA(A665:F665)=0,"",COUNTIFS('App Data'!$L$2:$L$1001,SUBSTITUTE(SUBSTITUTE(SUBSTITUTE(L665,"~","~~"),"*","~*"),"?","~?")))</x:f>
      </x:c>
      <x:c r="I665" s="13" t="str">
        <x:f>IF(OR(H665&lt;&gt;1,G665&lt;&gt;1),"",SUMIFS('App Data'!$E$2:$E$1001,'App Data'!$L$2:$L$1001,SUBSTITUTE(SUBSTITUTE(SUBSTITUTE(L665,"~","~~"),"*","~*"),"?","~?")))</x:f>
      </x:c>
      <x:c r="J665" s="13" t="str">
        <x:f>IF(OR(NOT(ISNUMBER(E665)),NOT(ISNUMBER(I665))),"",ROUND(E665-I665,2))</x:f>
      </x:c>
      <x:c r="K665" s="2" t="str">
        <x:f>IF(COUNTA(A665:F665)=0,"",IF(OR(A665="",B665="",C665="",D665="",NOT(ISNUMBER(E665))),"Missing / invalid input",IF(G665&gt;1,"Duplicate key in this source",IF(H665=0,"Missing in other source",IF(H665&gt;1,"Duplicate in other source",IF(SUMIFS('App Data'!$M$2:$M$1001,'App Data'!$L$2:$L$1001,SUBSTITUTE(SUBSTITUTE(SUBSTITUTE(L665,"~","~~"),"*","~*"),"?","~?"))&lt;&gt;1,"Other amount is invalid",IF(J665&lt;&gt;0,"Amount differs","Matched")))))))</x:f>
      </x:c>
      <x:c r="L665" t="str">
        <x:f>IF(COUNTA(A665:F665)=0,"",LEN(A665)&amp;":"&amp;A665&amp;LEN(B665)&amp;":"&amp;B665&amp;LEN(C665)&amp;":"&amp;C665&amp;LEN(D665)&amp;":"&amp;D665)</x:f>
      </x:c>
      <x:c r="M665" t="str">
        <x:f>IF(COUNTA(A665:F665)=0,"",IF(ISNUMBER(E665),1,0))</x:f>
      </x:c>
    </x:row>
    <x:row r="666">
      <x:c r="A666" s="11"/>
      <x:c r="B666" s="11"/>
      <x:c r="C666" s="11"/>
      <x:c r="D666" s="11"/>
      <x:c r="E666" s="12"/>
      <x:c r="F666" s="10"/>
      <x:c r="G666" s="2" t="str">
        <x:f>IF(COUNTA(A666:F666)=0,"",COUNTIFS('External Data'!$L$2:$L$1001,SUBSTITUTE(SUBSTITUTE(SUBSTITUTE(L666,"~","~~"),"*","~*"),"?","~?")))</x:f>
      </x:c>
      <x:c r="H666" s="2" t="str">
        <x:f>IF(COUNTA(A666:F666)=0,"",COUNTIFS('App Data'!$L$2:$L$1001,SUBSTITUTE(SUBSTITUTE(SUBSTITUTE(L666,"~","~~"),"*","~*"),"?","~?")))</x:f>
      </x:c>
      <x:c r="I666" s="13" t="str">
        <x:f>IF(OR(H666&lt;&gt;1,G666&lt;&gt;1),"",SUMIFS('App Data'!$E$2:$E$1001,'App Data'!$L$2:$L$1001,SUBSTITUTE(SUBSTITUTE(SUBSTITUTE(L666,"~","~~"),"*","~*"),"?","~?")))</x:f>
      </x:c>
      <x:c r="J666" s="13" t="str">
        <x:f>IF(OR(NOT(ISNUMBER(E666)),NOT(ISNUMBER(I666))),"",ROUND(E666-I666,2))</x:f>
      </x:c>
      <x:c r="K666" s="2" t="str">
        <x:f>IF(COUNTA(A666:F666)=0,"",IF(OR(A666="",B666="",C666="",D666="",NOT(ISNUMBER(E666))),"Missing / invalid input",IF(G666&gt;1,"Duplicate key in this source",IF(H666=0,"Missing in other source",IF(H666&gt;1,"Duplicate in other source",IF(SUMIFS('App Data'!$M$2:$M$1001,'App Data'!$L$2:$L$1001,SUBSTITUTE(SUBSTITUTE(SUBSTITUTE(L666,"~","~~"),"*","~*"),"?","~?"))&lt;&gt;1,"Other amount is invalid",IF(J666&lt;&gt;0,"Amount differs","Matched")))))))</x:f>
      </x:c>
      <x:c r="L666" t="str">
        <x:f>IF(COUNTA(A666:F666)=0,"",LEN(A666)&amp;":"&amp;A666&amp;LEN(B666)&amp;":"&amp;B666&amp;LEN(C666)&amp;":"&amp;C666&amp;LEN(D666)&amp;":"&amp;D666)</x:f>
      </x:c>
      <x:c r="M666" t="str">
        <x:f>IF(COUNTA(A666:F666)=0,"",IF(ISNUMBER(E666),1,0))</x:f>
      </x:c>
    </x:row>
    <x:row r="667">
      <x:c r="A667" s="11"/>
      <x:c r="B667" s="11"/>
      <x:c r="C667" s="11"/>
      <x:c r="D667" s="11"/>
      <x:c r="E667" s="12"/>
      <x:c r="F667" s="10"/>
      <x:c r="G667" s="2" t="str">
        <x:f>IF(COUNTA(A667:F667)=0,"",COUNTIFS('External Data'!$L$2:$L$1001,SUBSTITUTE(SUBSTITUTE(SUBSTITUTE(L667,"~","~~"),"*","~*"),"?","~?")))</x:f>
      </x:c>
      <x:c r="H667" s="2" t="str">
        <x:f>IF(COUNTA(A667:F667)=0,"",COUNTIFS('App Data'!$L$2:$L$1001,SUBSTITUTE(SUBSTITUTE(SUBSTITUTE(L667,"~","~~"),"*","~*"),"?","~?")))</x:f>
      </x:c>
      <x:c r="I667" s="13" t="str">
        <x:f>IF(OR(H667&lt;&gt;1,G667&lt;&gt;1),"",SUMIFS('App Data'!$E$2:$E$1001,'App Data'!$L$2:$L$1001,SUBSTITUTE(SUBSTITUTE(SUBSTITUTE(L667,"~","~~"),"*","~*"),"?","~?")))</x:f>
      </x:c>
      <x:c r="J667" s="13" t="str">
        <x:f>IF(OR(NOT(ISNUMBER(E667)),NOT(ISNUMBER(I667))),"",ROUND(E667-I667,2))</x:f>
      </x:c>
      <x:c r="K667" s="2" t="str">
        <x:f>IF(COUNTA(A667:F667)=0,"",IF(OR(A667="",B667="",C667="",D667="",NOT(ISNUMBER(E667))),"Missing / invalid input",IF(G667&gt;1,"Duplicate key in this source",IF(H667=0,"Missing in other source",IF(H667&gt;1,"Duplicate in other source",IF(SUMIFS('App Data'!$M$2:$M$1001,'App Data'!$L$2:$L$1001,SUBSTITUTE(SUBSTITUTE(SUBSTITUTE(L667,"~","~~"),"*","~*"),"?","~?"))&lt;&gt;1,"Other amount is invalid",IF(J667&lt;&gt;0,"Amount differs","Matched")))))))</x:f>
      </x:c>
      <x:c r="L667" t="str">
        <x:f>IF(COUNTA(A667:F667)=0,"",LEN(A667)&amp;":"&amp;A667&amp;LEN(B667)&amp;":"&amp;B667&amp;LEN(C667)&amp;":"&amp;C667&amp;LEN(D667)&amp;":"&amp;D667)</x:f>
      </x:c>
      <x:c r="M667" t="str">
        <x:f>IF(COUNTA(A667:F667)=0,"",IF(ISNUMBER(E667),1,0))</x:f>
      </x:c>
    </x:row>
    <x:row r="668">
      <x:c r="A668" s="11"/>
      <x:c r="B668" s="11"/>
      <x:c r="C668" s="11"/>
      <x:c r="D668" s="11"/>
      <x:c r="E668" s="12"/>
      <x:c r="F668" s="10"/>
      <x:c r="G668" s="2" t="str">
        <x:f>IF(COUNTA(A668:F668)=0,"",COUNTIFS('External Data'!$L$2:$L$1001,SUBSTITUTE(SUBSTITUTE(SUBSTITUTE(L668,"~","~~"),"*","~*"),"?","~?")))</x:f>
      </x:c>
      <x:c r="H668" s="2" t="str">
        <x:f>IF(COUNTA(A668:F668)=0,"",COUNTIFS('App Data'!$L$2:$L$1001,SUBSTITUTE(SUBSTITUTE(SUBSTITUTE(L668,"~","~~"),"*","~*"),"?","~?")))</x:f>
      </x:c>
      <x:c r="I668" s="13" t="str">
        <x:f>IF(OR(H668&lt;&gt;1,G668&lt;&gt;1),"",SUMIFS('App Data'!$E$2:$E$1001,'App Data'!$L$2:$L$1001,SUBSTITUTE(SUBSTITUTE(SUBSTITUTE(L668,"~","~~"),"*","~*"),"?","~?")))</x:f>
      </x:c>
      <x:c r="J668" s="13" t="str">
        <x:f>IF(OR(NOT(ISNUMBER(E668)),NOT(ISNUMBER(I668))),"",ROUND(E668-I668,2))</x:f>
      </x:c>
      <x:c r="K668" s="2" t="str">
        <x:f>IF(COUNTA(A668:F668)=0,"",IF(OR(A668="",B668="",C668="",D668="",NOT(ISNUMBER(E668))),"Missing / invalid input",IF(G668&gt;1,"Duplicate key in this source",IF(H668=0,"Missing in other source",IF(H668&gt;1,"Duplicate in other source",IF(SUMIFS('App Data'!$M$2:$M$1001,'App Data'!$L$2:$L$1001,SUBSTITUTE(SUBSTITUTE(SUBSTITUTE(L668,"~","~~"),"*","~*"),"?","~?"))&lt;&gt;1,"Other amount is invalid",IF(J668&lt;&gt;0,"Amount differs","Matched")))))))</x:f>
      </x:c>
      <x:c r="L668" t="str">
        <x:f>IF(COUNTA(A668:F668)=0,"",LEN(A668)&amp;":"&amp;A668&amp;LEN(B668)&amp;":"&amp;B668&amp;LEN(C668)&amp;":"&amp;C668&amp;LEN(D668)&amp;":"&amp;D668)</x:f>
      </x:c>
      <x:c r="M668" t="str">
        <x:f>IF(COUNTA(A668:F668)=0,"",IF(ISNUMBER(E668),1,0))</x:f>
      </x:c>
    </x:row>
    <x:row r="669">
      <x:c r="A669" s="11"/>
      <x:c r="B669" s="11"/>
      <x:c r="C669" s="11"/>
      <x:c r="D669" s="11"/>
      <x:c r="E669" s="12"/>
      <x:c r="F669" s="10"/>
      <x:c r="G669" s="2" t="str">
        <x:f>IF(COUNTA(A669:F669)=0,"",COUNTIFS('External Data'!$L$2:$L$1001,SUBSTITUTE(SUBSTITUTE(SUBSTITUTE(L669,"~","~~"),"*","~*"),"?","~?")))</x:f>
      </x:c>
      <x:c r="H669" s="2" t="str">
        <x:f>IF(COUNTA(A669:F669)=0,"",COUNTIFS('App Data'!$L$2:$L$1001,SUBSTITUTE(SUBSTITUTE(SUBSTITUTE(L669,"~","~~"),"*","~*"),"?","~?")))</x:f>
      </x:c>
      <x:c r="I669" s="13" t="str">
        <x:f>IF(OR(H669&lt;&gt;1,G669&lt;&gt;1),"",SUMIFS('App Data'!$E$2:$E$1001,'App Data'!$L$2:$L$1001,SUBSTITUTE(SUBSTITUTE(SUBSTITUTE(L669,"~","~~"),"*","~*"),"?","~?")))</x:f>
      </x:c>
      <x:c r="J669" s="13" t="str">
        <x:f>IF(OR(NOT(ISNUMBER(E669)),NOT(ISNUMBER(I669))),"",ROUND(E669-I669,2))</x:f>
      </x:c>
      <x:c r="K669" s="2" t="str">
        <x:f>IF(COUNTA(A669:F669)=0,"",IF(OR(A669="",B669="",C669="",D669="",NOT(ISNUMBER(E669))),"Missing / invalid input",IF(G669&gt;1,"Duplicate key in this source",IF(H669=0,"Missing in other source",IF(H669&gt;1,"Duplicate in other source",IF(SUMIFS('App Data'!$M$2:$M$1001,'App Data'!$L$2:$L$1001,SUBSTITUTE(SUBSTITUTE(SUBSTITUTE(L669,"~","~~"),"*","~*"),"?","~?"))&lt;&gt;1,"Other amount is invalid",IF(J669&lt;&gt;0,"Amount differs","Matched")))))))</x:f>
      </x:c>
      <x:c r="L669" t="str">
        <x:f>IF(COUNTA(A669:F669)=0,"",LEN(A669)&amp;":"&amp;A669&amp;LEN(B669)&amp;":"&amp;B669&amp;LEN(C669)&amp;":"&amp;C669&amp;LEN(D669)&amp;":"&amp;D669)</x:f>
      </x:c>
      <x:c r="M669" t="str">
        <x:f>IF(COUNTA(A669:F669)=0,"",IF(ISNUMBER(E669),1,0))</x:f>
      </x:c>
    </x:row>
    <x:row r="670">
      <x:c r="A670" s="11"/>
      <x:c r="B670" s="11"/>
      <x:c r="C670" s="11"/>
      <x:c r="D670" s="11"/>
      <x:c r="E670" s="12"/>
      <x:c r="F670" s="10"/>
      <x:c r="G670" s="2" t="str">
        <x:f>IF(COUNTA(A670:F670)=0,"",COUNTIFS('External Data'!$L$2:$L$1001,SUBSTITUTE(SUBSTITUTE(SUBSTITUTE(L670,"~","~~"),"*","~*"),"?","~?")))</x:f>
      </x:c>
      <x:c r="H670" s="2" t="str">
        <x:f>IF(COUNTA(A670:F670)=0,"",COUNTIFS('App Data'!$L$2:$L$1001,SUBSTITUTE(SUBSTITUTE(SUBSTITUTE(L670,"~","~~"),"*","~*"),"?","~?")))</x:f>
      </x:c>
      <x:c r="I670" s="13" t="str">
        <x:f>IF(OR(H670&lt;&gt;1,G670&lt;&gt;1),"",SUMIFS('App Data'!$E$2:$E$1001,'App Data'!$L$2:$L$1001,SUBSTITUTE(SUBSTITUTE(SUBSTITUTE(L670,"~","~~"),"*","~*"),"?","~?")))</x:f>
      </x:c>
      <x:c r="J670" s="13" t="str">
        <x:f>IF(OR(NOT(ISNUMBER(E670)),NOT(ISNUMBER(I670))),"",ROUND(E670-I670,2))</x:f>
      </x:c>
      <x:c r="K670" s="2" t="str">
        <x:f>IF(COUNTA(A670:F670)=0,"",IF(OR(A670="",B670="",C670="",D670="",NOT(ISNUMBER(E670))),"Missing / invalid input",IF(G670&gt;1,"Duplicate key in this source",IF(H670=0,"Missing in other source",IF(H670&gt;1,"Duplicate in other source",IF(SUMIFS('App Data'!$M$2:$M$1001,'App Data'!$L$2:$L$1001,SUBSTITUTE(SUBSTITUTE(SUBSTITUTE(L670,"~","~~"),"*","~*"),"?","~?"))&lt;&gt;1,"Other amount is invalid",IF(J670&lt;&gt;0,"Amount differs","Matched")))))))</x:f>
      </x:c>
      <x:c r="L670" t="str">
        <x:f>IF(COUNTA(A670:F670)=0,"",LEN(A670)&amp;":"&amp;A670&amp;LEN(B670)&amp;":"&amp;B670&amp;LEN(C670)&amp;":"&amp;C670&amp;LEN(D670)&amp;":"&amp;D670)</x:f>
      </x:c>
      <x:c r="M670" t="str">
        <x:f>IF(COUNTA(A670:F670)=0,"",IF(ISNUMBER(E670),1,0))</x:f>
      </x:c>
    </x:row>
    <x:row r="671">
      <x:c r="A671" s="11"/>
      <x:c r="B671" s="11"/>
      <x:c r="C671" s="11"/>
      <x:c r="D671" s="11"/>
      <x:c r="E671" s="12"/>
      <x:c r="F671" s="10"/>
      <x:c r="G671" s="2" t="str">
        <x:f>IF(COUNTA(A671:F671)=0,"",COUNTIFS('External Data'!$L$2:$L$1001,SUBSTITUTE(SUBSTITUTE(SUBSTITUTE(L671,"~","~~"),"*","~*"),"?","~?")))</x:f>
      </x:c>
      <x:c r="H671" s="2" t="str">
        <x:f>IF(COUNTA(A671:F671)=0,"",COUNTIFS('App Data'!$L$2:$L$1001,SUBSTITUTE(SUBSTITUTE(SUBSTITUTE(L671,"~","~~"),"*","~*"),"?","~?")))</x:f>
      </x:c>
      <x:c r="I671" s="13" t="str">
        <x:f>IF(OR(H671&lt;&gt;1,G671&lt;&gt;1),"",SUMIFS('App Data'!$E$2:$E$1001,'App Data'!$L$2:$L$1001,SUBSTITUTE(SUBSTITUTE(SUBSTITUTE(L671,"~","~~"),"*","~*"),"?","~?")))</x:f>
      </x:c>
      <x:c r="J671" s="13" t="str">
        <x:f>IF(OR(NOT(ISNUMBER(E671)),NOT(ISNUMBER(I671))),"",ROUND(E671-I671,2))</x:f>
      </x:c>
      <x:c r="K671" s="2" t="str">
        <x:f>IF(COUNTA(A671:F671)=0,"",IF(OR(A671="",B671="",C671="",D671="",NOT(ISNUMBER(E671))),"Missing / invalid input",IF(G671&gt;1,"Duplicate key in this source",IF(H671=0,"Missing in other source",IF(H671&gt;1,"Duplicate in other source",IF(SUMIFS('App Data'!$M$2:$M$1001,'App Data'!$L$2:$L$1001,SUBSTITUTE(SUBSTITUTE(SUBSTITUTE(L671,"~","~~"),"*","~*"),"?","~?"))&lt;&gt;1,"Other amount is invalid",IF(J671&lt;&gt;0,"Amount differs","Matched")))))))</x:f>
      </x:c>
      <x:c r="L671" t="str">
        <x:f>IF(COUNTA(A671:F671)=0,"",LEN(A671)&amp;":"&amp;A671&amp;LEN(B671)&amp;":"&amp;B671&amp;LEN(C671)&amp;":"&amp;C671&amp;LEN(D671)&amp;":"&amp;D671)</x:f>
      </x:c>
      <x:c r="M671" t="str">
        <x:f>IF(COUNTA(A671:F671)=0,"",IF(ISNUMBER(E671),1,0))</x:f>
      </x:c>
    </x:row>
    <x:row r="672">
      <x:c r="A672" s="11"/>
      <x:c r="B672" s="11"/>
      <x:c r="C672" s="11"/>
      <x:c r="D672" s="11"/>
      <x:c r="E672" s="12"/>
      <x:c r="F672" s="10"/>
      <x:c r="G672" s="2" t="str">
        <x:f>IF(COUNTA(A672:F672)=0,"",COUNTIFS('External Data'!$L$2:$L$1001,SUBSTITUTE(SUBSTITUTE(SUBSTITUTE(L672,"~","~~"),"*","~*"),"?","~?")))</x:f>
      </x:c>
      <x:c r="H672" s="2" t="str">
        <x:f>IF(COUNTA(A672:F672)=0,"",COUNTIFS('App Data'!$L$2:$L$1001,SUBSTITUTE(SUBSTITUTE(SUBSTITUTE(L672,"~","~~"),"*","~*"),"?","~?")))</x:f>
      </x:c>
      <x:c r="I672" s="13" t="str">
        <x:f>IF(OR(H672&lt;&gt;1,G672&lt;&gt;1),"",SUMIFS('App Data'!$E$2:$E$1001,'App Data'!$L$2:$L$1001,SUBSTITUTE(SUBSTITUTE(SUBSTITUTE(L672,"~","~~"),"*","~*"),"?","~?")))</x:f>
      </x:c>
      <x:c r="J672" s="13" t="str">
        <x:f>IF(OR(NOT(ISNUMBER(E672)),NOT(ISNUMBER(I672))),"",ROUND(E672-I672,2))</x:f>
      </x:c>
      <x:c r="K672" s="2" t="str">
        <x:f>IF(COUNTA(A672:F672)=0,"",IF(OR(A672="",B672="",C672="",D672="",NOT(ISNUMBER(E672))),"Missing / invalid input",IF(G672&gt;1,"Duplicate key in this source",IF(H672=0,"Missing in other source",IF(H672&gt;1,"Duplicate in other source",IF(SUMIFS('App Data'!$M$2:$M$1001,'App Data'!$L$2:$L$1001,SUBSTITUTE(SUBSTITUTE(SUBSTITUTE(L672,"~","~~"),"*","~*"),"?","~?"))&lt;&gt;1,"Other amount is invalid",IF(J672&lt;&gt;0,"Amount differs","Matched")))))))</x:f>
      </x:c>
      <x:c r="L672" t="str">
        <x:f>IF(COUNTA(A672:F672)=0,"",LEN(A672)&amp;":"&amp;A672&amp;LEN(B672)&amp;":"&amp;B672&amp;LEN(C672)&amp;":"&amp;C672&amp;LEN(D672)&amp;":"&amp;D672)</x:f>
      </x:c>
      <x:c r="M672" t="str">
        <x:f>IF(COUNTA(A672:F672)=0,"",IF(ISNUMBER(E672),1,0))</x:f>
      </x:c>
    </x:row>
    <x:row r="673">
      <x:c r="A673" s="11"/>
      <x:c r="B673" s="11"/>
      <x:c r="C673" s="11"/>
      <x:c r="D673" s="11"/>
      <x:c r="E673" s="12"/>
      <x:c r="F673" s="10"/>
      <x:c r="G673" s="2" t="str">
        <x:f>IF(COUNTA(A673:F673)=0,"",COUNTIFS('External Data'!$L$2:$L$1001,SUBSTITUTE(SUBSTITUTE(SUBSTITUTE(L673,"~","~~"),"*","~*"),"?","~?")))</x:f>
      </x:c>
      <x:c r="H673" s="2" t="str">
        <x:f>IF(COUNTA(A673:F673)=0,"",COUNTIFS('App Data'!$L$2:$L$1001,SUBSTITUTE(SUBSTITUTE(SUBSTITUTE(L673,"~","~~"),"*","~*"),"?","~?")))</x:f>
      </x:c>
      <x:c r="I673" s="13" t="str">
        <x:f>IF(OR(H673&lt;&gt;1,G673&lt;&gt;1),"",SUMIFS('App Data'!$E$2:$E$1001,'App Data'!$L$2:$L$1001,SUBSTITUTE(SUBSTITUTE(SUBSTITUTE(L673,"~","~~"),"*","~*"),"?","~?")))</x:f>
      </x:c>
      <x:c r="J673" s="13" t="str">
        <x:f>IF(OR(NOT(ISNUMBER(E673)),NOT(ISNUMBER(I673))),"",ROUND(E673-I673,2))</x:f>
      </x:c>
      <x:c r="K673" s="2" t="str">
        <x:f>IF(COUNTA(A673:F673)=0,"",IF(OR(A673="",B673="",C673="",D673="",NOT(ISNUMBER(E673))),"Missing / invalid input",IF(G673&gt;1,"Duplicate key in this source",IF(H673=0,"Missing in other source",IF(H673&gt;1,"Duplicate in other source",IF(SUMIFS('App Data'!$M$2:$M$1001,'App Data'!$L$2:$L$1001,SUBSTITUTE(SUBSTITUTE(SUBSTITUTE(L673,"~","~~"),"*","~*"),"?","~?"))&lt;&gt;1,"Other amount is invalid",IF(J673&lt;&gt;0,"Amount differs","Matched")))))))</x:f>
      </x:c>
      <x:c r="L673" t="str">
        <x:f>IF(COUNTA(A673:F673)=0,"",LEN(A673)&amp;":"&amp;A673&amp;LEN(B673)&amp;":"&amp;B673&amp;LEN(C673)&amp;":"&amp;C673&amp;LEN(D673)&amp;":"&amp;D673)</x:f>
      </x:c>
      <x:c r="M673" t="str">
        <x:f>IF(COUNTA(A673:F673)=0,"",IF(ISNUMBER(E673),1,0))</x:f>
      </x:c>
    </x:row>
    <x:row r="674">
      <x:c r="A674" s="11"/>
      <x:c r="B674" s="11"/>
      <x:c r="C674" s="11"/>
      <x:c r="D674" s="11"/>
      <x:c r="E674" s="12"/>
      <x:c r="F674" s="10"/>
      <x:c r="G674" s="2" t="str">
        <x:f>IF(COUNTA(A674:F674)=0,"",COUNTIFS('External Data'!$L$2:$L$1001,SUBSTITUTE(SUBSTITUTE(SUBSTITUTE(L674,"~","~~"),"*","~*"),"?","~?")))</x:f>
      </x:c>
      <x:c r="H674" s="2" t="str">
        <x:f>IF(COUNTA(A674:F674)=0,"",COUNTIFS('App Data'!$L$2:$L$1001,SUBSTITUTE(SUBSTITUTE(SUBSTITUTE(L674,"~","~~"),"*","~*"),"?","~?")))</x:f>
      </x:c>
      <x:c r="I674" s="13" t="str">
        <x:f>IF(OR(H674&lt;&gt;1,G674&lt;&gt;1),"",SUMIFS('App Data'!$E$2:$E$1001,'App Data'!$L$2:$L$1001,SUBSTITUTE(SUBSTITUTE(SUBSTITUTE(L674,"~","~~"),"*","~*"),"?","~?")))</x:f>
      </x:c>
      <x:c r="J674" s="13" t="str">
        <x:f>IF(OR(NOT(ISNUMBER(E674)),NOT(ISNUMBER(I674))),"",ROUND(E674-I674,2))</x:f>
      </x:c>
      <x:c r="K674" s="2" t="str">
        <x:f>IF(COUNTA(A674:F674)=0,"",IF(OR(A674="",B674="",C674="",D674="",NOT(ISNUMBER(E674))),"Missing / invalid input",IF(G674&gt;1,"Duplicate key in this source",IF(H674=0,"Missing in other source",IF(H674&gt;1,"Duplicate in other source",IF(SUMIFS('App Data'!$M$2:$M$1001,'App Data'!$L$2:$L$1001,SUBSTITUTE(SUBSTITUTE(SUBSTITUTE(L674,"~","~~"),"*","~*"),"?","~?"))&lt;&gt;1,"Other amount is invalid",IF(J674&lt;&gt;0,"Amount differs","Matched")))))))</x:f>
      </x:c>
      <x:c r="L674" t="str">
        <x:f>IF(COUNTA(A674:F674)=0,"",LEN(A674)&amp;":"&amp;A674&amp;LEN(B674)&amp;":"&amp;B674&amp;LEN(C674)&amp;":"&amp;C674&amp;LEN(D674)&amp;":"&amp;D674)</x:f>
      </x:c>
      <x:c r="M674" t="str">
        <x:f>IF(COUNTA(A674:F674)=0,"",IF(ISNUMBER(E674),1,0))</x:f>
      </x:c>
    </x:row>
    <x:row r="675">
      <x:c r="A675" s="11"/>
      <x:c r="B675" s="11"/>
      <x:c r="C675" s="11"/>
      <x:c r="D675" s="11"/>
      <x:c r="E675" s="12"/>
      <x:c r="F675" s="10"/>
      <x:c r="G675" s="2" t="str">
        <x:f>IF(COUNTA(A675:F675)=0,"",COUNTIFS('External Data'!$L$2:$L$1001,SUBSTITUTE(SUBSTITUTE(SUBSTITUTE(L675,"~","~~"),"*","~*"),"?","~?")))</x:f>
      </x:c>
      <x:c r="H675" s="2" t="str">
        <x:f>IF(COUNTA(A675:F675)=0,"",COUNTIFS('App Data'!$L$2:$L$1001,SUBSTITUTE(SUBSTITUTE(SUBSTITUTE(L675,"~","~~"),"*","~*"),"?","~?")))</x:f>
      </x:c>
      <x:c r="I675" s="13" t="str">
        <x:f>IF(OR(H675&lt;&gt;1,G675&lt;&gt;1),"",SUMIFS('App Data'!$E$2:$E$1001,'App Data'!$L$2:$L$1001,SUBSTITUTE(SUBSTITUTE(SUBSTITUTE(L675,"~","~~"),"*","~*"),"?","~?")))</x:f>
      </x:c>
      <x:c r="J675" s="13" t="str">
        <x:f>IF(OR(NOT(ISNUMBER(E675)),NOT(ISNUMBER(I675))),"",ROUND(E675-I675,2))</x:f>
      </x:c>
      <x:c r="K675" s="2" t="str">
        <x:f>IF(COUNTA(A675:F675)=0,"",IF(OR(A675="",B675="",C675="",D675="",NOT(ISNUMBER(E675))),"Missing / invalid input",IF(G675&gt;1,"Duplicate key in this source",IF(H675=0,"Missing in other source",IF(H675&gt;1,"Duplicate in other source",IF(SUMIFS('App Data'!$M$2:$M$1001,'App Data'!$L$2:$L$1001,SUBSTITUTE(SUBSTITUTE(SUBSTITUTE(L675,"~","~~"),"*","~*"),"?","~?"))&lt;&gt;1,"Other amount is invalid",IF(J675&lt;&gt;0,"Amount differs","Matched")))))))</x:f>
      </x:c>
      <x:c r="L675" t="str">
        <x:f>IF(COUNTA(A675:F675)=0,"",LEN(A675)&amp;":"&amp;A675&amp;LEN(B675)&amp;":"&amp;B675&amp;LEN(C675)&amp;":"&amp;C675&amp;LEN(D675)&amp;":"&amp;D675)</x:f>
      </x:c>
      <x:c r="M675" t="str">
        <x:f>IF(COUNTA(A675:F675)=0,"",IF(ISNUMBER(E675),1,0))</x:f>
      </x:c>
    </x:row>
    <x:row r="676">
      <x:c r="A676" s="11"/>
      <x:c r="B676" s="11"/>
      <x:c r="C676" s="11"/>
      <x:c r="D676" s="11"/>
      <x:c r="E676" s="12"/>
      <x:c r="F676" s="10"/>
      <x:c r="G676" s="2" t="str">
        <x:f>IF(COUNTA(A676:F676)=0,"",COUNTIFS('External Data'!$L$2:$L$1001,SUBSTITUTE(SUBSTITUTE(SUBSTITUTE(L676,"~","~~"),"*","~*"),"?","~?")))</x:f>
      </x:c>
      <x:c r="H676" s="2" t="str">
        <x:f>IF(COUNTA(A676:F676)=0,"",COUNTIFS('App Data'!$L$2:$L$1001,SUBSTITUTE(SUBSTITUTE(SUBSTITUTE(L676,"~","~~"),"*","~*"),"?","~?")))</x:f>
      </x:c>
      <x:c r="I676" s="13" t="str">
        <x:f>IF(OR(H676&lt;&gt;1,G676&lt;&gt;1),"",SUMIFS('App Data'!$E$2:$E$1001,'App Data'!$L$2:$L$1001,SUBSTITUTE(SUBSTITUTE(SUBSTITUTE(L676,"~","~~"),"*","~*"),"?","~?")))</x:f>
      </x:c>
      <x:c r="J676" s="13" t="str">
        <x:f>IF(OR(NOT(ISNUMBER(E676)),NOT(ISNUMBER(I676))),"",ROUND(E676-I676,2))</x:f>
      </x:c>
      <x:c r="K676" s="2" t="str">
        <x:f>IF(COUNTA(A676:F676)=0,"",IF(OR(A676="",B676="",C676="",D676="",NOT(ISNUMBER(E676))),"Missing / invalid input",IF(G676&gt;1,"Duplicate key in this source",IF(H676=0,"Missing in other source",IF(H676&gt;1,"Duplicate in other source",IF(SUMIFS('App Data'!$M$2:$M$1001,'App Data'!$L$2:$L$1001,SUBSTITUTE(SUBSTITUTE(SUBSTITUTE(L676,"~","~~"),"*","~*"),"?","~?"))&lt;&gt;1,"Other amount is invalid",IF(J676&lt;&gt;0,"Amount differs","Matched")))))))</x:f>
      </x:c>
      <x:c r="L676" t="str">
        <x:f>IF(COUNTA(A676:F676)=0,"",LEN(A676)&amp;":"&amp;A676&amp;LEN(B676)&amp;":"&amp;B676&amp;LEN(C676)&amp;":"&amp;C676&amp;LEN(D676)&amp;":"&amp;D676)</x:f>
      </x:c>
      <x:c r="M676" t="str">
        <x:f>IF(COUNTA(A676:F676)=0,"",IF(ISNUMBER(E676),1,0))</x:f>
      </x:c>
    </x:row>
    <x:row r="677">
      <x:c r="A677" s="11"/>
      <x:c r="B677" s="11"/>
      <x:c r="C677" s="11"/>
      <x:c r="D677" s="11"/>
      <x:c r="E677" s="12"/>
      <x:c r="F677" s="10"/>
      <x:c r="G677" s="2" t="str">
        <x:f>IF(COUNTA(A677:F677)=0,"",COUNTIFS('External Data'!$L$2:$L$1001,SUBSTITUTE(SUBSTITUTE(SUBSTITUTE(L677,"~","~~"),"*","~*"),"?","~?")))</x:f>
      </x:c>
      <x:c r="H677" s="2" t="str">
        <x:f>IF(COUNTA(A677:F677)=0,"",COUNTIFS('App Data'!$L$2:$L$1001,SUBSTITUTE(SUBSTITUTE(SUBSTITUTE(L677,"~","~~"),"*","~*"),"?","~?")))</x:f>
      </x:c>
      <x:c r="I677" s="13" t="str">
        <x:f>IF(OR(H677&lt;&gt;1,G677&lt;&gt;1),"",SUMIFS('App Data'!$E$2:$E$1001,'App Data'!$L$2:$L$1001,SUBSTITUTE(SUBSTITUTE(SUBSTITUTE(L677,"~","~~"),"*","~*"),"?","~?")))</x:f>
      </x:c>
      <x:c r="J677" s="13" t="str">
        <x:f>IF(OR(NOT(ISNUMBER(E677)),NOT(ISNUMBER(I677))),"",ROUND(E677-I677,2))</x:f>
      </x:c>
      <x:c r="K677" s="2" t="str">
        <x:f>IF(COUNTA(A677:F677)=0,"",IF(OR(A677="",B677="",C677="",D677="",NOT(ISNUMBER(E677))),"Missing / invalid input",IF(G677&gt;1,"Duplicate key in this source",IF(H677=0,"Missing in other source",IF(H677&gt;1,"Duplicate in other source",IF(SUMIFS('App Data'!$M$2:$M$1001,'App Data'!$L$2:$L$1001,SUBSTITUTE(SUBSTITUTE(SUBSTITUTE(L677,"~","~~"),"*","~*"),"?","~?"))&lt;&gt;1,"Other amount is invalid",IF(J677&lt;&gt;0,"Amount differs","Matched")))))))</x:f>
      </x:c>
      <x:c r="L677" t="str">
        <x:f>IF(COUNTA(A677:F677)=0,"",LEN(A677)&amp;":"&amp;A677&amp;LEN(B677)&amp;":"&amp;B677&amp;LEN(C677)&amp;":"&amp;C677&amp;LEN(D677)&amp;":"&amp;D677)</x:f>
      </x:c>
      <x:c r="M677" t="str">
        <x:f>IF(COUNTA(A677:F677)=0,"",IF(ISNUMBER(E677),1,0))</x:f>
      </x:c>
    </x:row>
    <x:row r="678">
      <x:c r="A678" s="11"/>
      <x:c r="B678" s="11"/>
      <x:c r="C678" s="11"/>
      <x:c r="D678" s="11"/>
      <x:c r="E678" s="12"/>
      <x:c r="F678" s="10"/>
      <x:c r="G678" s="2" t="str">
        <x:f>IF(COUNTA(A678:F678)=0,"",COUNTIFS('External Data'!$L$2:$L$1001,SUBSTITUTE(SUBSTITUTE(SUBSTITUTE(L678,"~","~~"),"*","~*"),"?","~?")))</x:f>
      </x:c>
      <x:c r="H678" s="2" t="str">
        <x:f>IF(COUNTA(A678:F678)=0,"",COUNTIFS('App Data'!$L$2:$L$1001,SUBSTITUTE(SUBSTITUTE(SUBSTITUTE(L678,"~","~~"),"*","~*"),"?","~?")))</x:f>
      </x:c>
      <x:c r="I678" s="13" t="str">
        <x:f>IF(OR(H678&lt;&gt;1,G678&lt;&gt;1),"",SUMIFS('App Data'!$E$2:$E$1001,'App Data'!$L$2:$L$1001,SUBSTITUTE(SUBSTITUTE(SUBSTITUTE(L678,"~","~~"),"*","~*"),"?","~?")))</x:f>
      </x:c>
      <x:c r="J678" s="13" t="str">
        <x:f>IF(OR(NOT(ISNUMBER(E678)),NOT(ISNUMBER(I678))),"",ROUND(E678-I678,2))</x:f>
      </x:c>
      <x:c r="K678" s="2" t="str">
        <x:f>IF(COUNTA(A678:F678)=0,"",IF(OR(A678="",B678="",C678="",D678="",NOT(ISNUMBER(E678))),"Missing / invalid input",IF(G678&gt;1,"Duplicate key in this source",IF(H678=0,"Missing in other source",IF(H678&gt;1,"Duplicate in other source",IF(SUMIFS('App Data'!$M$2:$M$1001,'App Data'!$L$2:$L$1001,SUBSTITUTE(SUBSTITUTE(SUBSTITUTE(L678,"~","~~"),"*","~*"),"?","~?"))&lt;&gt;1,"Other amount is invalid",IF(J678&lt;&gt;0,"Amount differs","Matched")))))))</x:f>
      </x:c>
      <x:c r="L678" t="str">
        <x:f>IF(COUNTA(A678:F678)=0,"",LEN(A678)&amp;":"&amp;A678&amp;LEN(B678)&amp;":"&amp;B678&amp;LEN(C678)&amp;":"&amp;C678&amp;LEN(D678)&amp;":"&amp;D678)</x:f>
      </x:c>
      <x:c r="M678" t="str">
        <x:f>IF(COUNTA(A678:F678)=0,"",IF(ISNUMBER(E678),1,0))</x:f>
      </x:c>
    </x:row>
    <x:row r="679">
      <x:c r="A679" s="11"/>
      <x:c r="B679" s="11"/>
      <x:c r="C679" s="11"/>
      <x:c r="D679" s="11"/>
      <x:c r="E679" s="12"/>
      <x:c r="F679" s="10"/>
      <x:c r="G679" s="2" t="str">
        <x:f>IF(COUNTA(A679:F679)=0,"",COUNTIFS('External Data'!$L$2:$L$1001,SUBSTITUTE(SUBSTITUTE(SUBSTITUTE(L679,"~","~~"),"*","~*"),"?","~?")))</x:f>
      </x:c>
      <x:c r="H679" s="2" t="str">
        <x:f>IF(COUNTA(A679:F679)=0,"",COUNTIFS('App Data'!$L$2:$L$1001,SUBSTITUTE(SUBSTITUTE(SUBSTITUTE(L679,"~","~~"),"*","~*"),"?","~?")))</x:f>
      </x:c>
      <x:c r="I679" s="13" t="str">
        <x:f>IF(OR(H679&lt;&gt;1,G679&lt;&gt;1),"",SUMIFS('App Data'!$E$2:$E$1001,'App Data'!$L$2:$L$1001,SUBSTITUTE(SUBSTITUTE(SUBSTITUTE(L679,"~","~~"),"*","~*"),"?","~?")))</x:f>
      </x:c>
      <x:c r="J679" s="13" t="str">
        <x:f>IF(OR(NOT(ISNUMBER(E679)),NOT(ISNUMBER(I679))),"",ROUND(E679-I679,2))</x:f>
      </x:c>
      <x:c r="K679" s="2" t="str">
        <x:f>IF(COUNTA(A679:F679)=0,"",IF(OR(A679="",B679="",C679="",D679="",NOT(ISNUMBER(E679))),"Missing / invalid input",IF(G679&gt;1,"Duplicate key in this source",IF(H679=0,"Missing in other source",IF(H679&gt;1,"Duplicate in other source",IF(SUMIFS('App Data'!$M$2:$M$1001,'App Data'!$L$2:$L$1001,SUBSTITUTE(SUBSTITUTE(SUBSTITUTE(L679,"~","~~"),"*","~*"),"?","~?"))&lt;&gt;1,"Other amount is invalid",IF(J679&lt;&gt;0,"Amount differs","Matched")))))))</x:f>
      </x:c>
      <x:c r="L679" t="str">
        <x:f>IF(COUNTA(A679:F679)=0,"",LEN(A679)&amp;":"&amp;A679&amp;LEN(B679)&amp;":"&amp;B679&amp;LEN(C679)&amp;":"&amp;C679&amp;LEN(D679)&amp;":"&amp;D679)</x:f>
      </x:c>
      <x:c r="M679" t="str">
        <x:f>IF(COUNTA(A679:F679)=0,"",IF(ISNUMBER(E679),1,0))</x:f>
      </x:c>
    </x:row>
    <x:row r="680">
      <x:c r="A680" s="11"/>
      <x:c r="B680" s="11"/>
      <x:c r="C680" s="11"/>
      <x:c r="D680" s="11"/>
      <x:c r="E680" s="12"/>
      <x:c r="F680" s="10"/>
      <x:c r="G680" s="2" t="str">
        <x:f>IF(COUNTA(A680:F680)=0,"",COUNTIFS('External Data'!$L$2:$L$1001,SUBSTITUTE(SUBSTITUTE(SUBSTITUTE(L680,"~","~~"),"*","~*"),"?","~?")))</x:f>
      </x:c>
      <x:c r="H680" s="2" t="str">
        <x:f>IF(COUNTA(A680:F680)=0,"",COUNTIFS('App Data'!$L$2:$L$1001,SUBSTITUTE(SUBSTITUTE(SUBSTITUTE(L680,"~","~~"),"*","~*"),"?","~?")))</x:f>
      </x:c>
      <x:c r="I680" s="13" t="str">
        <x:f>IF(OR(H680&lt;&gt;1,G680&lt;&gt;1),"",SUMIFS('App Data'!$E$2:$E$1001,'App Data'!$L$2:$L$1001,SUBSTITUTE(SUBSTITUTE(SUBSTITUTE(L680,"~","~~"),"*","~*"),"?","~?")))</x:f>
      </x:c>
      <x:c r="J680" s="13" t="str">
        <x:f>IF(OR(NOT(ISNUMBER(E680)),NOT(ISNUMBER(I680))),"",ROUND(E680-I680,2))</x:f>
      </x:c>
      <x:c r="K680" s="2" t="str">
        <x:f>IF(COUNTA(A680:F680)=0,"",IF(OR(A680="",B680="",C680="",D680="",NOT(ISNUMBER(E680))),"Missing / invalid input",IF(G680&gt;1,"Duplicate key in this source",IF(H680=0,"Missing in other source",IF(H680&gt;1,"Duplicate in other source",IF(SUMIFS('App Data'!$M$2:$M$1001,'App Data'!$L$2:$L$1001,SUBSTITUTE(SUBSTITUTE(SUBSTITUTE(L680,"~","~~"),"*","~*"),"?","~?"))&lt;&gt;1,"Other amount is invalid",IF(J680&lt;&gt;0,"Amount differs","Matched")))))))</x:f>
      </x:c>
      <x:c r="L680" t="str">
        <x:f>IF(COUNTA(A680:F680)=0,"",LEN(A680)&amp;":"&amp;A680&amp;LEN(B680)&amp;":"&amp;B680&amp;LEN(C680)&amp;":"&amp;C680&amp;LEN(D680)&amp;":"&amp;D680)</x:f>
      </x:c>
      <x:c r="M680" t="str">
        <x:f>IF(COUNTA(A680:F680)=0,"",IF(ISNUMBER(E680),1,0))</x:f>
      </x:c>
    </x:row>
    <x:row r="681">
      <x:c r="A681" s="11"/>
      <x:c r="B681" s="11"/>
      <x:c r="C681" s="11"/>
      <x:c r="D681" s="11"/>
      <x:c r="E681" s="12"/>
      <x:c r="F681" s="10"/>
      <x:c r="G681" s="2" t="str">
        <x:f>IF(COUNTA(A681:F681)=0,"",COUNTIFS('External Data'!$L$2:$L$1001,SUBSTITUTE(SUBSTITUTE(SUBSTITUTE(L681,"~","~~"),"*","~*"),"?","~?")))</x:f>
      </x:c>
      <x:c r="H681" s="2" t="str">
        <x:f>IF(COUNTA(A681:F681)=0,"",COUNTIFS('App Data'!$L$2:$L$1001,SUBSTITUTE(SUBSTITUTE(SUBSTITUTE(L681,"~","~~"),"*","~*"),"?","~?")))</x:f>
      </x:c>
      <x:c r="I681" s="13" t="str">
        <x:f>IF(OR(H681&lt;&gt;1,G681&lt;&gt;1),"",SUMIFS('App Data'!$E$2:$E$1001,'App Data'!$L$2:$L$1001,SUBSTITUTE(SUBSTITUTE(SUBSTITUTE(L681,"~","~~"),"*","~*"),"?","~?")))</x:f>
      </x:c>
      <x:c r="J681" s="13" t="str">
        <x:f>IF(OR(NOT(ISNUMBER(E681)),NOT(ISNUMBER(I681))),"",ROUND(E681-I681,2))</x:f>
      </x:c>
      <x:c r="K681" s="2" t="str">
        <x:f>IF(COUNTA(A681:F681)=0,"",IF(OR(A681="",B681="",C681="",D681="",NOT(ISNUMBER(E681))),"Missing / invalid input",IF(G681&gt;1,"Duplicate key in this source",IF(H681=0,"Missing in other source",IF(H681&gt;1,"Duplicate in other source",IF(SUMIFS('App Data'!$M$2:$M$1001,'App Data'!$L$2:$L$1001,SUBSTITUTE(SUBSTITUTE(SUBSTITUTE(L681,"~","~~"),"*","~*"),"?","~?"))&lt;&gt;1,"Other amount is invalid",IF(J681&lt;&gt;0,"Amount differs","Matched")))))))</x:f>
      </x:c>
      <x:c r="L681" t="str">
        <x:f>IF(COUNTA(A681:F681)=0,"",LEN(A681)&amp;":"&amp;A681&amp;LEN(B681)&amp;":"&amp;B681&amp;LEN(C681)&amp;":"&amp;C681&amp;LEN(D681)&amp;":"&amp;D681)</x:f>
      </x:c>
      <x:c r="M681" t="str">
        <x:f>IF(COUNTA(A681:F681)=0,"",IF(ISNUMBER(E681),1,0))</x:f>
      </x:c>
    </x:row>
    <x:row r="682">
      <x:c r="A682" s="11"/>
      <x:c r="B682" s="11"/>
      <x:c r="C682" s="11"/>
      <x:c r="D682" s="11"/>
      <x:c r="E682" s="12"/>
      <x:c r="F682" s="10"/>
      <x:c r="G682" s="2" t="str">
        <x:f>IF(COUNTA(A682:F682)=0,"",COUNTIFS('External Data'!$L$2:$L$1001,SUBSTITUTE(SUBSTITUTE(SUBSTITUTE(L682,"~","~~"),"*","~*"),"?","~?")))</x:f>
      </x:c>
      <x:c r="H682" s="2" t="str">
        <x:f>IF(COUNTA(A682:F682)=0,"",COUNTIFS('App Data'!$L$2:$L$1001,SUBSTITUTE(SUBSTITUTE(SUBSTITUTE(L682,"~","~~"),"*","~*"),"?","~?")))</x:f>
      </x:c>
      <x:c r="I682" s="13" t="str">
        <x:f>IF(OR(H682&lt;&gt;1,G682&lt;&gt;1),"",SUMIFS('App Data'!$E$2:$E$1001,'App Data'!$L$2:$L$1001,SUBSTITUTE(SUBSTITUTE(SUBSTITUTE(L682,"~","~~"),"*","~*"),"?","~?")))</x:f>
      </x:c>
      <x:c r="J682" s="13" t="str">
        <x:f>IF(OR(NOT(ISNUMBER(E682)),NOT(ISNUMBER(I682))),"",ROUND(E682-I682,2))</x:f>
      </x:c>
      <x:c r="K682" s="2" t="str">
        <x:f>IF(COUNTA(A682:F682)=0,"",IF(OR(A682="",B682="",C682="",D682="",NOT(ISNUMBER(E682))),"Missing / invalid input",IF(G682&gt;1,"Duplicate key in this source",IF(H682=0,"Missing in other source",IF(H682&gt;1,"Duplicate in other source",IF(SUMIFS('App Data'!$M$2:$M$1001,'App Data'!$L$2:$L$1001,SUBSTITUTE(SUBSTITUTE(SUBSTITUTE(L682,"~","~~"),"*","~*"),"?","~?"))&lt;&gt;1,"Other amount is invalid",IF(J682&lt;&gt;0,"Amount differs","Matched")))))))</x:f>
      </x:c>
      <x:c r="L682" t="str">
        <x:f>IF(COUNTA(A682:F682)=0,"",LEN(A682)&amp;":"&amp;A682&amp;LEN(B682)&amp;":"&amp;B682&amp;LEN(C682)&amp;":"&amp;C682&amp;LEN(D682)&amp;":"&amp;D682)</x:f>
      </x:c>
      <x:c r="M682" t="str">
        <x:f>IF(COUNTA(A682:F682)=0,"",IF(ISNUMBER(E682),1,0))</x:f>
      </x:c>
    </x:row>
    <x:row r="683">
      <x:c r="A683" s="11"/>
      <x:c r="B683" s="11"/>
      <x:c r="C683" s="11"/>
      <x:c r="D683" s="11"/>
      <x:c r="E683" s="12"/>
      <x:c r="F683" s="10"/>
      <x:c r="G683" s="2" t="str">
        <x:f>IF(COUNTA(A683:F683)=0,"",COUNTIFS('External Data'!$L$2:$L$1001,SUBSTITUTE(SUBSTITUTE(SUBSTITUTE(L683,"~","~~"),"*","~*"),"?","~?")))</x:f>
      </x:c>
      <x:c r="H683" s="2" t="str">
        <x:f>IF(COUNTA(A683:F683)=0,"",COUNTIFS('App Data'!$L$2:$L$1001,SUBSTITUTE(SUBSTITUTE(SUBSTITUTE(L683,"~","~~"),"*","~*"),"?","~?")))</x:f>
      </x:c>
      <x:c r="I683" s="13" t="str">
        <x:f>IF(OR(H683&lt;&gt;1,G683&lt;&gt;1),"",SUMIFS('App Data'!$E$2:$E$1001,'App Data'!$L$2:$L$1001,SUBSTITUTE(SUBSTITUTE(SUBSTITUTE(L683,"~","~~"),"*","~*"),"?","~?")))</x:f>
      </x:c>
      <x:c r="J683" s="13" t="str">
        <x:f>IF(OR(NOT(ISNUMBER(E683)),NOT(ISNUMBER(I683))),"",ROUND(E683-I683,2))</x:f>
      </x:c>
      <x:c r="K683" s="2" t="str">
        <x:f>IF(COUNTA(A683:F683)=0,"",IF(OR(A683="",B683="",C683="",D683="",NOT(ISNUMBER(E683))),"Missing / invalid input",IF(G683&gt;1,"Duplicate key in this source",IF(H683=0,"Missing in other source",IF(H683&gt;1,"Duplicate in other source",IF(SUMIFS('App Data'!$M$2:$M$1001,'App Data'!$L$2:$L$1001,SUBSTITUTE(SUBSTITUTE(SUBSTITUTE(L683,"~","~~"),"*","~*"),"?","~?"))&lt;&gt;1,"Other amount is invalid",IF(J683&lt;&gt;0,"Amount differs","Matched")))))))</x:f>
      </x:c>
      <x:c r="L683" t="str">
        <x:f>IF(COUNTA(A683:F683)=0,"",LEN(A683)&amp;":"&amp;A683&amp;LEN(B683)&amp;":"&amp;B683&amp;LEN(C683)&amp;":"&amp;C683&amp;LEN(D683)&amp;":"&amp;D683)</x:f>
      </x:c>
      <x:c r="M683" t="str">
        <x:f>IF(COUNTA(A683:F683)=0,"",IF(ISNUMBER(E683),1,0))</x:f>
      </x:c>
    </x:row>
    <x:row r="684">
      <x:c r="A684" s="11"/>
      <x:c r="B684" s="11"/>
      <x:c r="C684" s="11"/>
      <x:c r="D684" s="11"/>
      <x:c r="E684" s="12"/>
      <x:c r="F684" s="10"/>
      <x:c r="G684" s="2" t="str">
        <x:f>IF(COUNTA(A684:F684)=0,"",COUNTIFS('External Data'!$L$2:$L$1001,SUBSTITUTE(SUBSTITUTE(SUBSTITUTE(L684,"~","~~"),"*","~*"),"?","~?")))</x:f>
      </x:c>
      <x:c r="H684" s="2" t="str">
        <x:f>IF(COUNTA(A684:F684)=0,"",COUNTIFS('App Data'!$L$2:$L$1001,SUBSTITUTE(SUBSTITUTE(SUBSTITUTE(L684,"~","~~"),"*","~*"),"?","~?")))</x:f>
      </x:c>
      <x:c r="I684" s="13" t="str">
        <x:f>IF(OR(H684&lt;&gt;1,G684&lt;&gt;1),"",SUMIFS('App Data'!$E$2:$E$1001,'App Data'!$L$2:$L$1001,SUBSTITUTE(SUBSTITUTE(SUBSTITUTE(L684,"~","~~"),"*","~*"),"?","~?")))</x:f>
      </x:c>
      <x:c r="J684" s="13" t="str">
        <x:f>IF(OR(NOT(ISNUMBER(E684)),NOT(ISNUMBER(I684))),"",ROUND(E684-I684,2))</x:f>
      </x:c>
      <x:c r="K684" s="2" t="str">
        <x:f>IF(COUNTA(A684:F684)=0,"",IF(OR(A684="",B684="",C684="",D684="",NOT(ISNUMBER(E684))),"Missing / invalid input",IF(G684&gt;1,"Duplicate key in this source",IF(H684=0,"Missing in other source",IF(H684&gt;1,"Duplicate in other source",IF(SUMIFS('App Data'!$M$2:$M$1001,'App Data'!$L$2:$L$1001,SUBSTITUTE(SUBSTITUTE(SUBSTITUTE(L684,"~","~~"),"*","~*"),"?","~?"))&lt;&gt;1,"Other amount is invalid",IF(J684&lt;&gt;0,"Amount differs","Matched")))))))</x:f>
      </x:c>
      <x:c r="L684" t="str">
        <x:f>IF(COUNTA(A684:F684)=0,"",LEN(A684)&amp;":"&amp;A684&amp;LEN(B684)&amp;":"&amp;B684&amp;LEN(C684)&amp;":"&amp;C684&amp;LEN(D684)&amp;":"&amp;D684)</x:f>
      </x:c>
      <x:c r="M684" t="str">
        <x:f>IF(COUNTA(A684:F684)=0,"",IF(ISNUMBER(E684),1,0))</x:f>
      </x:c>
    </x:row>
    <x:row r="685">
      <x:c r="A685" s="11"/>
      <x:c r="B685" s="11"/>
      <x:c r="C685" s="11"/>
      <x:c r="D685" s="11"/>
      <x:c r="E685" s="12"/>
      <x:c r="F685" s="10"/>
      <x:c r="G685" s="2" t="str">
        <x:f>IF(COUNTA(A685:F685)=0,"",COUNTIFS('External Data'!$L$2:$L$1001,SUBSTITUTE(SUBSTITUTE(SUBSTITUTE(L685,"~","~~"),"*","~*"),"?","~?")))</x:f>
      </x:c>
      <x:c r="H685" s="2" t="str">
        <x:f>IF(COUNTA(A685:F685)=0,"",COUNTIFS('App Data'!$L$2:$L$1001,SUBSTITUTE(SUBSTITUTE(SUBSTITUTE(L685,"~","~~"),"*","~*"),"?","~?")))</x:f>
      </x:c>
      <x:c r="I685" s="13" t="str">
        <x:f>IF(OR(H685&lt;&gt;1,G685&lt;&gt;1),"",SUMIFS('App Data'!$E$2:$E$1001,'App Data'!$L$2:$L$1001,SUBSTITUTE(SUBSTITUTE(SUBSTITUTE(L685,"~","~~"),"*","~*"),"?","~?")))</x:f>
      </x:c>
      <x:c r="J685" s="13" t="str">
        <x:f>IF(OR(NOT(ISNUMBER(E685)),NOT(ISNUMBER(I685))),"",ROUND(E685-I685,2))</x:f>
      </x:c>
      <x:c r="K685" s="2" t="str">
        <x:f>IF(COUNTA(A685:F685)=0,"",IF(OR(A685="",B685="",C685="",D685="",NOT(ISNUMBER(E685))),"Missing / invalid input",IF(G685&gt;1,"Duplicate key in this source",IF(H685=0,"Missing in other source",IF(H685&gt;1,"Duplicate in other source",IF(SUMIFS('App Data'!$M$2:$M$1001,'App Data'!$L$2:$L$1001,SUBSTITUTE(SUBSTITUTE(SUBSTITUTE(L685,"~","~~"),"*","~*"),"?","~?"))&lt;&gt;1,"Other amount is invalid",IF(J685&lt;&gt;0,"Amount differs","Matched")))))))</x:f>
      </x:c>
      <x:c r="L685" t="str">
        <x:f>IF(COUNTA(A685:F685)=0,"",LEN(A685)&amp;":"&amp;A685&amp;LEN(B685)&amp;":"&amp;B685&amp;LEN(C685)&amp;":"&amp;C685&amp;LEN(D685)&amp;":"&amp;D685)</x:f>
      </x:c>
      <x:c r="M685" t="str">
        <x:f>IF(COUNTA(A685:F685)=0,"",IF(ISNUMBER(E685),1,0))</x:f>
      </x:c>
    </x:row>
    <x:row r="686">
      <x:c r="A686" s="11"/>
      <x:c r="B686" s="11"/>
      <x:c r="C686" s="11"/>
      <x:c r="D686" s="11"/>
      <x:c r="E686" s="12"/>
      <x:c r="F686" s="10"/>
      <x:c r="G686" s="2" t="str">
        <x:f>IF(COUNTA(A686:F686)=0,"",COUNTIFS('External Data'!$L$2:$L$1001,SUBSTITUTE(SUBSTITUTE(SUBSTITUTE(L686,"~","~~"),"*","~*"),"?","~?")))</x:f>
      </x:c>
      <x:c r="H686" s="2" t="str">
        <x:f>IF(COUNTA(A686:F686)=0,"",COUNTIFS('App Data'!$L$2:$L$1001,SUBSTITUTE(SUBSTITUTE(SUBSTITUTE(L686,"~","~~"),"*","~*"),"?","~?")))</x:f>
      </x:c>
      <x:c r="I686" s="13" t="str">
        <x:f>IF(OR(H686&lt;&gt;1,G686&lt;&gt;1),"",SUMIFS('App Data'!$E$2:$E$1001,'App Data'!$L$2:$L$1001,SUBSTITUTE(SUBSTITUTE(SUBSTITUTE(L686,"~","~~"),"*","~*"),"?","~?")))</x:f>
      </x:c>
      <x:c r="J686" s="13" t="str">
        <x:f>IF(OR(NOT(ISNUMBER(E686)),NOT(ISNUMBER(I686))),"",ROUND(E686-I686,2))</x:f>
      </x:c>
      <x:c r="K686" s="2" t="str">
        <x:f>IF(COUNTA(A686:F686)=0,"",IF(OR(A686="",B686="",C686="",D686="",NOT(ISNUMBER(E686))),"Missing / invalid input",IF(G686&gt;1,"Duplicate key in this source",IF(H686=0,"Missing in other source",IF(H686&gt;1,"Duplicate in other source",IF(SUMIFS('App Data'!$M$2:$M$1001,'App Data'!$L$2:$L$1001,SUBSTITUTE(SUBSTITUTE(SUBSTITUTE(L686,"~","~~"),"*","~*"),"?","~?"))&lt;&gt;1,"Other amount is invalid",IF(J686&lt;&gt;0,"Amount differs","Matched")))))))</x:f>
      </x:c>
      <x:c r="L686" t="str">
        <x:f>IF(COUNTA(A686:F686)=0,"",LEN(A686)&amp;":"&amp;A686&amp;LEN(B686)&amp;":"&amp;B686&amp;LEN(C686)&amp;":"&amp;C686&amp;LEN(D686)&amp;":"&amp;D686)</x:f>
      </x:c>
      <x:c r="M686" t="str">
        <x:f>IF(COUNTA(A686:F686)=0,"",IF(ISNUMBER(E686),1,0))</x:f>
      </x:c>
    </x:row>
    <x:row r="687">
      <x:c r="A687" s="11"/>
      <x:c r="B687" s="11"/>
      <x:c r="C687" s="11"/>
      <x:c r="D687" s="11"/>
      <x:c r="E687" s="12"/>
      <x:c r="F687" s="10"/>
      <x:c r="G687" s="2" t="str">
        <x:f>IF(COUNTA(A687:F687)=0,"",COUNTIFS('External Data'!$L$2:$L$1001,SUBSTITUTE(SUBSTITUTE(SUBSTITUTE(L687,"~","~~"),"*","~*"),"?","~?")))</x:f>
      </x:c>
      <x:c r="H687" s="2" t="str">
        <x:f>IF(COUNTA(A687:F687)=0,"",COUNTIFS('App Data'!$L$2:$L$1001,SUBSTITUTE(SUBSTITUTE(SUBSTITUTE(L687,"~","~~"),"*","~*"),"?","~?")))</x:f>
      </x:c>
      <x:c r="I687" s="13" t="str">
        <x:f>IF(OR(H687&lt;&gt;1,G687&lt;&gt;1),"",SUMIFS('App Data'!$E$2:$E$1001,'App Data'!$L$2:$L$1001,SUBSTITUTE(SUBSTITUTE(SUBSTITUTE(L687,"~","~~"),"*","~*"),"?","~?")))</x:f>
      </x:c>
      <x:c r="J687" s="13" t="str">
        <x:f>IF(OR(NOT(ISNUMBER(E687)),NOT(ISNUMBER(I687))),"",ROUND(E687-I687,2))</x:f>
      </x:c>
      <x:c r="K687" s="2" t="str">
        <x:f>IF(COUNTA(A687:F687)=0,"",IF(OR(A687="",B687="",C687="",D687="",NOT(ISNUMBER(E687))),"Missing / invalid input",IF(G687&gt;1,"Duplicate key in this source",IF(H687=0,"Missing in other source",IF(H687&gt;1,"Duplicate in other source",IF(SUMIFS('App Data'!$M$2:$M$1001,'App Data'!$L$2:$L$1001,SUBSTITUTE(SUBSTITUTE(SUBSTITUTE(L687,"~","~~"),"*","~*"),"?","~?"))&lt;&gt;1,"Other amount is invalid",IF(J687&lt;&gt;0,"Amount differs","Matched")))))))</x:f>
      </x:c>
      <x:c r="L687" t="str">
        <x:f>IF(COUNTA(A687:F687)=0,"",LEN(A687)&amp;":"&amp;A687&amp;LEN(B687)&amp;":"&amp;B687&amp;LEN(C687)&amp;":"&amp;C687&amp;LEN(D687)&amp;":"&amp;D687)</x:f>
      </x:c>
      <x:c r="M687" t="str">
        <x:f>IF(COUNTA(A687:F687)=0,"",IF(ISNUMBER(E687),1,0))</x:f>
      </x:c>
    </x:row>
    <x:row r="688">
      <x:c r="A688" s="11"/>
      <x:c r="B688" s="11"/>
      <x:c r="C688" s="11"/>
      <x:c r="D688" s="11"/>
      <x:c r="E688" s="12"/>
      <x:c r="F688" s="10"/>
      <x:c r="G688" s="2" t="str">
        <x:f>IF(COUNTA(A688:F688)=0,"",COUNTIFS('External Data'!$L$2:$L$1001,SUBSTITUTE(SUBSTITUTE(SUBSTITUTE(L688,"~","~~"),"*","~*"),"?","~?")))</x:f>
      </x:c>
      <x:c r="H688" s="2" t="str">
        <x:f>IF(COUNTA(A688:F688)=0,"",COUNTIFS('App Data'!$L$2:$L$1001,SUBSTITUTE(SUBSTITUTE(SUBSTITUTE(L688,"~","~~"),"*","~*"),"?","~?")))</x:f>
      </x:c>
      <x:c r="I688" s="13" t="str">
        <x:f>IF(OR(H688&lt;&gt;1,G688&lt;&gt;1),"",SUMIFS('App Data'!$E$2:$E$1001,'App Data'!$L$2:$L$1001,SUBSTITUTE(SUBSTITUTE(SUBSTITUTE(L688,"~","~~"),"*","~*"),"?","~?")))</x:f>
      </x:c>
      <x:c r="J688" s="13" t="str">
        <x:f>IF(OR(NOT(ISNUMBER(E688)),NOT(ISNUMBER(I688))),"",ROUND(E688-I688,2))</x:f>
      </x:c>
      <x:c r="K688" s="2" t="str">
        <x:f>IF(COUNTA(A688:F688)=0,"",IF(OR(A688="",B688="",C688="",D688="",NOT(ISNUMBER(E688))),"Missing / invalid input",IF(G688&gt;1,"Duplicate key in this source",IF(H688=0,"Missing in other source",IF(H688&gt;1,"Duplicate in other source",IF(SUMIFS('App Data'!$M$2:$M$1001,'App Data'!$L$2:$L$1001,SUBSTITUTE(SUBSTITUTE(SUBSTITUTE(L688,"~","~~"),"*","~*"),"?","~?"))&lt;&gt;1,"Other amount is invalid",IF(J688&lt;&gt;0,"Amount differs","Matched")))))))</x:f>
      </x:c>
      <x:c r="L688" t="str">
        <x:f>IF(COUNTA(A688:F688)=0,"",LEN(A688)&amp;":"&amp;A688&amp;LEN(B688)&amp;":"&amp;B688&amp;LEN(C688)&amp;":"&amp;C688&amp;LEN(D688)&amp;":"&amp;D688)</x:f>
      </x:c>
      <x:c r="M688" t="str">
        <x:f>IF(COUNTA(A688:F688)=0,"",IF(ISNUMBER(E688),1,0))</x:f>
      </x:c>
    </x:row>
    <x:row r="689">
      <x:c r="A689" s="11"/>
      <x:c r="B689" s="11"/>
      <x:c r="C689" s="11"/>
      <x:c r="D689" s="11"/>
      <x:c r="E689" s="12"/>
      <x:c r="F689" s="10"/>
      <x:c r="G689" s="2" t="str">
        <x:f>IF(COUNTA(A689:F689)=0,"",COUNTIFS('External Data'!$L$2:$L$1001,SUBSTITUTE(SUBSTITUTE(SUBSTITUTE(L689,"~","~~"),"*","~*"),"?","~?")))</x:f>
      </x:c>
      <x:c r="H689" s="2" t="str">
        <x:f>IF(COUNTA(A689:F689)=0,"",COUNTIFS('App Data'!$L$2:$L$1001,SUBSTITUTE(SUBSTITUTE(SUBSTITUTE(L689,"~","~~"),"*","~*"),"?","~?")))</x:f>
      </x:c>
      <x:c r="I689" s="13" t="str">
        <x:f>IF(OR(H689&lt;&gt;1,G689&lt;&gt;1),"",SUMIFS('App Data'!$E$2:$E$1001,'App Data'!$L$2:$L$1001,SUBSTITUTE(SUBSTITUTE(SUBSTITUTE(L689,"~","~~"),"*","~*"),"?","~?")))</x:f>
      </x:c>
      <x:c r="J689" s="13" t="str">
        <x:f>IF(OR(NOT(ISNUMBER(E689)),NOT(ISNUMBER(I689))),"",ROUND(E689-I689,2))</x:f>
      </x:c>
      <x:c r="K689" s="2" t="str">
        <x:f>IF(COUNTA(A689:F689)=0,"",IF(OR(A689="",B689="",C689="",D689="",NOT(ISNUMBER(E689))),"Missing / invalid input",IF(G689&gt;1,"Duplicate key in this source",IF(H689=0,"Missing in other source",IF(H689&gt;1,"Duplicate in other source",IF(SUMIFS('App Data'!$M$2:$M$1001,'App Data'!$L$2:$L$1001,SUBSTITUTE(SUBSTITUTE(SUBSTITUTE(L689,"~","~~"),"*","~*"),"?","~?"))&lt;&gt;1,"Other amount is invalid",IF(J689&lt;&gt;0,"Amount differs","Matched")))))))</x:f>
      </x:c>
      <x:c r="L689" t="str">
        <x:f>IF(COUNTA(A689:F689)=0,"",LEN(A689)&amp;":"&amp;A689&amp;LEN(B689)&amp;":"&amp;B689&amp;LEN(C689)&amp;":"&amp;C689&amp;LEN(D689)&amp;":"&amp;D689)</x:f>
      </x:c>
      <x:c r="M689" t="str">
        <x:f>IF(COUNTA(A689:F689)=0,"",IF(ISNUMBER(E689),1,0))</x:f>
      </x:c>
    </x:row>
    <x:row r="690">
      <x:c r="A690" s="11"/>
      <x:c r="B690" s="11"/>
      <x:c r="C690" s="11"/>
      <x:c r="D690" s="11"/>
      <x:c r="E690" s="12"/>
      <x:c r="F690" s="10"/>
      <x:c r="G690" s="2" t="str">
        <x:f>IF(COUNTA(A690:F690)=0,"",COUNTIFS('External Data'!$L$2:$L$1001,SUBSTITUTE(SUBSTITUTE(SUBSTITUTE(L690,"~","~~"),"*","~*"),"?","~?")))</x:f>
      </x:c>
      <x:c r="H690" s="2" t="str">
        <x:f>IF(COUNTA(A690:F690)=0,"",COUNTIFS('App Data'!$L$2:$L$1001,SUBSTITUTE(SUBSTITUTE(SUBSTITUTE(L690,"~","~~"),"*","~*"),"?","~?")))</x:f>
      </x:c>
      <x:c r="I690" s="13" t="str">
        <x:f>IF(OR(H690&lt;&gt;1,G690&lt;&gt;1),"",SUMIFS('App Data'!$E$2:$E$1001,'App Data'!$L$2:$L$1001,SUBSTITUTE(SUBSTITUTE(SUBSTITUTE(L690,"~","~~"),"*","~*"),"?","~?")))</x:f>
      </x:c>
      <x:c r="J690" s="13" t="str">
        <x:f>IF(OR(NOT(ISNUMBER(E690)),NOT(ISNUMBER(I690))),"",ROUND(E690-I690,2))</x:f>
      </x:c>
      <x:c r="K690" s="2" t="str">
        <x:f>IF(COUNTA(A690:F690)=0,"",IF(OR(A690="",B690="",C690="",D690="",NOT(ISNUMBER(E690))),"Missing / invalid input",IF(G690&gt;1,"Duplicate key in this source",IF(H690=0,"Missing in other source",IF(H690&gt;1,"Duplicate in other source",IF(SUMIFS('App Data'!$M$2:$M$1001,'App Data'!$L$2:$L$1001,SUBSTITUTE(SUBSTITUTE(SUBSTITUTE(L690,"~","~~"),"*","~*"),"?","~?"))&lt;&gt;1,"Other amount is invalid",IF(J690&lt;&gt;0,"Amount differs","Matched")))))))</x:f>
      </x:c>
      <x:c r="L690" t="str">
        <x:f>IF(COUNTA(A690:F690)=0,"",LEN(A690)&amp;":"&amp;A690&amp;LEN(B690)&amp;":"&amp;B690&amp;LEN(C690)&amp;":"&amp;C690&amp;LEN(D690)&amp;":"&amp;D690)</x:f>
      </x:c>
      <x:c r="M690" t="str">
        <x:f>IF(COUNTA(A690:F690)=0,"",IF(ISNUMBER(E690),1,0))</x:f>
      </x:c>
    </x:row>
    <x:row r="691">
      <x:c r="A691" s="11"/>
      <x:c r="B691" s="11"/>
      <x:c r="C691" s="11"/>
      <x:c r="D691" s="11"/>
      <x:c r="E691" s="12"/>
      <x:c r="F691" s="10"/>
      <x:c r="G691" s="2" t="str">
        <x:f>IF(COUNTA(A691:F691)=0,"",COUNTIFS('External Data'!$L$2:$L$1001,SUBSTITUTE(SUBSTITUTE(SUBSTITUTE(L691,"~","~~"),"*","~*"),"?","~?")))</x:f>
      </x:c>
      <x:c r="H691" s="2" t="str">
        <x:f>IF(COUNTA(A691:F691)=0,"",COUNTIFS('App Data'!$L$2:$L$1001,SUBSTITUTE(SUBSTITUTE(SUBSTITUTE(L691,"~","~~"),"*","~*"),"?","~?")))</x:f>
      </x:c>
      <x:c r="I691" s="13" t="str">
        <x:f>IF(OR(H691&lt;&gt;1,G691&lt;&gt;1),"",SUMIFS('App Data'!$E$2:$E$1001,'App Data'!$L$2:$L$1001,SUBSTITUTE(SUBSTITUTE(SUBSTITUTE(L691,"~","~~"),"*","~*"),"?","~?")))</x:f>
      </x:c>
      <x:c r="J691" s="13" t="str">
        <x:f>IF(OR(NOT(ISNUMBER(E691)),NOT(ISNUMBER(I691))),"",ROUND(E691-I691,2))</x:f>
      </x:c>
      <x:c r="K691" s="2" t="str">
        <x:f>IF(COUNTA(A691:F691)=0,"",IF(OR(A691="",B691="",C691="",D691="",NOT(ISNUMBER(E691))),"Missing / invalid input",IF(G691&gt;1,"Duplicate key in this source",IF(H691=0,"Missing in other source",IF(H691&gt;1,"Duplicate in other source",IF(SUMIFS('App Data'!$M$2:$M$1001,'App Data'!$L$2:$L$1001,SUBSTITUTE(SUBSTITUTE(SUBSTITUTE(L691,"~","~~"),"*","~*"),"?","~?"))&lt;&gt;1,"Other amount is invalid",IF(J691&lt;&gt;0,"Amount differs","Matched")))))))</x:f>
      </x:c>
      <x:c r="L691" t="str">
        <x:f>IF(COUNTA(A691:F691)=0,"",LEN(A691)&amp;":"&amp;A691&amp;LEN(B691)&amp;":"&amp;B691&amp;LEN(C691)&amp;":"&amp;C691&amp;LEN(D691)&amp;":"&amp;D691)</x:f>
      </x:c>
      <x:c r="M691" t="str">
        <x:f>IF(COUNTA(A691:F691)=0,"",IF(ISNUMBER(E691),1,0))</x:f>
      </x:c>
    </x:row>
    <x:row r="692">
      <x:c r="A692" s="11"/>
      <x:c r="B692" s="11"/>
      <x:c r="C692" s="11"/>
      <x:c r="D692" s="11"/>
      <x:c r="E692" s="12"/>
      <x:c r="F692" s="10"/>
      <x:c r="G692" s="2" t="str">
        <x:f>IF(COUNTA(A692:F692)=0,"",COUNTIFS('External Data'!$L$2:$L$1001,SUBSTITUTE(SUBSTITUTE(SUBSTITUTE(L692,"~","~~"),"*","~*"),"?","~?")))</x:f>
      </x:c>
      <x:c r="H692" s="2" t="str">
        <x:f>IF(COUNTA(A692:F692)=0,"",COUNTIFS('App Data'!$L$2:$L$1001,SUBSTITUTE(SUBSTITUTE(SUBSTITUTE(L692,"~","~~"),"*","~*"),"?","~?")))</x:f>
      </x:c>
      <x:c r="I692" s="13" t="str">
        <x:f>IF(OR(H692&lt;&gt;1,G692&lt;&gt;1),"",SUMIFS('App Data'!$E$2:$E$1001,'App Data'!$L$2:$L$1001,SUBSTITUTE(SUBSTITUTE(SUBSTITUTE(L692,"~","~~"),"*","~*"),"?","~?")))</x:f>
      </x:c>
      <x:c r="J692" s="13" t="str">
        <x:f>IF(OR(NOT(ISNUMBER(E692)),NOT(ISNUMBER(I692))),"",ROUND(E692-I692,2))</x:f>
      </x:c>
      <x:c r="K692" s="2" t="str">
        <x:f>IF(COUNTA(A692:F692)=0,"",IF(OR(A692="",B692="",C692="",D692="",NOT(ISNUMBER(E692))),"Missing / invalid input",IF(G692&gt;1,"Duplicate key in this source",IF(H692=0,"Missing in other source",IF(H692&gt;1,"Duplicate in other source",IF(SUMIFS('App Data'!$M$2:$M$1001,'App Data'!$L$2:$L$1001,SUBSTITUTE(SUBSTITUTE(SUBSTITUTE(L692,"~","~~"),"*","~*"),"?","~?"))&lt;&gt;1,"Other amount is invalid",IF(J692&lt;&gt;0,"Amount differs","Matched")))))))</x:f>
      </x:c>
      <x:c r="L692" t="str">
        <x:f>IF(COUNTA(A692:F692)=0,"",LEN(A692)&amp;":"&amp;A692&amp;LEN(B692)&amp;":"&amp;B692&amp;LEN(C692)&amp;":"&amp;C692&amp;LEN(D692)&amp;":"&amp;D692)</x:f>
      </x:c>
      <x:c r="M692" t="str">
        <x:f>IF(COUNTA(A692:F692)=0,"",IF(ISNUMBER(E692),1,0))</x:f>
      </x:c>
    </x:row>
    <x:row r="693">
      <x:c r="A693" s="11"/>
      <x:c r="B693" s="11"/>
      <x:c r="C693" s="11"/>
      <x:c r="D693" s="11"/>
      <x:c r="E693" s="12"/>
      <x:c r="F693" s="10"/>
      <x:c r="G693" s="2" t="str">
        <x:f>IF(COUNTA(A693:F693)=0,"",COUNTIFS('External Data'!$L$2:$L$1001,SUBSTITUTE(SUBSTITUTE(SUBSTITUTE(L693,"~","~~"),"*","~*"),"?","~?")))</x:f>
      </x:c>
      <x:c r="H693" s="2" t="str">
        <x:f>IF(COUNTA(A693:F693)=0,"",COUNTIFS('App Data'!$L$2:$L$1001,SUBSTITUTE(SUBSTITUTE(SUBSTITUTE(L693,"~","~~"),"*","~*"),"?","~?")))</x:f>
      </x:c>
      <x:c r="I693" s="13" t="str">
        <x:f>IF(OR(H693&lt;&gt;1,G693&lt;&gt;1),"",SUMIFS('App Data'!$E$2:$E$1001,'App Data'!$L$2:$L$1001,SUBSTITUTE(SUBSTITUTE(SUBSTITUTE(L693,"~","~~"),"*","~*"),"?","~?")))</x:f>
      </x:c>
      <x:c r="J693" s="13" t="str">
        <x:f>IF(OR(NOT(ISNUMBER(E693)),NOT(ISNUMBER(I693))),"",ROUND(E693-I693,2))</x:f>
      </x:c>
      <x:c r="K693" s="2" t="str">
        <x:f>IF(COUNTA(A693:F693)=0,"",IF(OR(A693="",B693="",C693="",D693="",NOT(ISNUMBER(E693))),"Missing / invalid input",IF(G693&gt;1,"Duplicate key in this source",IF(H693=0,"Missing in other source",IF(H693&gt;1,"Duplicate in other source",IF(SUMIFS('App Data'!$M$2:$M$1001,'App Data'!$L$2:$L$1001,SUBSTITUTE(SUBSTITUTE(SUBSTITUTE(L693,"~","~~"),"*","~*"),"?","~?"))&lt;&gt;1,"Other amount is invalid",IF(J693&lt;&gt;0,"Amount differs","Matched")))))))</x:f>
      </x:c>
      <x:c r="L693" t="str">
        <x:f>IF(COUNTA(A693:F693)=0,"",LEN(A693)&amp;":"&amp;A693&amp;LEN(B693)&amp;":"&amp;B693&amp;LEN(C693)&amp;":"&amp;C693&amp;LEN(D693)&amp;":"&amp;D693)</x:f>
      </x:c>
      <x:c r="M693" t="str">
        <x:f>IF(COUNTA(A693:F693)=0,"",IF(ISNUMBER(E693),1,0))</x:f>
      </x:c>
    </x:row>
    <x:row r="694">
      <x:c r="A694" s="11"/>
      <x:c r="B694" s="11"/>
      <x:c r="C694" s="11"/>
      <x:c r="D694" s="11"/>
      <x:c r="E694" s="12"/>
      <x:c r="F694" s="10"/>
      <x:c r="G694" s="2" t="str">
        <x:f>IF(COUNTA(A694:F694)=0,"",COUNTIFS('External Data'!$L$2:$L$1001,SUBSTITUTE(SUBSTITUTE(SUBSTITUTE(L694,"~","~~"),"*","~*"),"?","~?")))</x:f>
      </x:c>
      <x:c r="H694" s="2" t="str">
        <x:f>IF(COUNTA(A694:F694)=0,"",COUNTIFS('App Data'!$L$2:$L$1001,SUBSTITUTE(SUBSTITUTE(SUBSTITUTE(L694,"~","~~"),"*","~*"),"?","~?")))</x:f>
      </x:c>
      <x:c r="I694" s="13" t="str">
        <x:f>IF(OR(H694&lt;&gt;1,G694&lt;&gt;1),"",SUMIFS('App Data'!$E$2:$E$1001,'App Data'!$L$2:$L$1001,SUBSTITUTE(SUBSTITUTE(SUBSTITUTE(L694,"~","~~"),"*","~*"),"?","~?")))</x:f>
      </x:c>
      <x:c r="J694" s="13" t="str">
        <x:f>IF(OR(NOT(ISNUMBER(E694)),NOT(ISNUMBER(I694))),"",ROUND(E694-I694,2))</x:f>
      </x:c>
      <x:c r="K694" s="2" t="str">
        <x:f>IF(COUNTA(A694:F694)=0,"",IF(OR(A694="",B694="",C694="",D694="",NOT(ISNUMBER(E694))),"Missing / invalid input",IF(G694&gt;1,"Duplicate key in this source",IF(H694=0,"Missing in other source",IF(H694&gt;1,"Duplicate in other source",IF(SUMIFS('App Data'!$M$2:$M$1001,'App Data'!$L$2:$L$1001,SUBSTITUTE(SUBSTITUTE(SUBSTITUTE(L694,"~","~~"),"*","~*"),"?","~?"))&lt;&gt;1,"Other amount is invalid",IF(J694&lt;&gt;0,"Amount differs","Matched")))))))</x:f>
      </x:c>
      <x:c r="L694" t="str">
        <x:f>IF(COUNTA(A694:F694)=0,"",LEN(A694)&amp;":"&amp;A694&amp;LEN(B694)&amp;":"&amp;B694&amp;LEN(C694)&amp;":"&amp;C694&amp;LEN(D694)&amp;":"&amp;D694)</x:f>
      </x:c>
      <x:c r="M694" t="str">
        <x:f>IF(COUNTA(A694:F694)=0,"",IF(ISNUMBER(E694),1,0))</x:f>
      </x:c>
    </x:row>
    <x:row r="695">
      <x:c r="A695" s="11"/>
      <x:c r="B695" s="11"/>
      <x:c r="C695" s="11"/>
      <x:c r="D695" s="11"/>
      <x:c r="E695" s="12"/>
      <x:c r="F695" s="10"/>
      <x:c r="G695" s="2" t="str">
        <x:f>IF(COUNTA(A695:F695)=0,"",COUNTIFS('External Data'!$L$2:$L$1001,SUBSTITUTE(SUBSTITUTE(SUBSTITUTE(L695,"~","~~"),"*","~*"),"?","~?")))</x:f>
      </x:c>
      <x:c r="H695" s="2" t="str">
        <x:f>IF(COUNTA(A695:F695)=0,"",COUNTIFS('App Data'!$L$2:$L$1001,SUBSTITUTE(SUBSTITUTE(SUBSTITUTE(L695,"~","~~"),"*","~*"),"?","~?")))</x:f>
      </x:c>
      <x:c r="I695" s="13" t="str">
        <x:f>IF(OR(H695&lt;&gt;1,G695&lt;&gt;1),"",SUMIFS('App Data'!$E$2:$E$1001,'App Data'!$L$2:$L$1001,SUBSTITUTE(SUBSTITUTE(SUBSTITUTE(L695,"~","~~"),"*","~*"),"?","~?")))</x:f>
      </x:c>
      <x:c r="J695" s="13" t="str">
        <x:f>IF(OR(NOT(ISNUMBER(E695)),NOT(ISNUMBER(I695))),"",ROUND(E695-I695,2))</x:f>
      </x:c>
      <x:c r="K695" s="2" t="str">
        <x:f>IF(COUNTA(A695:F695)=0,"",IF(OR(A695="",B695="",C695="",D695="",NOT(ISNUMBER(E695))),"Missing / invalid input",IF(G695&gt;1,"Duplicate key in this source",IF(H695=0,"Missing in other source",IF(H695&gt;1,"Duplicate in other source",IF(SUMIFS('App Data'!$M$2:$M$1001,'App Data'!$L$2:$L$1001,SUBSTITUTE(SUBSTITUTE(SUBSTITUTE(L695,"~","~~"),"*","~*"),"?","~?"))&lt;&gt;1,"Other amount is invalid",IF(J695&lt;&gt;0,"Amount differs","Matched")))))))</x:f>
      </x:c>
      <x:c r="L695" t="str">
        <x:f>IF(COUNTA(A695:F695)=0,"",LEN(A695)&amp;":"&amp;A695&amp;LEN(B695)&amp;":"&amp;B695&amp;LEN(C695)&amp;":"&amp;C695&amp;LEN(D695)&amp;":"&amp;D695)</x:f>
      </x:c>
      <x:c r="M695" t="str">
        <x:f>IF(COUNTA(A695:F695)=0,"",IF(ISNUMBER(E695),1,0))</x:f>
      </x:c>
    </x:row>
    <x:row r="696">
      <x:c r="A696" s="11"/>
      <x:c r="B696" s="11"/>
      <x:c r="C696" s="11"/>
      <x:c r="D696" s="11"/>
      <x:c r="E696" s="12"/>
      <x:c r="F696" s="10"/>
      <x:c r="G696" s="2" t="str">
        <x:f>IF(COUNTA(A696:F696)=0,"",COUNTIFS('External Data'!$L$2:$L$1001,SUBSTITUTE(SUBSTITUTE(SUBSTITUTE(L696,"~","~~"),"*","~*"),"?","~?")))</x:f>
      </x:c>
      <x:c r="H696" s="2" t="str">
        <x:f>IF(COUNTA(A696:F696)=0,"",COUNTIFS('App Data'!$L$2:$L$1001,SUBSTITUTE(SUBSTITUTE(SUBSTITUTE(L696,"~","~~"),"*","~*"),"?","~?")))</x:f>
      </x:c>
      <x:c r="I696" s="13" t="str">
        <x:f>IF(OR(H696&lt;&gt;1,G696&lt;&gt;1),"",SUMIFS('App Data'!$E$2:$E$1001,'App Data'!$L$2:$L$1001,SUBSTITUTE(SUBSTITUTE(SUBSTITUTE(L696,"~","~~"),"*","~*"),"?","~?")))</x:f>
      </x:c>
      <x:c r="J696" s="13" t="str">
        <x:f>IF(OR(NOT(ISNUMBER(E696)),NOT(ISNUMBER(I696))),"",ROUND(E696-I696,2))</x:f>
      </x:c>
      <x:c r="K696" s="2" t="str">
        <x:f>IF(COUNTA(A696:F696)=0,"",IF(OR(A696="",B696="",C696="",D696="",NOT(ISNUMBER(E696))),"Missing / invalid input",IF(G696&gt;1,"Duplicate key in this source",IF(H696=0,"Missing in other source",IF(H696&gt;1,"Duplicate in other source",IF(SUMIFS('App Data'!$M$2:$M$1001,'App Data'!$L$2:$L$1001,SUBSTITUTE(SUBSTITUTE(SUBSTITUTE(L696,"~","~~"),"*","~*"),"?","~?"))&lt;&gt;1,"Other amount is invalid",IF(J696&lt;&gt;0,"Amount differs","Matched")))))))</x:f>
      </x:c>
      <x:c r="L696" t="str">
        <x:f>IF(COUNTA(A696:F696)=0,"",LEN(A696)&amp;":"&amp;A696&amp;LEN(B696)&amp;":"&amp;B696&amp;LEN(C696)&amp;":"&amp;C696&amp;LEN(D696)&amp;":"&amp;D696)</x:f>
      </x:c>
      <x:c r="M696" t="str">
        <x:f>IF(COUNTA(A696:F696)=0,"",IF(ISNUMBER(E696),1,0))</x:f>
      </x:c>
    </x:row>
    <x:row r="697">
      <x:c r="A697" s="11"/>
      <x:c r="B697" s="11"/>
      <x:c r="C697" s="11"/>
      <x:c r="D697" s="11"/>
      <x:c r="E697" s="12"/>
      <x:c r="F697" s="10"/>
      <x:c r="G697" s="2" t="str">
        <x:f>IF(COUNTA(A697:F697)=0,"",COUNTIFS('External Data'!$L$2:$L$1001,SUBSTITUTE(SUBSTITUTE(SUBSTITUTE(L697,"~","~~"),"*","~*"),"?","~?")))</x:f>
      </x:c>
      <x:c r="H697" s="2" t="str">
        <x:f>IF(COUNTA(A697:F697)=0,"",COUNTIFS('App Data'!$L$2:$L$1001,SUBSTITUTE(SUBSTITUTE(SUBSTITUTE(L697,"~","~~"),"*","~*"),"?","~?")))</x:f>
      </x:c>
      <x:c r="I697" s="13" t="str">
        <x:f>IF(OR(H697&lt;&gt;1,G697&lt;&gt;1),"",SUMIFS('App Data'!$E$2:$E$1001,'App Data'!$L$2:$L$1001,SUBSTITUTE(SUBSTITUTE(SUBSTITUTE(L697,"~","~~"),"*","~*"),"?","~?")))</x:f>
      </x:c>
      <x:c r="J697" s="13" t="str">
        <x:f>IF(OR(NOT(ISNUMBER(E697)),NOT(ISNUMBER(I697))),"",ROUND(E697-I697,2))</x:f>
      </x:c>
      <x:c r="K697" s="2" t="str">
        <x:f>IF(COUNTA(A697:F697)=0,"",IF(OR(A697="",B697="",C697="",D697="",NOT(ISNUMBER(E697))),"Missing / invalid input",IF(G697&gt;1,"Duplicate key in this source",IF(H697=0,"Missing in other source",IF(H697&gt;1,"Duplicate in other source",IF(SUMIFS('App Data'!$M$2:$M$1001,'App Data'!$L$2:$L$1001,SUBSTITUTE(SUBSTITUTE(SUBSTITUTE(L697,"~","~~"),"*","~*"),"?","~?"))&lt;&gt;1,"Other amount is invalid",IF(J697&lt;&gt;0,"Amount differs","Matched")))))))</x:f>
      </x:c>
      <x:c r="L697" t="str">
        <x:f>IF(COUNTA(A697:F697)=0,"",LEN(A697)&amp;":"&amp;A697&amp;LEN(B697)&amp;":"&amp;B697&amp;LEN(C697)&amp;":"&amp;C697&amp;LEN(D697)&amp;":"&amp;D697)</x:f>
      </x:c>
      <x:c r="M697" t="str">
        <x:f>IF(COUNTA(A697:F697)=0,"",IF(ISNUMBER(E697),1,0))</x:f>
      </x:c>
    </x:row>
    <x:row r="698">
      <x:c r="A698" s="11"/>
      <x:c r="B698" s="11"/>
      <x:c r="C698" s="11"/>
      <x:c r="D698" s="11"/>
      <x:c r="E698" s="12"/>
      <x:c r="F698" s="10"/>
      <x:c r="G698" s="2" t="str">
        <x:f>IF(COUNTA(A698:F698)=0,"",COUNTIFS('External Data'!$L$2:$L$1001,SUBSTITUTE(SUBSTITUTE(SUBSTITUTE(L698,"~","~~"),"*","~*"),"?","~?")))</x:f>
      </x:c>
      <x:c r="H698" s="2" t="str">
        <x:f>IF(COUNTA(A698:F698)=0,"",COUNTIFS('App Data'!$L$2:$L$1001,SUBSTITUTE(SUBSTITUTE(SUBSTITUTE(L698,"~","~~"),"*","~*"),"?","~?")))</x:f>
      </x:c>
      <x:c r="I698" s="13" t="str">
        <x:f>IF(OR(H698&lt;&gt;1,G698&lt;&gt;1),"",SUMIFS('App Data'!$E$2:$E$1001,'App Data'!$L$2:$L$1001,SUBSTITUTE(SUBSTITUTE(SUBSTITUTE(L698,"~","~~"),"*","~*"),"?","~?")))</x:f>
      </x:c>
      <x:c r="J698" s="13" t="str">
        <x:f>IF(OR(NOT(ISNUMBER(E698)),NOT(ISNUMBER(I698))),"",ROUND(E698-I698,2))</x:f>
      </x:c>
      <x:c r="K698" s="2" t="str">
        <x:f>IF(COUNTA(A698:F698)=0,"",IF(OR(A698="",B698="",C698="",D698="",NOT(ISNUMBER(E698))),"Missing / invalid input",IF(G698&gt;1,"Duplicate key in this source",IF(H698=0,"Missing in other source",IF(H698&gt;1,"Duplicate in other source",IF(SUMIFS('App Data'!$M$2:$M$1001,'App Data'!$L$2:$L$1001,SUBSTITUTE(SUBSTITUTE(SUBSTITUTE(L698,"~","~~"),"*","~*"),"?","~?"))&lt;&gt;1,"Other amount is invalid",IF(J698&lt;&gt;0,"Amount differs","Matched")))))))</x:f>
      </x:c>
      <x:c r="L698" t="str">
        <x:f>IF(COUNTA(A698:F698)=0,"",LEN(A698)&amp;":"&amp;A698&amp;LEN(B698)&amp;":"&amp;B698&amp;LEN(C698)&amp;":"&amp;C698&amp;LEN(D698)&amp;":"&amp;D698)</x:f>
      </x:c>
      <x:c r="M698" t="str">
        <x:f>IF(COUNTA(A698:F698)=0,"",IF(ISNUMBER(E698),1,0))</x:f>
      </x:c>
    </x:row>
    <x:row r="699">
      <x:c r="A699" s="11"/>
      <x:c r="B699" s="11"/>
      <x:c r="C699" s="11"/>
      <x:c r="D699" s="11"/>
      <x:c r="E699" s="12"/>
      <x:c r="F699" s="10"/>
      <x:c r="G699" s="2" t="str">
        <x:f>IF(COUNTA(A699:F699)=0,"",COUNTIFS('External Data'!$L$2:$L$1001,SUBSTITUTE(SUBSTITUTE(SUBSTITUTE(L699,"~","~~"),"*","~*"),"?","~?")))</x:f>
      </x:c>
      <x:c r="H699" s="2" t="str">
        <x:f>IF(COUNTA(A699:F699)=0,"",COUNTIFS('App Data'!$L$2:$L$1001,SUBSTITUTE(SUBSTITUTE(SUBSTITUTE(L699,"~","~~"),"*","~*"),"?","~?")))</x:f>
      </x:c>
      <x:c r="I699" s="13" t="str">
        <x:f>IF(OR(H699&lt;&gt;1,G699&lt;&gt;1),"",SUMIFS('App Data'!$E$2:$E$1001,'App Data'!$L$2:$L$1001,SUBSTITUTE(SUBSTITUTE(SUBSTITUTE(L699,"~","~~"),"*","~*"),"?","~?")))</x:f>
      </x:c>
      <x:c r="J699" s="13" t="str">
        <x:f>IF(OR(NOT(ISNUMBER(E699)),NOT(ISNUMBER(I699))),"",ROUND(E699-I699,2))</x:f>
      </x:c>
      <x:c r="K699" s="2" t="str">
        <x:f>IF(COUNTA(A699:F699)=0,"",IF(OR(A699="",B699="",C699="",D699="",NOT(ISNUMBER(E699))),"Missing / invalid input",IF(G699&gt;1,"Duplicate key in this source",IF(H699=0,"Missing in other source",IF(H699&gt;1,"Duplicate in other source",IF(SUMIFS('App Data'!$M$2:$M$1001,'App Data'!$L$2:$L$1001,SUBSTITUTE(SUBSTITUTE(SUBSTITUTE(L699,"~","~~"),"*","~*"),"?","~?"))&lt;&gt;1,"Other amount is invalid",IF(J699&lt;&gt;0,"Amount differs","Matched")))))))</x:f>
      </x:c>
      <x:c r="L699" t="str">
        <x:f>IF(COUNTA(A699:F699)=0,"",LEN(A699)&amp;":"&amp;A699&amp;LEN(B699)&amp;":"&amp;B699&amp;LEN(C699)&amp;":"&amp;C699&amp;LEN(D699)&amp;":"&amp;D699)</x:f>
      </x:c>
      <x:c r="M699" t="str">
        <x:f>IF(COUNTA(A699:F699)=0,"",IF(ISNUMBER(E699),1,0))</x:f>
      </x:c>
    </x:row>
    <x:row r="700">
      <x:c r="A700" s="11"/>
      <x:c r="B700" s="11"/>
      <x:c r="C700" s="11"/>
      <x:c r="D700" s="11"/>
      <x:c r="E700" s="12"/>
      <x:c r="F700" s="10"/>
      <x:c r="G700" s="2" t="str">
        <x:f>IF(COUNTA(A700:F700)=0,"",COUNTIFS('External Data'!$L$2:$L$1001,SUBSTITUTE(SUBSTITUTE(SUBSTITUTE(L700,"~","~~"),"*","~*"),"?","~?")))</x:f>
      </x:c>
      <x:c r="H700" s="2" t="str">
        <x:f>IF(COUNTA(A700:F700)=0,"",COUNTIFS('App Data'!$L$2:$L$1001,SUBSTITUTE(SUBSTITUTE(SUBSTITUTE(L700,"~","~~"),"*","~*"),"?","~?")))</x:f>
      </x:c>
      <x:c r="I700" s="13" t="str">
        <x:f>IF(OR(H700&lt;&gt;1,G700&lt;&gt;1),"",SUMIFS('App Data'!$E$2:$E$1001,'App Data'!$L$2:$L$1001,SUBSTITUTE(SUBSTITUTE(SUBSTITUTE(L700,"~","~~"),"*","~*"),"?","~?")))</x:f>
      </x:c>
      <x:c r="J700" s="13" t="str">
        <x:f>IF(OR(NOT(ISNUMBER(E700)),NOT(ISNUMBER(I700))),"",ROUND(E700-I700,2))</x:f>
      </x:c>
      <x:c r="K700" s="2" t="str">
        <x:f>IF(COUNTA(A700:F700)=0,"",IF(OR(A700="",B700="",C700="",D700="",NOT(ISNUMBER(E700))),"Missing / invalid input",IF(G700&gt;1,"Duplicate key in this source",IF(H700=0,"Missing in other source",IF(H700&gt;1,"Duplicate in other source",IF(SUMIFS('App Data'!$M$2:$M$1001,'App Data'!$L$2:$L$1001,SUBSTITUTE(SUBSTITUTE(SUBSTITUTE(L700,"~","~~"),"*","~*"),"?","~?"))&lt;&gt;1,"Other amount is invalid",IF(J700&lt;&gt;0,"Amount differs","Matched")))))))</x:f>
      </x:c>
      <x:c r="L700" t="str">
        <x:f>IF(COUNTA(A700:F700)=0,"",LEN(A700)&amp;":"&amp;A700&amp;LEN(B700)&amp;":"&amp;B700&amp;LEN(C700)&amp;":"&amp;C700&amp;LEN(D700)&amp;":"&amp;D700)</x:f>
      </x:c>
      <x:c r="M700" t="str">
        <x:f>IF(COUNTA(A700:F700)=0,"",IF(ISNUMBER(E700),1,0))</x:f>
      </x:c>
    </x:row>
    <x:row r="701">
      <x:c r="A701" s="11"/>
      <x:c r="B701" s="11"/>
      <x:c r="C701" s="11"/>
      <x:c r="D701" s="11"/>
      <x:c r="E701" s="12"/>
      <x:c r="F701" s="10"/>
      <x:c r="G701" s="2" t="str">
        <x:f>IF(COUNTA(A701:F701)=0,"",COUNTIFS('External Data'!$L$2:$L$1001,SUBSTITUTE(SUBSTITUTE(SUBSTITUTE(L701,"~","~~"),"*","~*"),"?","~?")))</x:f>
      </x:c>
      <x:c r="H701" s="2" t="str">
        <x:f>IF(COUNTA(A701:F701)=0,"",COUNTIFS('App Data'!$L$2:$L$1001,SUBSTITUTE(SUBSTITUTE(SUBSTITUTE(L701,"~","~~"),"*","~*"),"?","~?")))</x:f>
      </x:c>
      <x:c r="I701" s="13" t="str">
        <x:f>IF(OR(H701&lt;&gt;1,G701&lt;&gt;1),"",SUMIFS('App Data'!$E$2:$E$1001,'App Data'!$L$2:$L$1001,SUBSTITUTE(SUBSTITUTE(SUBSTITUTE(L701,"~","~~"),"*","~*"),"?","~?")))</x:f>
      </x:c>
      <x:c r="J701" s="13" t="str">
        <x:f>IF(OR(NOT(ISNUMBER(E701)),NOT(ISNUMBER(I701))),"",ROUND(E701-I701,2))</x:f>
      </x:c>
      <x:c r="K701" s="2" t="str">
        <x:f>IF(COUNTA(A701:F701)=0,"",IF(OR(A701="",B701="",C701="",D701="",NOT(ISNUMBER(E701))),"Missing / invalid input",IF(G701&gt;1,"Duplicate key in this source",IF(H701=0,"Missing in other source",IF(H701&gt;1,"Duplicate in other source",IF(SUMIFS('App Data'!$M$2:$M$1001,'App Data'!$L$2:$L$1001,SUBSTITUTE(SUBSTITUTE(SUBSTITUTE(L701,"~","~~"),"*","~*"),"?","~?"))&lt;&gt;1,"Other amount is invalid",IF(J701&lt;&gt;0,"Amount differs","Matched")))))))</x:f>
      </x:c>
      <x:c r="L701" t="str">
        <x:f>IF(COUNTA(A701:F701)=0,"",LEN(A701)&amp;":"&amp;A701&amp;LEN(B701)&amp;":"&amp;B701&amp;LEN(C701)&amp;":"&amp;C701&amp;LEN(D701)&amp;":"&amp;D701)</x:f>
      </x:c>
      <x:c r="M701" t="str">
        <x:f>IF(COUNTA(A701:F701)=0,"",IF(ISNUMBER(E701),1,0))</x:f>
      </x:c>
    </x:row>
    <x:row r="702">
      <x:c r="A702" s="11"/>
      <x:c r="B702" s="11"/>
      <x:c r="C702" s="11"/>
      <x:c r="D702" s="11"/>
      <x:c r="E702" s="12"/>
      <x:c r="F702" s="10"/>
      <x:c r="G702" s="2" t="str">
        <x:f>IF(COUNTA(A702:F702)=0,"",COUNTIFS('External Data'!$L$2:$L$1001,SUBSTITUTE(SUBSTITUTE(SUBSTITUTE(L702,"~","~~"),"*","~*"),"?","~?")))</x:f>
      </x:c>
      <x:c r="H702" s="2" t="str">
        <x:f>IF(COUNTA(A702:F702)=0,"",COUNTIFS('App Data'!$L$2:$L$1001,SUBSTITUTE(SUBSTITUTE(SUBSTITUTE(L702,"~","~~"),"*","~*"),"?","~?")))</x:f>
      </x:c>
      <x:c r="I702" s="13" t="str">
        <x:f>IF(OR(H702&lt;&gt;1,G702&lt;&gt;1),"",SUMIFS('App Data'!$E$2:$E$1001,'App Data'!$L$2:$L$1001,SUBSTITUTE(SUBSTITUTE(SUBSTITUTE(L702,"~","~~"),"*","~*"),"?","~?")))</x:f>
      </x:c>
      <x:c r="J702" s="13" t="str">
        <x:f>IF(OR(NOT(ISNUMBER(E702)),NOT(ISNUMBER(I702))),"",ROUND(E702-I702,2))</x:f>
      </x:c>
      <x:c r="K702" s="2" t="str">
        <x:f>IF(COUNTA(A702:F702)=0,"",IF(OR(A702="",B702="",C702="",D702="",NOT(ISNUMBER(E702))),"Missing / invalid input",IF(G702&gt;1,"Duplicate key in this source",IF(H702=0,"Missing in other source",IF(H702&gt;1,"Duplicate in other source",IF(SUMIFS('App Data'!$M$2:$M$1001,'App Data'!$L$2:$L$1001,SUBSTITUTE(SUBSTITUTE(SUBSTITUTE(L702,"~","~~"),"*","~*"),"?","~?"))&lt;&gt;1,"Other amount is invalid",IF(J702&lt;&gt;0,"Amount differs","Matched")))))))</x:f>
      </x:c>
      <x:c r="L702" t="str">
        <x:f>IF(COUNTA(A702:F702)=0,"",LEN(A702)&amp;":"&amp;A702&amp;LEN(B702)&amp;":"&amp;B702&amp;LEN(C702)&amp;":"&amp;C702&amp;LEN(D702)&amp;":"&amp;D702)</x:f>
      </x:c>
      <x:c r="M702" t="str">
        <x:f>IF(COUNTA(A702:F702)=0,"",IF(ISNUMBER(E702),1,0))</x:f>
      </x:c>
    </x:row>
    <x:row r="703">
      <x:c r="A703" s="11"/>
      <x:c r="B703" s="11"/>
      <x:c r="C703" s="11"/>
      <x:c r="D703" s="11"/>
      <x:c r="E703" s="12"/>
      <x:c r="F703" s="10"/>
      <x:c r="G703" s="2" t="str">
        <x:f>IF(COUNTA(A703:F703)=0,"",COUNTIFS('External Data'!$L$2:$L$1001,SUBSTITUTE(SUBSTITUTE(SUBSTITUTE(L703,"~","~~"),"*","~*"),"?","~?")))</x:f>
      </x:c>
      <x:c r="H703" s="2" t="str">
        <x:f>IF(COUNTA(A703:F703)=0,"",COUNTIFS('App Data'!$L$2:$L$1001,SUBSTITUTE(SUBSTITUTE(SUBSTITUTE(L703,"~","~~"),"*","~*"),"?","~?")))</x:f>
      </x:c>
      <x:c r="I703" s="13" t="str">
        <x:f>IF(OR(H703&lt;&gt;1,G703&lt;&gt;1),"",SUMIFS('App Data'!$E$2:$E$1001,'App Data'!$L$2:$L$1001,SUBSTITUTE(SUBSTITUTE(SUBSTITUTE(L703,"~","~~"),"*","~*"),"?","~?")))</x:f>
      </x:c>
      <x:c r="J703" s="13" t="str">
        <x:f>IF(OR(NOT(ISNUMBER(E703)),NOT(ISNUMBER(I703))),"",ROUND(E703-I703,2))</x:f>
      </x:c>
      <x:c r="K703" s="2" t="str">
        <x:f>IF(COUNTA(A703:F703)=0,"",IF(OR(A703="",B703="",C703="",D703="",NOT(ISNUMBER(E703))),"Missing / invalid input",IF(G703&gt;1,"Duplicate key in this source",IF(H703=0,"Missing in other source",IF(H703&gt;1,"Duplicate in other source",IF(SUMIFS('App Data'!$M$2:$M$1001,'App Data'!$L$2:$L$1001,SUBSTITUTE(SUBSTITUTE(SUBSTITUTE(L703,"~","~~"),"*","~*"),"?","~?"))&lt;&gt;1,"Other amount is invalid",IF(J703&lt;&gt;0,"Amount differs","Matched")))))))</x:f>
      </x:c>
      <x:c r="L703" t="str">
        <x:f>IF(COUNTA(A703:F703)=0,"",LEN(A703)&amp;":"&amp;A703&amp;LEN(B703)&amp;":"&amp;B703&amp;LEN(C703)&amp;":"&amp;C703&amp;LEN(D703)&amp;":"&amp;D703)</x:f>
      </x:c>
      <x:c r="M703" t="str">
        <x:f>IF(COUNTA(A703:F703)=0,"",IF(ISNUMBER(E703),1,0))</x:f>
      </x:c>
    </x:row>
    <x:row r="704">
      <x:c r="A704" s="11"/>
      <x:c r="B704" s="11"/>
      <x:c r="C704" s="11"/>
      <x:c r="D704" s="11"/>
      <x:c r="E704" s="12"/>
      <x:c r="F704" s="10"/>
      <x:c r="G704" s="2" t="str">
        <x:f>IF(COUNTA(A704:F704)=0,"",COUNTIFS('External Data'!$L$2:$L$1001,SUBSTITUTE(SUBSTITUTE(SUBSTITUTE(L704,"~","~~"),"*","~*"),"?","~?")))</x:f>
      </x:c>
      <x:c r="H704" s="2" t="str">
        <x:f>IF(COUNTA(A704:F704)=0,"",COUNTIFS('App Data'!$L$2:$L$1001,SUBSTITUTE(SUBSTITUTE(SUBSTITUTE(L704,"~","~~"),"*","~*"),"?","~?")))</x:f>
      </x:c>
      <x:c r="I704" s="13" t="str">
        <x:f>IF(OR(H704&lt;&gt;1,G704&lt;&gt;1),"",SUMIFS('App Data'!$E$2:$E$1001,'App Data'!$L$2:$L$1001,SUBSTITUTE(SUBSTITUTE(SUBSTITUTE(L704,"~","~~"),"*","~*"),"?","~?")))</x:f>
      </x:c>
      <x:c r="J704" s="13" t="str">
        <x:f>IF(OR(NOT(ISNUMBER(E704)),NOT(ISNUMBER(I704))),"",ROUND(E704-I704,2))</x:f>
      </x:c>
      <x:c r="K704" s="2" t="str">
        <x:f>IF(COUNTA(A704:F704)=0,"",IF(OR(A704="",B704="",C704="",D704="",NOT(ISNUMBER(E704))),"Missing / invalid input",IF(G704&gt;1,"Duplicate key in this source",IF(H704=0,"Missing in other source",IF(H704&gt;1,"Duplicate in other source",IF(SUMIFS('App Data'!$M$2:$M$1001,'App Data'!$L$2:$L$1001,SUBSTITUTE(SUBSTITUTE(SUBSTITUTE(L704,"~","~~"),"*","~*"),"?","~?"))&lt;&gt;1,"Other amount is invalid",IF(J704&lt;&gt;0,"Amount differs","Matched")))))))</x:f>
      </x:c>
      <x:c r="L704" t="str">
        <x:f>IF(COUNTA(A704:F704)=0,"",LEN(A704)&amp;":"&amp;A704&amp;LEN(B704)&amp;":"&amp;B704&amp;LEN(C704)&amp;":"&amp;C704&amp;LEN(D704)&amp;":"&amp;D704)</x:f>
      </x:c>
      <x:c r="M704" t="str">
        <x:f>IF(COUNTA(A704:F704)=0,"",IF(ISNUMBER(E704),1,0))</x:f>
      </x:c>
    </x:row>
    <x:row r="705">
      <x:c r="A705" s="11"/>
      <x:c r="B705" s="11"/>
      <x:c r="C705" s="11"/>
      <x:c r="D705" s="11"/>
      <x:c r="E705" s="12"/>
      <x:c r="F705" s="10"/>
      <x:c r="G705" s="2" t="str">
        <x:f>IF(COUNTA(A705:F705)=0,"",COUNTIFS('External Data'!$L$2:$L$1001,SUBSTITUTE(SUBSTITUTE(SUBSTITUTE(L705,"~","~~"),"*","~*"),"?","~?")))</x:f>
      </x:c>
      <x:c r="H705" s="2" t="str">
        <x:f>IF(COUNTA(A705:F705)=0,"",COUNTIFS('App Data'!$L$2:$L$1001,SUBSTITUTE(SUBSTITUTE(SUBSTITUTE(L705,"~","~~"),"*","~*"),"?","~?")))</x:f>
      </x:c>
      <x:c r="I705" s="13" t="str">
        <x:f>IF(OR(H705&lt;&gt;1,G705&lt;&gt;1),"",SUMIFS('App Data'!$E$2:$E$1001,'App Data'!$L$2:$L$1001,SUBSTITUTE(SUBSTITUTE(SUBSTITUTE(L705,"~","~~"),"*","~*"),"?","~?")))</x:f>
      </x:c>
      <x:c r="J705" s="13" t="str">
        <x:f>IF(OR(NOT(ISNUMBER(E705)),NOT(ISNUMBER(I705))),"",ROUND(E705-I705,2))</x:f>
      </x:c>
      <x:c r="K705" s="2" t="str">
        <x:f>IF(COUNTA(A705:F705)=0,"",IF(OR(A705="",B705="",C705="",D705="",NOT(ISNUMBER(E705))),"Missing / invalid input",IF(G705&gt;1,"Duplicate key in this source",IF(H705=0,"Missing in other source",IF(H705&gt;1,"Duplicate in other source",IF(SUMIFS('App Data'!$M$2:$M$1001,'App Data'!$L$2:$L$1001,SUBSTITUTE(SUBSTITUTE(SUBSTITUTE(L705,"~","~~"),"*","~*"),"?","~?"))&lt;&gt;1,"Other amount is invalid",IF(J705&lt;&gt;0,"Amount differs","Matched")))))))</x:f>
      </x:c>
      <x:c r="L705" t="str">
        <x:f>IF(COUNTA(A705:F705)=0,"",LEN(A705)&amp;":"&amp;A705&amp;LEN(B705)&amp;":"&amp;B705&amp;LEN(C705)&amp;":"&amp;C705&amp;LEN(D705)&amp;":"&amp;D705)</x:f>
      </x:c>
      <x:c r="M705" t="str">
        <x:f>IF(COUNTA(A705:F705)=0,"",IF(ISNUMBER(E705),1,0))</x:f>
      </x:c>
    </x:row>
    <x:row r="706">
      <x:c r="A706" s="11"/>
      <x:c r="B706" s="11"/>
      <x:c r="C706" s="11"/>
      <x:c r="D706" s="11"/>
      <x:c r="E706" s="12"/>
      <x:c r="F706" s="10"/>
      <x:c r="G706" s="2" t="str">
        <x:f>IF(COUNTA(A706:F706)=0,"",COUNTIFS('External Data'!$L$2:$L$1001,SUBSTITUTE(SUBSTITUTE(SUBSTITUTE(L706,"~","~~"),"*","~*"),"?","~?")))</x:f>
      </x:c>
      <x:c r="H706" s="2" t="str">
        <x:f>IF(COUNTA(A706:F706)=0,"",COUNTIFS('App Data'!$L$2:$L$1001,SUBSTITUTE(SUBSTITUTE(SUBSTITUTE(L706,"~","~~"),"*","~*"),"?","~?")))</x:f>
      </x:c>
      <x:c r="I706" s="13" t="str">
        <x:f>IF(OR(H706&lt;&gt;1,G706&lt;&gt;1),"",SUMIFS('App Data'!$E$2:$E$1001,'App Data'!$L$2:$L$1001,SUBSTITUTE(SUBSTITUTE(SUBSTITUTE(L706,"~","~~"),"*","~*"),"?","~?")))</x:f>
      </x:c>
      <x:c r="J706" s="13" t="str">
        <x:f>IF(OR(NOT(ISNUMBER(E706)),NOT(ISNUMBER(I706))),"",ROUND(E706-I706,2))</x:f>
      </x:c>
      <x:c r="K706" s="2" t="str">
        <x:f>IF(COUNTA(A706:F706)=0,"",IF(OR(A706="",B706="",C706="",D706="",NOT(ISNUMBER(E706))),"Missing / invalid input",IF(G706&gt;1,"Duplicate key in this source",IF(H706=0,"Missing in other source",IF(H706&gt;1,"Duplicate in other source",IF(SUMIFS('App Data'!$M$2:$M$1001,'App Data'!$L$2:$L$1001,SUBSTITUTE(SUBSTITUTE(SUBSTITUTE(L706,"~","~~"),"*","~*"),"?","~?"))&lt;&gt;1,"Other amount is invalid",IF(J706&lt;&gt;0,"Amount differs","Matched")))))))</x:f>
      </x:c>
      <x:c r="L706" t="str">
        <x:f>IF(COUNTA(A706:F706)=0,"",LEN(A706)&amp;":"&amp;A706&amp;LEN(B706)&amp;":"&amp;B706&amp;LEN(C706)&amp;":"&amp;C706&amp;LEN(D706)&amp;":"&amp;D706)</x:f>
      </x:c>
      <x:c r="M706" t="str">
        <x:f>IF(COUNTA(A706:F706)=0,"",IF(ISNUMBER(E706),1,0))</x:f>
      </x:c>
    </x:row>
    <x:row r="707">
      <x:c r="A707" s="11"/>
      <x:c r="B707" s="11"/>
      <x:c r="C707" s="11"/>
      <x:c r="D707" s="11"/>
      <x:c r="E707" s="12"/>
      <x:c r="F707" s="10"/>
      <x:c r="G707" s="2" t="str">
        <x:f>IF(COUNTA(A707:F707)=0,"",COUNTIFS('External Data'!$L$2:$L$1001,SUBSTITUTE(SUBSTITUTE(SUBSTITUTE(L707,"~","~~"),"*","~*"),"?","~?")))</x:f>
      </x:c>
      <x:c r="H707" s="2" t="str">
        <x:f>IF(COUNTA(A707:F707)=0,"",COUNTIFS('App Data'!$L$2:$L$1001,SUBSTITUTE(SUBSTITUTE(SUBSTITUTE(L707,"~","~~"),"*","~*"),"?","~?")))</x:f>
      </x:c>
      <x:c r="I707" s="13" t="str">
        <x:f>IF(OR(H707&lt;&gt;1,G707&lt;&gt;1),"",SUMIFS('App Data'!$E$2:$E$1001,'App Data'!$L$2:$L$1001,SUBSTITUTE(SUBSTITUTE(SUBSTITUTE(L707,"~","~~"),"*","~*"),"?","~?")))</x:f>
      </x:c>
      <x:c r="J707" s="13" t="str">
        <x:f>IF(OR(NOT(ISNUMBER(E707)),NOT(ISNUMBER(I707))),"",ROUND(E707-I707,2))</x:f>
      </x:c>
      <x:c r="K707" s="2" t="str">
        <x:f>IF(COUNTA(A707:F707)=0,"",IF(OR(A707="",B707="",C707="",D707="",NOT(ISNUMBER(E707))),"Missing / invalid input",IF(G707&gt;1,"Duplicate key in this source",IF(H707=0,"Missing in other source",IF(H707&gt;1,"Duplicate in other source",IF(SUMIFS('App Data'!$M$2:$M$1001,'App Data'!$L$2:$L$1001,SUBSTITUTE(SUBSTITUTE(SUBSTITUTE(L707,"~","~~"),"*","~*"),"?","~?"))&lt;&gt;1,"Other amount is invalid",IF(J707&lt;&gt;0,"Amount differs","Matched")))))))</x:f>
      </x:c>
      <x:c r="L707" t="str">
        <x:f>IF(COUNTA(A707:F707)=0,"",LEN(A707)&amp;":"&amp;A707&amp;LEN(B707)&amp;":"&amp;B707&amp;LEN(C707)&amp;":"&amp;C707&amp;LEN(D707)&amp;":"&amp;D707)</x:f>
      </x:c>
      <x:c r="M707" t="str">
        <x:f>IF(COUNTA(A707:F707)=0,"",IF(ISNUMBER(E707),1,0))</x:f>
      </x:c>
    </x:row>
    <x:row r="708">
      <x:c r="A708" s="11"/>
      <x:c r="B708" s="11"/>
      <x:c r="C708" s="11"/>
      <x:c r="D708" s="11"/>
      <x:c r="E708" s="12"/>
      <x:c r="F708" s="10"/>
      <x:c r="G708" s="2" t="str">
        <x:f>IF(COUNTA(A708:F708)=0,"",COUNTIFS('External Data'!$L$2:$L$1001,SUBSTITUTE(SUBSTITUTE(SUBSTITUTE(L708,"~","~~"),"*","~*"),"?","~?")))</x:f>
      </x:c>
      <x:c r="H708" s="2" t="str">
        <x:f>IF(COUNTA(A708:F708)=0,"",COUNTIFS('App Data'!$L$2:$L$1001,SUBSTITUTE(SUBSTITUTE(SUBSTITUTE(L708,"~","~~"),"*","~*"),"?","~?")))</x:f>
      </x:c>
      <x:c r="I708" s="13" t="str">
        <x:f>IF(OR(H708&lt;&gt;1,G708&lt;&gt;1),"",SUMIFS('App Data'!$E$2:$E$1001,'App Data'!$L$2:$L$1001,SUBSTITUTE(SUBSTITUTE(SUBSTITUTE(L708,"~","~~"),"*","~*"),"?","~?")))</x:f>
      </x:c>
      <x:c r="J708" s="13" t="str">
        <x:f>IF(OR(NOT(ISNUMBER(E708)),NOT(ISNUMBER(I708))),"",ROUND(E708-I708,2))</x:f>
      </x:c>
      <x:c r="K708" s="2" t="str">
        <x:f>IF(COUNTA(A708:F708)=0,"",IF(OR(A708="",B708="",C708="",D708="",NOT(ISNUMBER(E708))),"Missing / invalid input",IF(G708&gt;1,"Duplicate key in this source",IF(H708=0,"Missing in other source",IF(H708&gt;1,"Duplicate in other source",IF(SUMIFS('App Data'!$M$2:$M$1001,'App Data'!$L$2:$L$1001,SUBSTITUTE(SUBSTITUTE(SUBSTITUTE(L708,"~","~~"),"*","~*"),"?","~?"))&lt;&gt;1,"Other amount is invalid",IF(J708&lt;&gt;0,"Amount differs","Matched")))))))</x:f>
      </x:c>
      <x:c r="L708" t="str">
        <x:f>IF(COUNTA(A708:F708)=0,"",LEN(A708)&amp;":"&amp;A708&amp;LEN(B708)&amp;":"&amp;B708&amp;LEN(C708)&amp;":"&amp;C708&amp;LEN(D708)&amp;":"&amp;D708)</x:f>
      </x:c>
      <x:c r="M708" t="str">
        <x:f>IF(COUNTA(A708:F708)=0,"",IF(ISNUMBER(E708),1,0))</x:f>
      </x:c>
    </x:row>
    <x:row r="709">
      <x:c r="A709" s="11"/>
      <x:c r="B709" s="11"/>
      <x:c r="C709" s="11"/>
      <x:c r="D709" s="11"/>
      <x:c r="E709" s="12"/>
      <x:c r="F709" s="10"/>
      <x:c r="G709" s="2" t="str">
        <x:f>IF(COUNTA(A709:F709)=0,"",COUNTIFS('External Data'!$L$2:$L$1001,SUBSTITUTE(SUBSTITUTE(SUBSTITUTE(L709,"~","~~"),"*","~*"),"?","~?")))</x:f>
      </x:c>
      <x:c r="H709" s="2" t="str">
        <x:f>IF(COUNTA(A709:F709)=0,"",COUNTIFS('App Data'!$L$2:$L$1001,SUBSTITUTE(SUBSTITUTE(SUBSTITUTE(L709,"~","~~"),"*","~*"),"?","~?")))</x:f>
      </x:c>
      <x:c r="I709" s="13" t="str">
        <x:f>IF(OR(H709&lt;&gt;1,G709&lt;&gt;1),"",SUMIFS('App Data'!$E$2:$E$1001,'App Data'!$L$2:$L$1001,SUBSTITUTE(SUBSTITUTE(SUBSTITUTE(L709,"~","~~"),"*","~*"),"?","~?")))</x:f>
      </x:c>
      <x:c r="J709" s="13" t="str">
        <x:f>IF(OR(NOT(ISNUMBER(E709)),NOT(ISNUMBER(I709))),"",ROUND(E709-I709,2))</x:f>
      </x:c>
      <x:c r="K709" s="2" t="str">
        <x:f>IF(COUNTA(A709:F709)=0,"",IF(OR(A709="",B709="",C709="",D709="",NOT(ISNUMBER(E709))),"Missing / invalid input",IF(G709&gt;1,"Duplicate key in this source",IF(H709=0,"Missing in other source",IF(H709&gt;1,"Duplicate in other source",IF(SUMIFS('App Data'!$M$2:$M$1001,'App Data'!$L$2:$L$1001,SUBSTITUTE(SUBSTITUTE(SUBSTITUTE(L709,"~","~~"),"*","~*"),"?","~?"))&lt;&gt;1,"Other amount is invalid",IF(J709&lt;&gt;0,"Amount differs","Matched")))))))</x:f>
      </x:c>
      <x:c r="L709" t="str">
        <x:f>IF(COUNTA(A709:F709)=0,"",LEN(A709)&amp;":"&amp;A709&amp;LEN(B709)&amp;":"&amp;B709&amp;LEN(C709)&amp;":"&amp;C709&amp;LEN(D709)&amp;":"&amp;D709)</x:f>
      </x:c>
      <x:c r="M709" t="str">
        <x:f>IF(COUNTA(A709:F709)=0,"",IF(ISNUMBER(E709),1,0))</x:f>
      </x:c>
    </x:row>
    <x:row r="710">
      <x:c r="A710" s="11"/>
      <x:c r="B710" s="11"/>
      <x:c r="C710" s="11"/>
      <x:c r="D710" s="11"/>
      <x:c r="E710" s="12"/>
      <x:c r="F710" s="10"/>
      <x:c r="G710" s="2" t="str">
        <x:f>IF(COUNTA(A710:F710)=0,"",COUNTIFS('External Data'!$L$2:$L$1001,SUBSTITUTE(SUBSTITUTE(SUBSTITUTE(L710,"~","~~"),"*","~*"),"?","~?")))</x:f>
      </x:c>
      <x:c r="H710" s="2" t="str">
        <x:f>IF(COUNTA(A710:F710)=0,"",COUNTIFS('App Data'!$L$2:$L$1001,SUBSTITUTE(SUBSTITUTE(SUBSTITUTE(L710,"~","~~"),"*","~*"),"?","~?")))</x:f>
      </x:c>
      <x:c r="I710" s="13" t="str">
        <x:f>IF(OR(H710&lt;&gt;1,G710&lt;&gt;1),"",SUMIFS('App Data'!$E$2:$E$1001,'App Data'!$L$2:$L$1001,SUBSTITUTE(SUBSTITUTE(SUBSTITUTE(L710,"~","~~"),"*","~*"),"?","~?")))</x:f>
      </x:c>
      <x:c r="J710" s="13" t="str">
        <x:f>IF(OR(NOT(ISNUMBER(E710)),NOT(ISNUMBER(I710))),"",ROUND(E710-I710,2))</x:f>
      </x:c>
      <x:c r="K710" s="2" t="str">
        <x:f>IF(COUNTA(A710:F710)=0,"",IF(OR(A710="",B710="",C710="",D710="",NOT(ISNUMBER(E710))),"Missing / invalid input",IF(G710&gt;1,"Duplicate key in this source",IF(H710=0,"Missing in other source",IF(H710&gt;1,"Duplicate in other source",IF(SUMIFS('App Data'!$M$2:$M$1001,'App Data'!$L$2:$L$1001,SUBSTITUTE(SUBSTITUTE(SUBSTITUTE(L710,"~","~~"),"*","~*"),"?","~?"))&lt;&gt;1,"Other amount is invalid",IF(J710&lt;&gt;0,"Amount differs","Matched")))))))</x:f>
      </x:c>
      <x:c r="L710" t="str">
        <x:f>IF(COUNTA(A710:F710)=0,"",LEN(A710)&amp;":"&amp;A710&amp;LEN(B710)&amp;":"&amp;B710&amp;LEN(C710)&amp;":"&amp;C710&amp;LEN(D710)&amp;":"&amp;D710)</x:f>
      </x:c>
      <x:c r="M710" t="str">
        <x:f>IF(COUNTA(A710:F710)=0,"",IF(ISNUMBER(E710),1,0))</x:f>
      </x:c>
    </x:row>
    <x:row r="711">
      <x:c r="A711" s="11"/>
      <x:c r="B711" s="11"/>
      <x:c r="C711" s="11"/>
      <x:c r="D711" s="11"/>
      <x:c r="E711" s="12"/>
      <x:c r="F711" s="10"/>
      <x:c r="G711" s="2" t="str">
        <x:f>IF(COUNTA(A711:F711)=0,"",COUNTIFS('External Data'!$L$2:$L$1001,SUBSTITUTE(SUBSTITUTE(SUBSTITUTE(L711,"~","~~"),"*","~*"),"?","~?")))</x:f>
      </x:c>
      <x:c r="H711" s="2" t="str">
        <x:f>IF(COUNTA(A711:F711)=0,"",COUNTIFS('App Data'!$L$2:$L$1001,SUBSTITUTE(SUBSTITUTE(SUBSTITUTE(L711,"~","~~"),"*","~*"),"?","~?")))</x:f>
      </x:c>
      <x:c r="I711" s="13" t="str">
        <x:f>IF(OR(H711&lt;&gt;1,G711&lt;&gt;1),"",SUMIFS('App Data'!$E$2:$E$1001,'App Data'!$L$2:$L$1001,SUBSTITUTE(SUBSTITUTE(SUBSTITUTE(L711,"~","~~"),"*","~*"),"?","~?")))</x:f>
      </x:c>
      <x:c r="J711" s="13" t="str">
        <x:f>IF(OR(NOT(ISNUMBER(E711)),NOT(ISNUMBER(I711))),"",ROUND(E711-I711,2))</x:f>
      </x:c>
      <x:c r="K711" s="2" t="str">
        <x:f>IF(COUNTA(A711:F711)=0,"",IF(OR(A711="",B711="",C711="",D711="",NOT(ISNUMBER(E711))),"Missing / invalid input",IF(G711&gt;1,"Duplicate key in this source",IF(H711=0,"Missing in other source",IF(H711&gt;1,"Duplicate in other source",IF(SUMIFS('App Data'!$M$2:$M$1001,'App Data'!$L$2:$L$1001,SUBSTITUTE(SUBSTITUTE(SUBSTITUTE(L711,"~","~~"),"*","~*"),"?","~?"))&lt;&gt;1,"Other amount is invalid",IF(J711&lt;&gt;0,"Amount differs","Matched")))))))</x:f>
      </x:c>
      <x:c r="L711" t="str">
        <x:f>IF(COUNTA(A711:F711)=0,"",LEN(A711)&amp;":"&amp;A711&amp;LEN(B711)&amp;":"&amp;B711&amp;LEN(C711)&amp;":"&amp;C711&amp;LEN(D711)&amp;":"&amp;D711)</x:f>
      </x:c>
      <x:c r="M711" t="str">
        <x:f>IF(COUNTA(A711:F711)=0,"",IF(ISNUMBER(E711),1,0))</x:f>
      </x:c>
    </x:row>
    <x:row r="712">
      <x:c r="A712" s="11"/>
      <x:c r="B712" s="11"/>
      <x:c r="C712" s="11"/>
      <x:c r="D712" s="11"/>
      <x:c r="E712" s="12"/>
      <x:c r="F712" s="10"/>
      <x:c r="G712" s="2" t="str">
        <x:f>IF(COUNTA(A712:F712)=0,"",COUNTIFS('External Data'!$L$2:$L$1001,SUBSTITUTE(SUBSTITUTE(SUBSTITUTE(L712,"~","~~"),"*","~*"),"?","~?")))</x:f>
      </x:c>
      <x:c r="H712" s="2" t="str">
        <x:f>IF(COUNTA(A712:F712)=0,"",COUNTIFS('App Data'!$L$2:$L$1001,SUBSTITUTE(SUBSTITUTE(SUBSTITUTE(L712,"~","~~"),"*","~*"),"?","~?")))</x:f>
      </x:c>
      <x:c r="I712" s="13" t="str">
        <x:f>IF(OR(H712&lt;&gt;1,G712&lt;&gt;1),"",SUMIFS('App Data'!$E$2:$E$1001,'App Data'!$L$2:$L$1001,SUBSTITUTE(SUBSTITUTE(SUBSTITUTE(L712,"~","~~"),"*","~*"),"?","~?")))</x:f>
      </x:c>
      <x:c r="J712" s="13" t="str">
        <x:f>IF(OR(NOT(ISNUMBER(E712)),NOT(ISNUMBER(I712))),"",ROUND(E712-I712,2))</x:f>
      </x:c>
      <x:c r="K712" s="2" t="str">
        <x:f>IF(COUNTA(A712:F712)=0,"",IF(OR(A712="",B712="",C712="",D712="",NOT(ISNUMBER(E712))),"Missing / invalid input",IF(G712&gt;1,"Duplicate key in this source",IF(H712=0,"Missing in other source",IF(H712&gt;1,"Duplicate in other source",IF(SUMIFS('App Data'!$M$2:$M$1001,'App Data'!$L$2:$L$1001,SUBSTITUTE(SUBSTITUTE(SUBSTITUTE(L712,"~","~~"),"*","~*"),"?","~?"))&lt;&gt;1,"Other amount is invalid",IF(J712&lt;&gt;0,"Amount differs","Matched")))))))</x:f>
      </x:c>
      <x:c r="L712" t="str">
        <x:f>IF(COUNTA(A712:F712)=0,"",LEN(A712)&amp;":"&amp;A712&amp;LEN(B712)&amp;":"&amp;B712&amp;LEN(C712)&amp;":"&amp;C712&amp;LEN(D712)&amp;":"&amp;D712)</x:f>
      </x:c>
      <x:c r="M712" t="str">
        <x:f>IF(COUNTA(A712:F712)=0,"",IF(ISNUMBER(E712),1,0))</x:f>
      </x:c>
    </x:row>
    <x:row r="713">
      <x:c r="A713" s="11"/>
      <x:c r="B713" s="11"/>
      <x:c r="C713" s="11"/>
      <x:c r="D713" s="11"/>
      <x:c r="E713" s="12"/>
      <x:c r="F713" s="10"/>
      <x:c r="G713" s="2" t="str">
        <x:f>IF(COUNTA(A713:F713)=0,"",COUNTIFS('External Data'!$L$2:$L$1001,SUBSTITUTE(SUBSTITUTE(SUBSTITUTE(L713,"~","~~"),"*","~*"),"?","~?")))</x:f>
      </x:c>
      <x:c r="H713" s="2" t="str">
        <x:f>IF(COUNTA(A713:F713)=0,"",COUNTIFS('App Data'!$L$2:$L$1001,SUBSTITUTE(SUBSTITUTE(SUBSTITUTE(L713,"~","~~"),"*","~*"),"?","~?")))</x:f>
      </x:c>
      <x:c r="I713" s="13" t="str">
        <x:f>IF(OR(H713&lt;&gt;1,G713&lt;&gt;1),"",SUMIFS('App Data'!$E$2:$E$1001,'App Data'!$L$2:$L$1001,SUBSTITUTE(SUBSTITUTE(SUBSTITUTE(L713,"~","~~"),"*","~*"),"?","~?")))</x:f>
      </x:c>
      <x:c r="J713" s="13" t="str">
        <x:f>IF(OR(NOT(ISNUMBER(E713)),NOT(ISNUMBER(I713))),"",ROUND(E713-I713,2))</x:f>
      </x:c>
      <x:c r="K713" s="2" t="str">
        <x:f>IF(COUNTA(A713:F713)=0,"",IF(OR(A713="",B713="",C713="",D713="",NOT(ISNUMBER(E713))),"Missing / invalid input",IF(G713&gt;1,"Duplicate key in this source",IF(H713=0,"Missing in other source",IF(H713&gt;1,"Duplicate in other source",IF(SUMIFS('App Data'!$M$2:$M$1001,'App Data'!$L$2:$L$1001,SUBSTITUTE(SUBSTITUTE(SUBSTITUTE(L713,"~","~~"),"*","~*"),"?","~?"))&lt;&gt;1,"Other amount is invalid",IF(J713&lt;&gt;0,"Amount differs","Matched")))))))</x:f>
      </x:c>
      <x:c r="L713" t="str">
        <x:f>IF(COUNTA(A713:F713)=0,"",LEN(A713)&amp;":"&amp;A713&amp;LEN(B713)&amp;":"&amp;B713&amp;LEN(C713)&amp;":"&amp;C713&amp;LEN(D713)&amp;":"&amp;D713)</x:f>
      </x:c>
      <x:c r="M713" t="str">
        <x:f>IF(COUNTA(A713:F713)=0,"",IF(ISNUMBER(E713),1,0))</x:f>
      </x:c>
    </x:row>
    <x:row r="714">
      <x:c r="A714" s="11"/>
      <x:c r="B714" s="11"/>
      <x:c r="C714" s="11"/>
      <x:c r="D714" s="11"/>
      <x:c r="E714" s="12"/>
      <x:c r="F714" s="10"/>
      <x:c r="G714" s="2" t="str">
        <x:f>IF(COUNTA(A714:F714)=0,"",COUNTIFS('External Data'!$L$2:$L$1001,SUBSTITUTE(SUBSTITUTE(SUBSTITUTE(L714,"~","~~"),"*","~*"),"?","~?")))</x:f>
      </x:c>
      <x:c r="H714" s="2" t="str">
        <x:f>IF(COUNTA(A714:F714)=0,"",COUNTIFS('App Data'!$L$2:$L$1001,SUBSTITUTE(SUBSTITUTE(SUBSTITUTE(L714,"~","~~"),"*","~*"),"?","~?")))</x:f>
      </x:c>
      <x:c r="I714" s="13" t="str">
        <x:f>IF(OR(H714&lt;&gt;1,G714&lt;&gt;1),"",SUMIFS('App Data'!$E$2:$E$1001,'App Data'!$L$2:$L$1001,SUBSTITUTE(SUBSTITUTE(SUBSTITUTE(L714,"~","~~"),"*","~*"),"?","~?")))</x:f>
      </x:c>
      <x:c r="J714" s="13" t="str">
        <x:f>IF(OR(NOT(ISNUMBER(E714)),NOT(ISNUMBER(I714))),"",ROUND(E714-I714,2))</x:f>
      </x:c>
      <x:c r="K714" s="2" t="str">
        <x:f>IF(COUNTA(A714:F714)=0,"",IF(OR(A714="",B714="",C714="",D714="",NOT(ISNUMBER(E714))),"Missing / invalid input",IF(G714&gt;1,"Duplicate key in this source",IF(H714=0,"Missing in other source",IF(H714&gt;1,"Duplicate in other source",IF(SUMIFS('App Data'!$M$2:$M$1001,'App Data'!$L$2:$L$1001,SUBSTITUTE(SUBSTITUTE(SUBSTITUTE(L714,"~","~~"),"*","~*"),"?","~?"))&lt;&gt;1,"Other amount is invalid",IF(J714&lt;&gt;0,"Amount differs","Matched")))))))</x:f>
      </x:c>
      <x:c r="L714" t="str">
        <x:f>IF(COUNTA(A714:F714)=0,"",LEN(A714)&amp;":"&amp;A714&amp;LEN(B714)&amp;":"&amp;B714&amp;LEN(C714)&amp;":"&amp;C714&amp;LEN(D714)&amp;":"&amp;D714)</x:f>
      </x:c>
      <x:c r="M714" t="str">
        <x:f>IF(COUNTA(A714:F714)=0,"",IF(ISNUMBER(E714),1,0))</x:f>
      </x:c>
    </x:row>
    <x:row r="715">
      <x:c r="A715" s="11"/>
      <x:c r="B715" s="11"/>
      <x:c r="C715" s="11"/>
      <x:c r="D715" s="11"/>
      <x:c r="E715" s="12"/>
      <x:c r="F715" s="10"/>
      <x:c r="G715" s="2" t="str">
        <x:f>IF(COUNTA(A715:F715)=0,"",COUNTIFS('External Data'!$L$2:$L$1001,SUBSTITUTE(SUBSTITUTE(SUBSTITUTE(L715,"~","~~"),"*","~*"),"?","~?")))</x:f>
      </x:c>
      <x:c r="H715" s="2" t="str">
        <x:f>IF(COUNTA(A715:F715)=0,"",COUNTIFS('App Data'!$L$2:$L$1001,SUBSTITUTE(SUBSTITUTE(SUBSTITUTE(L715,"~","~~"),"*","~*"),"?","~?")))</x:f>
      </x:c>
      <x:c r="I715" s="13" t="str">
        <x:f>IF(OR(H715&lt;&gt;1,G715&lt;&gt;1),"",SUMIFS('App Data'!$E$2:$E$1001,'App Data'!$L$2:$L$1001,SUBSTITUTE(SUBSTITUTE(SUBSTITUTE(L715,"~","~~"),"*","~*"),"?","~?")))</x:f>
      </x:c>
      <x:c r="J715" s="13" t="str">
        <x:f>IF(OR(NOT(ISNUMBER(E715)),NOT(ISNUMBER(I715))),"",ROUND(E715-I715,2))</x:f>
      </x:c>
      <x:c r="K715" s="2" t="str">
        <x:f>IF(COUNTA(A715:F715)=0,"",IF(OR(A715="",B715="",C715="",D715="",NOT(ISNUMBER(E715))),"Missing / invalid input",IF(G715&gt;1,"Duplicate key in this source",IF(H715=0,"Missing in other source",IF(H715&gt;1,"Duplicate in other source",IF(SUMIFS('App Data'!$M$2:$M$1001,'App Data'!$L$2:$L$1001,SUBSTITUTE(SUBSTITUTE(SUBSTITUTE(L715,"~","~~"),"*","~*"),"?","~?"))&lt;&gt;1,"Other amount is invalid",IF(J715&lt;&gt;0,"Amount differs","Matched")))))))</x:f>
      </x:c>
      <x:c r="L715" t="str">
        <x:f>IF(COUNTA(A715:F715)=0,"",LEN(A715)&amp;":"&amp;A715&amp;LEN(B715)&amp;":"&amp;B715&amp;LEN(C715)&amp;":"&amp;C715&amp;LEN(D715)&amp;":"&amp;D715)</x:f>
      </x:c>
      <x:c r="M715" t="str">
        <x:f>IF(COUNTA(A715:F715)=0,"",IF(ISNUMBER(E715),1,0))</x:f>
      </x:c>
    </x:row>
    <x:row r="716">
      <x:c r="A716" s="11"/>
      <x:c r="B716" s="11"/>
      <x:c r="C716" s="11"/>
      <x:c r="D716" s="11"/>
      <x:c r="E716" s="12"/>
      <x:c r="F716" s="10"/>
      <x:c r="G716" s="2" t="str">
        <x:f>IF(COUNTA(A716:F716)=0,"",COUNTIFS('External Data'!$L$2:$L$1001,SUBSTITUTE(SUBSTITUTE(SUBSTITUTE(L716,"~","~~"),"*","~*"),"?","~?")))</x:f>
      </x:c>
      <x:c r="H716" s="2" t="str">
        <x:f>IF(COUNTA(A716:F716)=0,"",COUNTIFS('App Data'!$L$2:$L$1001,SUBSTITUTE(SUBSTITUTE(SUBSTITUTE(L716,"~","~~"),"*","~*"),"?","~?")))</x:f>
      </x:c>
      <x:c r="I716" s="13" t="str">
        <x:f>IF(OR(H716&lt;&gt;1,G716&lt;&gt;1),"",SUMIFS('App Data'!$E$2:$E$1001,'App Data'!$L$2:$L$1001,SUBSTITUTE(SUBSTITUTE(SUBSTITUTE(L716,"~","~~"),"*","~*"),"?","~?")))</x:f>
      </x:c>
      <x:c r="J716" s="13" t="str">
        <x:f>IF(OR(NOT(ISNUMBER(E716)),NOT(ISNUMBER(I716))),"",ROUND(E716-I716,2))</x:f>
      </x:c>
      <x:c r="K716" s="2" t="str">
        <x:f>IF(COUNTA(A716:F716)=0,"",IF(OR(A716="",B716="",C716="",D716="",NOT(ISNUMBER(E716))),"Missing / invalid input",IF(G716&gt;1,"Duplicate key in this source",IF(H716=0,"Missing in other source",IF(H716&gt;1,"Duplicate in other source",IF(SUMIFS('App Data'!$M$2:$M$1001,'App Data'!$L$2:$L$1001,SUBSTITUTE(SUBSTITUTE(SUBSTITUTE(L716,"~","~~"),"*","~*"),"?","~?"))&lt;&gt;1,"Other amount is invalid",IF(J716&lt;&gt;0,"Amount differs","Matched")))))))</x:f>
      </x:c>
      <x:c r="L716" t="str">
        <x:f>IF(COUNTA(A716:F716)=0,"",LEN(A716)&amp;":"&amp;A716&amp;LEN(B716)&amp;":"&amp;B716&amp;LEN(C716)&amp;":"&amp;C716&amp;LEN(D716)&amp;":"&amp;D716)</x:f>
      </x:c>
      <x:c r="M716" t="str">
        <x:f>IF(COUNTA(A716:F716)=0,"",IF(ISNUMBER(E716),1,0))</x:f>
      </x:c>
    </x:row>
    <x:row r="717">
      <x:c r="A717" s="11"/>
      <x:c r="B717" s="11"/>
      <x:c r="C717" s="11"/>
      <x:c r="D717" s="11"/>
      <x:c r="E717" s="12"/>
      <x:c r="F717" s="10"/>
      <x:c r="G717" s="2" t="str">
        <x:f>IF(COUNTA(A717:F717)=0,"",COUNTIFS('External Data'!$L$2:$L$1001,SUBSTITUTE(SUBSTITUTE(SUBSTITUTE(L717,"~","~~"),"*","~*"),"?","~?")))</x:f>
      </x:c>
      <x:c r="H717" s="2" t="str">
        <x:f>IF(COUNTA(A717:F717)=0,"",COUNTIFS('App Data'!$L$2:$L$1001,SUBSTITUTE(SUBSTITUTE(SUBSTITUTE(L717,"~","~~"),"*","~*"),"?","~?")))</x:f>
      </x:c>
      <x:c r="I717" s="13" t="str">
        <x:f>IF(OR(H717&lt;&gt;1,G717&lt;&gt;1),"",SUMIFS('App Data'!$E$2:$E$1001,'App Data'!$L$2:$L$1001,SUBSTITUTE(SUBSTITUTE(SUBSTITUTE(L717,"~","~~"),"*","~*"),"?","~?")))</x:f>
      </x:c>
      <x:c r="J717" s="13" t="str">
        <x:f>IF(OR(NOT(ISNUMBER(E717)),NOT(ISNUMBER(I717))),"",ROUND(E717-I717,2))</x:f>
      </x:c>
      <x:c r="K717" s="2" t="str">
        <x:f>IF(COUNTA(A717:F717)=0,"",IF(OR(A717="",B717="",C717="",D717="",NOT(ISNUMBER(E717))),"Missing / invalid input",IF(G717&gt;1,"Duplicate key in this source",IF(H717=0,"Missing in other source",IF(H717&gt;1,"Duplicate in other source",IF(SUMIFS('App Data'!$M$2:$M$1001,'App Data'!$L$2:$L$1001,SUBSTITUTE(SUBSTITUTE(SUBSTITUTE(L717,"~","~~"),"*","~*"),"?","~?"))&lt;&gt;1,"Other amount is invalid",IF(J717&lt;&gt;0,"Amount differs","Matched")))))))</x:f>
      </x:c>
      <x:c r="L717" t="str">
        <x:f>IF(COUNTA(A717:F717)=0,"",LEN(A717)&amp;":"&amp;A717&amp;LEN(B717)&amp;":"&amp;B717&amp;LEN(C717)&amp;":"&amp;C717&amp;LEN(D717)&amp;":"&amp;D717)</x:f>
      </x:c>
      <x:c r="M717" t="str">
        <x:f>IF(COUNTA(A717:F717)=0,"",IF(ISNUMBER(E717),1,0))</x:f>
      </x:c>
    </x:row>
    <x:row r="718">
      <x:c r="A718" s="11"/>
      <x:c r="B718" s="11"/>
      <x:c r="C718" s="11"/>
      <x:c r="D718" s="11"/>
      <x:c r="E718" s="12"/>
      <x:c r="F718" s="10"/>
      <x:c r="G718" s="2" t="str">
        <x:f>IF(COUNTA(A718:F718)=0,"",COUNTIFS('External Data'!$L$2:$L$1001,SUBSTITUTE(SUBSTITUTE(SUBSTITUTE(L718,"~","~~"),"*","~*"),"?","~?")))</x:f>
      </x:c>
      <x:c r="H718" s="2" t="str">
        <x:f>IF(COUNTA(A718:F718)=0,"",COUNTIFS('App Data'!$L$2:$L$1001,SUBSTITUTE(SUBSTITUTE(SUBSTITUTE(L718,"~","~~"),"*","~*"),"?","~?")))</x:f>
      </x:c>
      <x:c r="I718" s="13" t="str">
        <x:f>IF(OR(H718&lt;&gt;1,G718&lt;&gt;1),"",SUMIFS('App Data'!$E$2:$E$1001,'App Data'!$L$2:$L$1001,SUBSTITUTE(SUBSTITUTE(SUBSTITUTE(L718,"~","~~"),"*","~*"),"?","~?")))</x:f>
      </x:c>
      <x:c r="J718" s="13" t="str">
        <x:f>IF(OR(NOT(ISNUMBER(E718)),NOT(ISNUMBER(I718))),"",ROUND(E718-I718,2))</x:f>
      </x:c>
      <x:c r="K718" s="2" t="str">
        <x:f>IF(COUNTA(A718:F718)=0,"",IF(OR(A718="",B718="",C718="",D718="",NOT(ISNUMBER(E718))),"Missing / invalid input",IF(G718&gt;1,"Duplicate key in this source",IF(H718=0,"Missing in other source",IF(H718&gt;1,"Duplicate in other source",IF(SUMIFS('App Data'!$M$2:$M$1001,'App Data'!$L$2:$L$1001,SUBSTITUTE(SUBSTITUTE(SUBSTITUTE(L718,"~","~~"),"*","~*"),"?","~?"))&lt;&gt;1,"Other amount is invalid",IF(J718&lt;&gt;0,"Amount differs","Matched")))))))</x:f>
      </x:c>
      <x:c r="L718" t="str">
        <x:f>IF(COUNTA(A718:F718)=0,"",LEN(A718)&amp;":"&amp;A718&amp;LEN(B718)&amp;":"&amp;B718&amp;LEN(C718)&amp;":"&amp;C718&amp;LEN(D718)&amp;":"&amp;D718)</x:f>
      </x:c>
      <x:c r="M718" t="str">
        <x:f>IF(COUNTA(A718:F718)=0,"",IF(ISNUMBER(E718),1,0))</x:f>
      </x:c>
    </x:row>
    <x:row r="719">
      <x:c r="A719" s="11"/>
      <x:c r="B719" s="11"/>
      <x:c r="C719" s="11"/>
      <x:c r="D719" s="11"/>
      <x:c r="E719" s="12"/>
      <x:c r="F719" s="10"/>
      <x:c r="G719" s="2" t="str">
        <x:f>IF(COUNTA(A719:F719)=0,"",COUNTIFS('External Data'!$L$2:$L$1001,SUBSTITUTE(SUBSTITUTE(SUBSTITUTE(L719,"~","~~"),"*","~*"),"?","~?")))</x:f>
      </x:c>
      <x:c r="H719" s="2" t="str">
        <x:f>IF(COUNTA(A719:F719)=0,"",COUNTIFS('App Data'!$L$2:$L$1001,SUBSTITUTE(SUBSTITUTE(SUBSTITUTE(L719,"~","~~"),"*","~*"),"?","~?")))</x:f>
      </x:c>
      <x:c r="I719" s="13" t="str">
        <x:f>IF(OR(H719&lt;&gt;1,G719&lt;&gt;1),"",SUMIFS('App Data'!$E$2:$E$1001,'App Data'!$L$2:$L$1001,SUBSTITUTE(SUBSTITUTE(SUBSTITUTE(L719,"~","~~"),"*","~*"),"?","~?")))</x:f>
      </x:c>
      <x:c r="J719" s="13" t="str">
        <x:f>IF(OR(NOT(ISNUMBER(E719)),NOT(ISNUMBER(I719))),"",ROUND(E719-I719,2))</x:f>
      </x:c>
      <x:c r="K719" s="2" t="str">
        <x:f>IF(COUNTA(A719:F719)=0,"",IF(OR(A719="",B719="",C719="",D719="",NOT(ISNUMBER(E719))),"Missing / invalid input",IF(G719&gt;1,"Duplicate key in this source",IF(H719=0,"Missing in other source",IF(H719&gt;1,"Duplicate in other source",IF(SUMIFS('App Data'!$M$2:$M$1001,'App Data'!$L$2:$L$1001,SUBSTITUTE(SUBSTITUTE(SUBSTITUTE(L719,"~","~~"),"*","~*"),"?","~?"))&lt;&gt;1,"Other amount is invalid",IF(J719&lt;&gt;0,"Amount differs","Matched")))))))</x:f>
      </x:c>
      <x:c r="L719" t="str">
        <x:f>IF(COUNTA(A719:F719)=0,"",LEN(A719)&amp;":"&amp;A719&amp;LEN(B719)&amp;":"&amp;B719&amp;LEN(C719)&amp;":"&amp;C719&amp;LEN(D719)&amp;":"&amp;D719)</x:f>
      </x:c>
      <x:c r="M719" t="str">
        <x:f>IF(COUNTA(A719:F719)=0,"",IF(ISNUMBER(E719),1,0))</x:f>
      </x:c>
    </x:row>
    <x:row r="720">
      <x:c r="A720" s="11"/>
      <x:c r="B720" s="11"/>
      <x:c r="C720" s="11"/>
      <x:c r="D720" s="11"/>
      <x:c r="E720" s="12"/>
      <x:c r="F720" s="10"/>
      <x:c r="G720" s="2" t="str">
        <x:f>IF(COUNTA(A720:F720)=0,"",COUNTIFS('External Data'!$L$2:$L$1001,SUBSTITUTE(SUBSTITUTE(SUBSTITUTE(L720,"~","~~"),"*","~*"),"?","~?")))</x:f>
      </x:c>
      <x:c r="H720" s="2" t="str">
        <x:f>IF(COUNTA(A720:F720)=0,"",COUNTIFS('App Data'!$L$2:$L$1001,SUBSTITUTE(SUBSTITUTE(SUBSTITUTE(L720,"~","~~"),"*","~*"),"?","~?")))</x:f>
      </x:c>
      <x:c r="I720" s="13" t="str">
        <x:f>IF(OR(H720&lt;&gt;1,G720&lt;&gt;1),"",SUMIFS('App Data'!$E$2:$E$1001,'App Data'!$L$2:$L$1001,SUBSTITUTE(SUBSTITUTE(SUBSTITUTE(L720,"~","~~"),"*","~*"),"?","~?")))</x:f>
      </x:c>
      <x:c r="J720" s="13" t="str">
        <x:f>IF(OR(NOT(ISNUMBER(E720)),NOT(ISNUMBER(I720))),"",ROUND(E720-I720,2))</x:f>
      </x:c>
      <x:c r="K720" s="2" t="str">
        <x:f>IF(COUNTA(A720:F720)=0,"",IF(OR(A720="",B720="",C720="",D720="",NOT(ISNUMBER(E720))),"Missing / invalid input",IF(G720&gt;1,"Duplicate key in this source",IF(H720=0,"Missing in other source",IF(H720&gt;1,"Duplicate in other source",IF(SUMIFS('App Data'!$M$2:$M$1001,'App Data'!$L$2:$L$1001,SUBSTITUTE(SUBSTITUTE(SUBSTITUTE(L720,"~","~~"),"*","~*"),"?","~?"))&lt;&gt;1,"Other amount is invalid",IF(J720&lt;&gt;0,"Amount differs","Matched")))))))</x:f>
      </x:c>
      <x:c r="L720" t="str">
        <x:f>IF(COUNTA(A720:F720)=0,"",LEN(A720)&amp;":"&amp;A720&amp;LEN(B720)&amp;":"&amp;B720&amp;LEN(C720)&amp;":"&amp;C720&amp;LEN(D720)&amp;":"&amp;D720)</x:f>
      </x:c>
      <x:c r="M720" t="str">
        <x:f>IF(COUNTA(A720:F720)=0,"",IF(ISNUMBER(E720),1,0))</x:f>
      </x:c>
    </x:row>
    <x:row r="721">
      <x:c r="A721" s="11"/>
      <x:c r="B721" s="11"/>
      <x:c r="C721" s="11"/>
      <x:c r="D721" s="11"/>
      <x:c r="E721" s="12"/>
      <x:c r="F721" s="10"/>
      <x:c r="G721" s="2" t="str">
        <x:f>IF(COUNTA(A721:F721)=0,"",COUNTIFS('External Data'!$L$2:$L$1001,SUBSTITUTE(SUBSTITUTE(SUBSTITUTE(L721,"~","~~"),"*","~*"),"?","~?")))</x:f>
      </x:c>
      <x:c r="H721" s="2" t="str">
        <x:f>IF(COUNTA(A721:F721)=0,"",COUNTIFS('App Data'!$L$2:$L$1001,SUBSTITUTE(SUBSTITUTE(SUBSTITUTE(L721,"~","~~"),"*","~*"),"?","~?")))</x:f>
      </x:c>
      <x:c r="I721" s="13" t="str">
        <x:f>IF(OR(H721&lt;&gt;1,G721&lt;&gt;1),"",SUMIFS('App Data'!$E$2:$E$1001,'App Data'!$L$2:$L$1001,SUBSTITUTE(SUBSTITUTE(SUBSTITUTE(L721,"~","~~"),"*","~*"),"?","~?")))</x:f>
      </x:c>
      <x:c r="J721" s="13" t="str">
        <x:f>IF(OR(NOT(ISNUMBER(E721)),NOT(ISNUMBER(I721))),"",ROUND(E721-I721,2))</x:f>
      </x:c>
      <x:c r="K721" s="2" t="str">
        <x:f>IF(COUNTA(A721:F721)=0,"",IF(OR(A721="",B721="",C721="",D721="",NOT(ISNUMBER(E721))),"Missing / invalid input",IF(G721&gt;1,"Duplicate key in this source",IF(H721=0,"Missing in other source",IF(H721&gt;1,"Duplicate in other source",IF(SUMIFS('App Data'!$M$2:$M$1001,'App Data'!$L$2:$L$1001,SUBSTITUTE(SUBSTITUTE(SUBSTITUTE(L721,"~","~~"),"*","~*"),"?","~?"))&lt;&gt;1,"Other amount is invalid",IF(J721&lt;&gt;0,"Amount differs","Matched")))))))</x:f>
      </x:c>
      <x:c r="L721" t="str">
        <x:f>IF(COUNTA(A721:F721)=0,"",LEN(A721)&amp;":"&amp;A721&amp;LEN(B721)&amp;":"&amp;B721&amp;LEN(C721)&amp;":"&amp;C721&amp;LEN(D721)&amp;":"&amp;D721)</x:f>
      </x:c>
      <x:c r="M721" t="str">
        <x:f>IF(COUNTA(A721:F721)=0,"",IF(ISNUMBER(E721),1,0))</x:f>
      </x:c>
    </x:row>
    <x:row r="722">
      <x:c r="A722" s="11"/>
      <x:c r="B722" s="11"/>
      <x:c r="C722" s="11"/>
      <x:c r="D722" s="11"/>
      <x:c r="E722" s="12"/>
      <x:c r="F722" s="10"/>
      <x:c r="G722" s="2" t="str">
        <x:f>IF(COUNTA(A722:F722)=0,"",COUNTIFS('External Data'!$L$2:$L$1001,SUBSTITUTE(SUBSTITUTE(SUBSTITUTE(L722,"~","~~"),"*","~*"),"?","~?")))</x:f>
      </x:c>
      <x:c r="H722" s="2" t="str">
        <x:f>IF(COUNTA(A722:F722)=0,"",COUNTIFS('App Data'!$L$2:$L$1001,SUBSTITUTE(SUBSTITUTE(SUBSTITUTE(L722,"~","~~"),"*","~*"),"?","~?")))</x:f>
      </x:c>
      <x:c r="I722" s="13" t="str">
        <x:f>IF(OR(H722&lt;&gt;1,G722&lt;&gt;1),"",SUMIFS('App Data'!$E$2:$E$1001,'App Data'!$L$2:$L$1001,SUBSTITUTE(SUBSTITUTE(SUBSTITUTE(L722,"~","~~"),"*","~*"),"?","~?")))</x:f>
      </x:c>
      <x:c r="J722" s="13" t="str">
        <x:f>IF(OR(NOT(ISNUMBER(E722)),NOT(ISNUMBER(I722))),"",ROUND(E722-I722,2))</x:f>
      </x:c>
      <x:c r="K722" s="2" t="str">
        <x:f>IF(COUNTA(A722:F722)=0,"",IF(OR(A722="",B722="",C722="",D722="",NOT(ISNUMBER(E722))),"Missing / invalid input",IF(G722&gt;1,"Duplicate key in this source",IF(H722=0,"Missing in other source",IF(H722&gt;1,"Duplicate in other source",IF(SUMIFS('App Data'!$M$2:$M$1001,'App Data'!$L$2:$L$1001,SUBSTITUTE(SUBSTITUTE(SUBSTITUTE(L722,"~","~~"),"*","~*"),"?","~?"))&lt;&gt;1,"Other amount is invalid",IF(J722&lt;&gt;0,"Amount differs","Matched")))))))</x:f>
      </x:c>
      <x:c r="L722" t="str">
        <x:f>IF(COUNTA(A722:F722)=0,"",LEN(A722)&amp;":"&amp;A722&amp;LEN(B722)&amp;":"&amp;B722&amp;LEN(C722)&amp;":"&amp;C722&amp;LEN(D722)&amp;":"&amp;D722)</x:f>
      </x:c>
      <x:c r="M722" t="str">
        <x:f>IF(COUNTA(A722:F722)=0,"",IF(ISNUMBER(E722),1,0))</x:f>
      </x:c>
    </x:row>
    <x:row r="723">
      <x:c r="A723" s="11"/>
      <x:c r="B723" s="11"/>
      <x:c r="C723" s="11"/>
      <x:c r="D723" s="11"/>
      <x:c r="E723" s="12"/>
      <x:c r="F723" s="10"/>
      <x:c r="G723" s="2" t="str">
        <x:f>IF(COUNTA(A723:F723)=0,"",COUNTIFS('External Data'!$L$2:$L$1001,SUBSTITUTE(SUBSTITUTE(SUBSTITUTE(L723,"~","~~"),"*","~*"),"?","~?")))</x:f>
      </x:c>
      <x:c r="H723" s="2" t="str">
        <x:f>IF(COUNTA(A723:F723)=0,"",COUNTIFS('App Data'!$L$2:$L$1001,SUBSTITUTE(SUBSTITUTE(SUBSTITUTE(L723,"~","~~"),"*","~*"),"?","~?")))</x:f>
      </x:c>
      <x:c r="I723" s="13" t="str">
        <x:f>IF(OR(H723&lt;&gt;1,G723&lt;&gt;1),"",SUMIFS('App Data'!$E$2:$E$1001,'App Data'!$L$2:$L$1001,SUBSTITUTE(SUBSTITUTE(SUBSTITUTE(L723,"~","~~"),"*","~*"),"?","~?")))</x:f>
      </x:c>
      <x:c r="J723" s="13" t="str">
        <x:f>IF(OR(NOT(ISNUMBER(E723)),NOT(ISNUMBER(I723))),"",ROUND(E723-I723,2))</x:f>
      </x:c>
      <x:c r="K723" s="2" t="str">
        <x:f>IF(COUNTA(A723:F723)=0,"",IF(OR(A723="",B723="",C723="",D723="",NOT(ISNUMBER(E723))),"Missing / invalid input",IF(G723&gt;1,"Duplicate key in this source",IF(H723=0,"Missing in other source",IF(H723&gt;1,"Duplicate in other source",IF(SUMIFS('App Data'!$M$2:$M$1001,'App Data'!$L$2:$L$1001,SUBSTITUTE(SUBSTITUTE(SUBSTITUTE(L723,"~","~~"),"*","~*"),"?","~?"))&lt;&gt;1,"Other amount is invalid",IF(J723&lt;&gt;0,"Amount differs","Matched")))))))</x:f>
      </x:c>
      <x:c r="L723" t="str">
        <x:f>IF(COUNTA(A723:F723)=0,"",LEN(A723)&amp;":"&amp;A723&amp;LEN(B723)&amp;":"&amp;B723&amp;LEN(C723)&amp;":"&amp;C723&amp;LEN(D723)&amp;":"&amp;D723)</x:f>
      </x:c>
      <x:c r="M723" t="str">
        <x:f>IF(COUNTA(A723:F723)=0,"",IF(ISNUMBER(E723),1,0))</x:f>
      </x:c>
    </x:row>
    <x:row r="724">
      <x:c r="A724" s="11"/>
      <x:c r="B724" s="11"/>
      <x:c r="C724" s="11"/>
      <x:c r="D724" s="11"/>
      <x:c r="E724" s="12"/>
      <x:c r="F724" s="10"/>
      <x:c r="G724" s="2" t="str">
        <x:f>IF(COUNTA(A724:F724)=0,"",COUNTIFS('External Data'!$L$2:$L$1001,SUBSTITUTE(SUBSTITUTE(SUBSTITUTE(L724,"~","~~"),"*","~*"),"?","~?")))</x:f>
      </x:c>
      <x:c r="H724" s="2" t="str">
        <x:f>IF(COUNTA(A724:F724)=0,"",COUNTIFS('App Data'!$L$2:$L$1001,SUBSTITUTE(SUBSTITUTE(SUBSTITUTE(L724,"~","~~"),"*","~*"),"?","~?")))</x:f>
      </x:c>
      <x:c r="I724" s="13" t="str">
        <x:f>IF(OR(H724&lt;&gt;1,G724&lt;&gt;1),"",SUMIFS('App Data'!$E$2:$E$1001,'App Data'!$L$2:$L$1001,SUBSTITUTE(SUBSTITUTE(SUBSTITUTE(L724,"~","~~"),"*","~*"),"?","~?")))</x:f>
      </x:c>
      <x:c r="J724" s="13" t="str">
        <x:f>IF(OR(NOT(ISNUMBER(E724)),NOT(ISNUMBER(I724))),"",ROUND(E724-I724,2))</x:f>
      </x:c>
      <x:c r="K724" s="2" t="str">
        <x:f>IF(COUNTA(A724:F724)=0,"",IF(OR(A724="",B724="",C724="",D724="",NOT(ISNUMBER(E724))),"Missing / invalid input",IF(G724&gt;1,"Duplicate key in this source",IF(H724=0,"Missing in other source",IF(H724&gt;1,"Duplicate in other source",IF(SUMIFS('App Data'!$M$2:$M$1001,'App Data'!$L$2:$L$1001,SUBSTITUTE(SUBSTITUTE(SUBSTITUTE(L724,"~","~~"),"*","~*"),"?","~?"))&lt;&gt;1,"Other amount is invalid",IF(J724&lt;&gt;0,"Amount differs","Matched")))))))</x:f>
      </x:c>
      <x:c r="L724" t="str">
        <x:f>IF(COUNTA(A724:F724)=0,"",LEN(A724)&amp;":"&amp;A724&amp;LEN(B724)&amp;":"&amp;B724&amp;LEN(C724)&amp;":"&amp;C724&amp;LEN(D724)&amp;":"&amp;D724)</x:f>
      </x:c>
      <x:c r="M724" t="str">
        <x:f>IF(COUNTA(A724:F724)=0,"",IF(ISNUMBER(E724),1,0))</x:f>
      </x:c>
    </x:row>
    <x:row r="725">
      <x:c r="A725" s="11"/>
      <x:c r="B725" s="11"/>
      <x:c r="C725" s="11"/>
      <x:c r="D725" s="11"/>
      <x:c r="E725" s="12"/>
      <x:c r="F725" s="10"/>
      <x:c r="G725" s="2" t="str">
        <x:f>IF(COUNTA(A725:F725)=0,"",COUNTIFS('External Data'!$L$2:$L$1001,SUBSTITUTE(SUBSTITUTE(SUBSTITUTE(L725,"~","~~"),"*","~*"),"?","~?")))</x:f>
      </x:c>
      <x:c r="H725" s="2" t="str">
        <x:f>IF(COUNTA(A725:F725)=0,"",COUNTIFS('App Data'!$L$2:$L$1001,SUBSTITUTE(SUBSTITUTE(SUBSTITUTE(L725,"~","~~"),"*","~*"),"?","~?")))</x:f>
      </x:c>
      <x:c r="I725" s="13" t="str">
        <x:f>IF(OR(H725&lt;&gt;1,G725&lt;&gt;1),"",SUMIFS('App Data'!$E$2:$E$1001,'App Data'!$L$2:$L$1001,SUBSTITUTE(SUBSTITUTE(SUBSTITUTE(L725,"~","~~"),"*","~*"),"?","~?")))</x:f>
      </x:c>
      <x:c r="J725" s="13" t="str">
        <x:f>IF(OR(NOT(ISNUMBER(E725)),NOT(ISNUMBER(I725))),"",ROUND(E725-I725,2))</x:f>
      </x:c>
      <x:c r="K725" s="2" t="str">
        <x:f>IF(COUNTA(A725:F725)=0,"",IF(OR(A725="",B725="",C725="",D725="",NOT(ISNUMBER(E725))),"Missing / invalid input",IF(G725&gt;1,"Duplicate key in this source",IF(H725=0,"Missing in other source",IF(H725&gt;1,"Duplicate in other source",IF(SUMIFS('App Data'!$M$2:$M$1001,'App Data'!$L$2:$L$1001,SUBSTITUTE(SUBSTITUTE(SUBSTITUTE(L725,"~","~~"),"*","~*"),"?","~?"))&lt;&gt;1,"Other amount is invalid",IF(J725&lt;&gt;0,"Amount differs","Matched")))))))</x:f>
      </x:c>
      <x:c r="L725" t="str">
        <x:f>IF(COUNTA(A725:F725)=0,"",LEN(A725)&amp;":"&amp;A725&amp;LEN(B725)&amp;":"&amp;B725&amp;LEN(C725)&amp;":"&amp;C725&amp;LEN(D725)&amp;":"&amp;D725)</x:f>
      </x:c>
      <x:c r="M725" t="str">
        <x:f>IF(COUNTA(A725:F725)=0,"",IF(ISNUMBER(E725),1,0))</x:f>
      </x:c>
    </x:row>
    <x:row r="726">
      <x:c r="A726" s="11"/>
      <x:c r="B726" s="11"/>
      <x:c r="C726" s="11"/>
      <x:c r="D726" s="11"/>
      <x:c r="E726" s="12"/>
      <x:c r="F726" s="10"/>
      <x:c r="G726" s="2" t="str">
        <x:f>IF(COUNTA(A726:F726)=0,"",COUNTIFS('External Data'!$L$2:$L$1001,SUBSTITUTE(SUBSTITUTE(SUBSTITUTE(L726,"~","~~"),"*","~*"),"?","~?")))</x:f>
      </x:c>
      <x:c r="H726" s="2" t="str">
        <x:f>IF(COUNTA(A726:F726)=0,"",COUNTIFS('App Data'!$L$2:$L$1001,SUBSTITUTE(SUBSTITUTE(SUBSTITUTE(L726,"~","~~"),"*","~*"),"?","~?")))</x:f>
      </x:c>
      <x:c r="I726" s="13" t="str">
        <x:f>IF(OR(H726&lt;&gt;1,G726&lt;&gt;1),"",SUMIFS('App Data'!$E$2:$E$1001,'App Data'!$L$2:$L$1001,SUBSTITUTE(SUBSTITUTE(SUBSTITUTE(L726,"~","~~"),"*","~*"),"?","~?")))</x:f>
      </x:c>
      <x:c r="J726" s="13" t="str">
        <x:f>IF(OR(NOT(ISNUMBER(E726)),NOT(ISNUMBER(I726))),"",ROUND(E726-I726,2))</x:f>
      </x:c>
      <x:c r="K726" s="2" t="str">
        <x:f>IF(COUNTA(A726:F726)=0,"",IF(OR(A726="",B726="",C726="",D726="",NOT(ISNUMBER(E726))),"Missing / invalid input",IF(G726&gt;1,"Duplicate key in this source",IF(H726=0,"Missing in other source",IF(H726&gt;1,"Duplicate in other source",IF(SUMIFS('App Data'!$M$2:$M$1001,'App Data'!$L$2:$L$1001,SUBSTITUTE(SUBSTITUTE(SUBSTITUTE(L726,"~","~~"),"*","~*"),"?","~?"))&lt;&gt;1,"Other amount is invalid",IF(J726&lt;&gt;0,"Amount differs","Matched")))))))</x:f>
      </x:c>
      <x:c r="L726" t="str">
        <x:f>IF(COUNTA(A726:F726)=0,"",LEN(A726)&amp;":"&amp;A726&amp;LEN(B726)&amp;":"&amp;B726&amp;LEN(C726)&amp;":"&amp;C726&amp;LEN(D726)&amp;":"&amp;D726)</x:f>
      </x:c>
      <x:c r="M726" t="str">
        <x:f>IF(COUNTA(A726:F726)=0,"",IF(ISNUMBER(E726),1,0))</x:f>
      </x:c>
    </x:row>
    <x:row r="727">
      <x:c r="A727" s="11"/>
      <x:c r="B727" s="11"/>
      <x:c r="C727" s="11"/>
      <x:c r="D727" s="11"/>
      <x:c r="E727" s="12"/>
      <x:c r="F727" s="10"/>
      <x:c r="G727" s="2" t="str">
        <x:f>IF(COUNTA(A727:F727)=0,"",COUNTIFS('External Data'!$L$2:$L$1001,SUBSTITUTE(SUBSTITUTE(SUBSTITUTE(L727,"~","~~"),"*","~*"),"?","~?")))</x:f>
      </x:c>
      <x:c r="H727" s="2" t="str">
        <x:f>IF(COUNTA(A727:F727)=0,"",COUNTIFS('App Data'!$L$2:$L$1001,SUBSTITUTE(SUBSTITUTE(SUBSTITUTE(L727,"~","~~"),"*","~*"),"?","~?")))</x:f>
      </x:c>
      <x:c r="I727" s="13" t="str">
        <x:f>IF(OR(H727&lt;&gt;1,G727&lt;&gt;1),"",SUMIFS('App Data'!$E$2:$E$1001,'App Data'!$L$2:$L$1001,SUBSTITUTE(SUBSTITUTE(SUBSTITUTE(L727,"~","~~"),"*","~*"),"?","~?")))</x:f>
      </x:c>
      <x:c r="J727" s="13" t="str">
        <x:f>IF(OR(NOT(ISNUMBER(E727)),NOT(ISNUMBER(I727))),"",ROUND(E727-I727,2))</x:f>
      </x:c>
      <x:c r="K727" s="2" t="str">
        <x:f>IF(COUNTA(A727:F727)=0,"",IF(OR(A727="",B727="",C727="",D727="",NOT(ISNUMBER(E727))),"Missing / invalid input",IF(G727&gt;1,"Duplicate key in this source",IF(H727=0,"Missing in other source",IF(H727&gt;1,"Duplicate in other source",IF(SUMIFS('App Data'!$M$2:$M$1001,'App Data'!$L$2:$L$1001,SUBSTITUTE(SUBSTITUTE(SUBSTITUTE(L727,"~","~~"),"*","~*"),"?","~?"))&lt;&gt;1,"Other amount is invalid",IF(J727&lt;&gt;0,"Amount differs","Matched")))))))</x:f>
      </x:c>
      <x:c r="L727" t="str">
        <x:f>IF(COUNTA(A727:F727)=0,"",LEN(A727)&amp;":"&amp;A727&amp;LEN(B727)&amp;":"&amp;B727&amp;LEN(C727)&amp;":"&amp;C727&amp;LEN(D727)&amp;":"&amp;D727)</x:f>
      </x:c>
      <x:c r="M727" t="str">
        <x:f>IF(COUNTA(A727:F727)=0,"",IF(ISNUMBER(E727),1,0))</x:f>
      </x:c>
    </x:row>
    <x:row r="728">
      <x:c r="A728" s="11"/>
      <x:c r="B728" s="11"/>
      <x:c r="C728" s="11"/>
      <x:c r="D728" s="11"/>
      <x:c r="E728" s="12"/>
      <x:c r="F728" s="10"/>
      <x:c r="G728" s="2" t="str">
        <x:f>IF(COUNTA(A728:F728)=0,"",COUNTIFS('External Data'!$L$2:$L$1001,SUBSTITUTE(SUBSTITUTE(SUBSTITUTE(L728,"~","~~"),"*","~*"),"?","~?")))</x:f>
      </x:c>
      <x:c r="H728" s="2" t="str">
        <x:f>IF(COUNTA(A728:F728)=0,"",COUNTIFS('App Data'!$L$2:$L$1001,SUBSTITUTE(SUBSTITUTE(SUBSTITUTE(L728,"~","~~"),"*","~*"),"?","~?")))</x:f>
      </x:c>
      <x:c r="I728" s="13" t="str">
        <x:f>IF(OR(H728&lt;&gt;1,G728&lt;&gt;1),"",SUMIFS('App Data'!$E$2:$E$1001,'App Data'!$L$2:$L$1001,SUBSTITUTE(SUBSTITUTE(SUBSTITUTE(L728,"~","~~"),"*","~*"),"?","~?")))</x:f>
      </x:c>
      <x:c r="J728" s="13" t="str">
        <x:f>IF(OR(NOT(ISNUMBER(E728)),NOT(ISNUMBER(I728))),"",ROUND(E728-I728,2))</x:f>
      </x:c>
      <x:c r="K728" s="2" t="str">
        <x:f>IF(COUNTA(A728:F728)=0,"",IF(OR(A728="",B728="",C728="",D728="",NOT(ISNUMBER(E728))),"Missing / invalid input",IF(G728&gt;1,"Duplicate key in this source",IF(H728=0,"Missing in other source",IF(H728&gt;1,"Duplicate in other source",IF(SUMIFS('App Data'!$M$2:$M$1001,'App Data'!$L$2:$L$1001,SUBSTITUTE(SUBSTITUTE(SUBSTITUTE(L728,"~","~~"),"*","~*"),"?","~?"))&lt;&gt;1,"Other amount is invalid",IF(J728&lt;&gt;0,"Amount differs","Matched")))))))</x:f>
      </x:c>
      <x:c r="L728" t="str">
        <x:f>IF(COUNTA(A728:F728)=0,"",LEN(A728)&amp;":"&amp;A728&amp;LEN(B728)&amp;":"&amp;B728&amp;LEN(C728)&amp;":"&amp;C728&amp;LEN(D728)&amp;":"&amp;D728)</x:f>
      </x:c>
      <x:c r="M728" t="str">
        <x:f>IF(COUNTA(A728:F728)=0,"",IF(ISNUMBER(E728),1,0))</x:f>
      </x:c>
    </x:row>
    <x:row r="729">
      <x:c r="A729" s="11"/>
      <x:c r="B729" s="11"/>
      <x:c r="C729" s="11"/>
      <x:c r="D729" s="11"/>
      <x:c r="E729" s="12"/>
      <x:c r="F729" s="10"/>
      <x:c r="G729" s="2" t="str">
        <x:f>IF(COUNTA(A729:F729)=0,"",COUNTIFS('External Data'!$L$2:$L$1001,SUBSTITUTE(SUBSTITUTE(SUBSTITUTE(L729,"~","~~"),"*","~*"),"?","~?")))</x:f>
      </x:c>
      <x:c r="H729" s="2" t="str">
        <x:f>IF(COUNTA(A729:F729)=0,"",COUNTIFS('App Data'!$L$2:$L$1001,SUBSTITUTE(SUBSTITUTE(SUBSTITUTE(L729,"~","~~"),"*","~*"),"?","~?")))</x:f>
      </x:c>
      <x:c r="I729" s="13" t="str">
        <x:f>IF(OR(H729&lt;&gt;1,G729&lt;&gt;1),"",SUMIFS('App Data'!$E$2:$E$1001,'App Data'!$L$2:$L$1001,SUBSTITUTE(SUBSTITUTE(SUBSTITUTE(L729,"~","~~"),"*","~*"),"?","~?")))</x:f>
      </x:c>
      <x:c r="J729" s="13" t="str">
        <x:f>IF(OR(NOT(ISNUMBER(E729)),NOT(ISNUMBER(I729))),"",ROUND(E729-I729,2))</x:f>
      </x:c>
      <x:c r="K729" s="2" t="str">
        <x:f>IF(COUNTA(A729:F729)=0,"",IF(OR(A729="",B729="",C729="",D729="",NOT(ISNUMBER(E729))),"Missing / invalid input",IF(G729&gt;1,"Duplicate key in this source",IF(H729=0,"Missing in other source",IF(H729&gt;1,"Duplicate in other source",IF(SUMIFS('App Data'!$M$2:$M$1001,'App Data'!$L$2:$L$1001,SUBSTITUTE(SUBSTITUTE(SUBSTITUTE(L729,"~","~~"),"*","~*"),"?","~?"))&lt;&gt;1,"Other amount is invalid",IF(J729&lt;&gt;0,"Amount differs","Matched")))))))</x:f>
      </x:c>
      <x:c r="L729" t="str">
        <x:f>IF(COUNTA(A729:F729)=0,"",LEN(A729)&amp;":"&amp;A729&amp;LEN(B729)&amp;":"&amp;B729&amp;LEN(C729)&amp;":"&amp;C729&amp;LEN(D729)&amp;":"&amp;D729)</x:f>
      </x:c>
      <x:c r="M729" t="str">
        <x:f>IF(COUNTA(A729:F729)=0,"",IF(ISNUMBER(E729),1,0))</x:f>
      </x:c>
    </x:row>
    <x:row r="730">
      <x:c r="A730" s="11"/>
      <x:c r="B730" s="11"/>
      <x:c r="C730" s="11"/>
      <x:c r="D730" s="11"/>
      <x:c r="E730" s="12"/>
      <x:c r="F730" s="10"/>
      <x:c r="G730" s="2" t="str">
        <x:f>IF(COUNTA(A730:F730)=0,"",COUNTIFS('External Data'!$L$2:$L$1001,SUBSTITUTE(SUBSTITUTE(SUBSTITUTE(L730,"~","~~"),"*","~*"),"?","~?")))</x:f>
      </x:c>
      <x:c r="H730" s="2" t="str">
        <x:f>IF(COUNTA(A730:F730)=0,"",COUNTIFS('App Data'!$L$2:$L$1001,SUBSTITUTE(SUBSTITUTE(SUBSTITUTE(L730,"~","~~"),"*","~*"),"?","~?")))</x:f>
      </x:c>
      <x:c r="I730" s="13" t="str">
        <x:f>IF(OR(H730&lt;&gt;1,G730&lt;&gt;1),"",SUMIFS('App Data'!$E$2:$E$1001,'App Data'!$L$2:$L$1001,SUBSTITUTE(SUBSTITUTE(SUBSTITUTE(L730,"~","~~"),"*","~*"),"?","~?")))</x:f>
      </x:c>
      <x:c r="J730" s="13" t="str">
        <x:f>IF(OR(NOT(ISNUMBER(E730)),NOT(ISNUMBER(I730))),"",ROUND(E730-I730,2))</x:f>
      </x:c>
      <x:c r="K730" s="2" t="str">
        <x:f>IF(COUNTA(A730:F730)=0,"",IF(OR(A730="",B730="",C730="",D730="",NOT(ISNUMBER(E730))),"Missing / invalid input",IF(G730&gt;1,"Duplicate key in this source",IF(H730=0,"Missing in other source",IF(H730&gt;1,"Duplicate in other source",IF(SUMIFS('App Data'!$M$2:$M$1001,'App Data'!$L$2:$L$1001,SUBSTITUTE(SUBSTITUTE(SUBSTITUTE(L730,"~","~~"),"*","~*"),"?","~?"))&lt;&gt;1,"Other amount is invalid",IF(J730&lt;&gt;0,"Amount differs","Matched")))))))</x:f>
      </x:c>
      <x:c r="L730" t="str">
        <x:f>IF(COUNTA(A730:F730)=0,"",LEN(A730)&amp;":"&amp;A730&amp;LEN(B730)&amp;":"&amp;B730&amp;LEN(C730)&amp;":"&amp;C730&amp;LEN(D730)&amp;":"&amp;D730)</x:f>
      </x:c>
      <x:c r="M730" t="str">
        <x:f>IF(COUNTA(A730:F730)=0,"",IF(ISNUMBER(E730),1,0))</x:f>
      </x:c>
    </x:row>
    <x:row r="731">
      <x:c r="A731" s="11"/>
      <x:c r="B731" s="11"/>
      <x:c r="C731" s="11"/>
      <x:c r="D731" s="11"/>
      <x:c r="E731" s="12"/>
      <x:c r="F731" s="10"/>
      <x:c r="G731" s="2" t="str">
        <x:f>IF(COUNTA(A731:F731)=0,"",COUNTIFS('External Data'!$L$2:$L$1001,SUBSTITUTE(SUBSTITUTE(SUBSTITUTE(L731,"~","~~"),"*","~*"),"?","~?")))</x:f>
      </x:c>
      <x:c r="H731" s="2" t="str">
        <x:f>IF(COUNTA(A731:F731)=0,"",COUNTIFS('App Data'!$L$2:$L$1001,SUBSTITUTE(SUBSTITUTE(SUBSTITUTE(L731,"~","~~"),"*","~*"),"?","~?")))</x:f>
      </x:c>
      <x:c r="I731" s="13" t="str">
        <x:f>IF(OR(H731&lt;&gt;1,G731&lt;&gt;1),"",SUMIFS('App Data'!$E$2:$E$1001,'App Data'!$L$2:$L$1001,SUBSTITUTE(SUBSTITUTE(SUBSTITUTE(L731,"~","~~"),"*","~*"),"?","~?")))</x:f>
      </x:c>
      <x:c r="J731" s="13" t="str">
        <x:f>IF(OR(NOT(ISNUMBER(E731)),NOT(ISNUMBER(I731))),"",ROUND(E731-I731,2))</x:f>
      </x:c>
      <x:c r="K731" s="2" t="str">
        <x:f>IF(COUNTA(A731:F731)=0,"",IF(OR(A731="",B731="",C731="",D731="",NOT(ISNUMBER(E731))),"Missing / invalid input",IF(G731&gt;1,"Duplicate key in this source",IF(H731=0,"Missing in other source",IF(H731&gt;1,"Duplicate in other source",IF(SUMIFS('App Data'!$M$2:$M$1001,'App Data'!$L$2:$L$1001,SUBSTITUTE(SUBSTITUTE(SUBSTITUTE(L731,"~","~~"),"*","~*"),"?","~?"))&lt;&gt;1,"Other amount is invalid",IF(J731&lt;&gt;0,"Amount differs","Matched")))))))</x:f>
      </x:c>
      <x:c r="L731" t="str">
        <x:f>IF(COUNTA(A731:F731)=0,"",LEN(A731)&amp;":"&amp;A731&amp;LEN(B731)&amp;":"&amp;B731&amp;LEN(C731)&amp;":"&amp;C731&amp;LEN(D731)&amp;":"&amp;D731)</x:f>
      </x:c>
      <x:c r="M731" t="str">
        <x:f>IF(COUNTA(A731:F731)=0,"",IF(ISNUMBER(E731),1,0))</x:f>
      </x:c>
    </x:row>
    <x:row r="732">
      <x:c r="A732" s="11"/>
      <x:c r="B732" s="11"/>
      <x:c r="C732" s="11"/>
      <x:c r="D732" s="11"/>
      <x:c r="E732" s="12"/>
      <x:c r="F732" s="10"/>
      <x:c r="G732" s="2" t="str">
        <x:f>IF(COUNTA(A732:F732)=0,"",COUNTIFS('External Data'!$L$2:$L$1001,SUBSTITUTE(SUBSTITUTE(SUBSTITUTE(L732,"~","~~"),"*","~*"),"?","~?")))</x:f>
      </x:c>
      <x:c r="H732" s="2" t="str">
        <x:f>IF(COUNTA(A732:F732)=0,"",COUNTIFS('App Data'!$L$2:$L$1001,SUBSTITUTE(SUBSTITUTE(SUBSTITUTE(L732,"~","~~"),"*","~*"),"?","~?")))</x:f>
      </x:c>
      <x:c r="I732" s="13" t="str">
        <x:f>IF(OR(H732&lt;&gt;1,G732&lt;&gt;1),"",SUMIFS('App Data'!$E$2:$E$1001,'App Data'!$L$2:$L$1001,SUBSTITUTE(SUBSTITUTE(SUBSTITUTE(L732,"~","~~"),"*","~*"),"?","~?")))</x:f>
      </x:c>
      <x:c r="J732" s="13" t="str">
        <x:f>IF(OR(NOT(ISNUMBER(E732)),NOT(ISNUMBER(I732))),"",ROUND(E732-I732,2))</x:f>
      </x:c>
      <x:c r="K732" s="2" t="str">
        <x:f>IF(COUNTA(A732:F732)=0,"",IF(OR(A732="",B732="",C732="",D732="",NOT(ISNUMBER(E732))),"Missing / invalid input",IF(G732&gt;1,"Duplicate key in this source",IF(H732=0,"Missing in other source",IF(H732&gt;1,"Duplicate in other source",IF(SUMIFS('App Data'!$M$2:$M$1001,'App Data'!$L$2:$L$1001,SUBSTITUTE(SUBSTITUTE(SUBSTITUTE(L732,"~","~~"),"*","~*"),"?","~?"))&lt;&gt;1,"Other amount is invalid",IF(J732&lt;&gt;0,"Amount differs","Matched")))))))</x:f>
      </x:c>
      <x:c r="L732" t="str">
        <x:f>IF(COUNTA(A732:F732)=0,"",LEN(A732)&amp;":"&amp;A732&amp;LEN(B732)&amp;":"&amp;B732&amp;LEN(C732)&amp;":"&amp;C732&amp;LEN(D732)&amp;":"&amp;D732)</x:f>
      </x:c>
      <x:c r="M732" t="str">
        <x:f>IF(COUNTA(A732:F732)=0,"",IF(ISNUMBER(E732),1,0))</x:f>
      </x:c>
    </x:row>
    <x:row r="733">
      <x:c r="A733" s="11"/>
      <x:c r="B733" s="11"/>
      <x:c r="C733" s="11"/>
      <x:c r="D733" s="11"/>
      <x:c r="E733" s="12"/>
      <x:c r="F733" s="10"/>
      <x:c r="G733" s="2" t="str">
        <x:f>IF(COUNTA(A733:F733)=0,"",COUNTIFS('External Data'!$L$2:$L$1001,SUBSTITUTE(SUBSTITUTE(SUBSTITUTE(L733,"~","~~"),"*","~*"),"?","~?")))</x:f>
      </x:c>
      <x:c r="H733" s="2" t="str">
        <x:f>IF(COUNTA(A733:F733)=0,"",COUNTIFS('App Data'!$L$2:$L$1001,SUBSTITUTE(SUBSTITUTE(SUBSTITUTE(L733,"~","~~"),"*","~*"),"?","~?")))</x:f>
      </x:c>
      <x:c r="I733" s="13" t="str">
        <x:f>IF(OR(H733&lt;&gt;1,G733&lt;&gt;1),"",SUMIFS('App Data'!$E$2:$E$1001,'App Data'!$L$2:$L$1001,SUBSTITUTE(SUBSTITUTE(SUBSTITUTE(L733,"~","~~"),"*","~*"),"?","~?")))</x:f>
      </x:c>
      <x:c r="J733" s="13" t="str">
        <x:f>IF(OR(NOT(ISNUMBER(E733)),NOT(ISNUMBER(I733))),"",ROUND(E733-I733,2))</x:f>
      </x:c>
      <x:c r="K733" s="2" t="str">
        <x:f>IF(COUNTA(A733:F733)=0,"",IF(OR(A733="",B733="",C733="",D733="",NOT(ISNUMBER(E733))),"Missing / invalid input",IF(G733&gt;1,"Duplicate key in this source",IF(H733=0,"Missing in other source",IF(H733&gt;1,"Duplicate in other source",IF(SUMIFS('App Data'!$M$2:$M$1001,'App Data'!$L$2:$L$1001,SUBSTITUTE(SUBSTITUTE(SUBSTITUTE(L733,"~","~~"),"*","~*"),"?","~?"))&lt;&gt;1,"Other amount is invalid",IF(J733&lt;&gt;0,"Amount differs","Matched")))))))</x:f>
      </x:c>
      <x:c r="L733" t="str">
        <x:f>IF(COUNTA(A733:F733)=0,"",LEN(A733)&amp;":"&amp;A733&amp;LEN(B733)&amp;":"&amp;B733&amp;LEN(C733)&amp;":"&amp;C733&amp;LEN(D733)&amp;":"&amp;D733)</x:f>
      </x:c>
      <x:c r="M733" t="str">
        <x:f>IF(COUNTA(A733:F733)=0,"",IF(ISNUMBER(E733),1,0))</x:f>
      </x:c>
    </x:row>
    <x:row r="734">
      <x:c r="A734" s="11"/>
      <x:c r="B734" s="11"/>
      <x:c r="C734" s="11"/>
      <x:c r="D734" s="11"/>
      <x:c r="E734" s="12"/>
      <x:c r="F734" s="10"/>
      <x:c r="G734" s="2" t="str">
        <x:f>IF(COUNTA(A734:F734)=0,"",COUNTIFS('External Data'!$L$2:$L$1001,SUBSTITUTE(SUBSTITUTE(SUBSTITUTE(L734,"~","~~"),"*","~*"),"?","~?")))</x:f>
      </x:c>
      <x:c r="H734" s="2" t="str">
        <x:f>IF(COUNTA(A734:F734)=0,"",COUNTIFS('App Data'!$L$2:$L$1001,SUBSTITUTE(SUBSTITUTE(SUBSTITUTE(L734,"~","~~"),"*","~*"),"?","~?")))</x:f>
      </x:c>
      <x:c r="I734" s="13" t="str">
        <x:f>IF(OR(H734&lt;&gt;1,G734&lt;&gt;1),"",SUMIFS('App Data'!$E$2:$E$1001,'App Data'!$L$2:$L$1001,SUBSTITUTE(SUBSTITUTE(SUBSTITUTE(L734,"~","~~"),"*","~*"),"?","~?")))</x:f>
      </x:c>
      <x:c r="J734" s="13" t="str">
        <x:f>IF(OR(NOT(ISNUMBER(E734)),NOT(ISNUMBER(I734))),"",ROUND(E734-I734,2))</x:f>
      </x:c>
      <x:c r="K734" s="2" t="str">
        <x:f>IF(COUNTA(A734:F734)=0,"",IF(OR(A734="",B734="",C734="",D734="",NOT(ISNUMBER(E734))),"Missing / invalid input",IF(G734&gt;1,"Duplicate key in this source",IF(H734=0,"Missing in other source",IF(H734&gt;1,"Duplicate in other source",IF(SUMIFS('App Data'!$M$2:$M$1001,'App Data'!$L$2:$L$1001,SUBSTITUTE(SUBSTITUTE(SUBSTITUTE(L734,"~","~~"),"*","~*"),"?","~?"))&lt;&gt;1,"Other amount is invalid",IF(J734&lt;&gt;0,"Amount differs","Matched")))))))</x:f>
      </x:c>
      <x:c r="L734" t="str">
        <x:f>IF(COUNTA(A734:F734)=0,"",LEN(A734)&amp;":"&amp;A734&amp;LEN(B734)&amp;":"&amp;B734&amp;LEN(C734)&amp;":"&amp;C734&amp;LEN(D734)&amp;":"&amp;D734)</x:f>
      </x:c>
      <x:c r="M734" t="str">
        <x:f>IF(COUNTA(A734:F734)=0,"",IF(ISNUMBER(E734),1,0))</x:f>
      </x:c>
    </x:row>
    <x:row r="735">
      <x:c r="A735" s="11"/>
      <x:c r="B735" s="11"/>
      <x:c r="C735" s="11"/>
      <x:c r="D735" s="11"/>
      <x:c r="E735" s="12"/>
      <x:c r="F735" s="10"/>
      <x:c r="G735" s="2" t="str">
        <x:f>IF(COUNTA(A735:F735)=0,"",COUNTIFS('External Data'!$L$2:$L$1001,SUBSTITUTE(SUBSTITUTE(SUBSTITUTE(L735,"~","~~"),"*","~*"),"?","~?")))</x:f>
      </x:c>
      <x:c r="H735" s="2" t="str">
        <x:f>IF(COUNTA(A735:F735)=0,"",COUNTIFS('App Data'!$L$2:$L$1001,SUBSTITUTE(SUBSTITUTE(SUBSTITUTE(L735,"~","~~"),"*","~*"),"?","~?")))</x:f>
      </x:c>
      <x:c r="I735" s="13" t="str">
        <x:f>IF(OR(H735&lt;&gt;1,G735&lt;&gt;1),"",SUMIFS('App Data'!$E$2:$E$1001,'App Data'!$L$2:$L$1001,SUBSTITUTE(SUBSTITUTE(SUBSTITUTE(L735,"~","~~"),"*","~*"),"?","~?")))</x:f>
      </x:c>
      <x:c r="J735" s="13" t="str">
        <x:f>IF(OR(NOT(ISNUMBER(E735)),NOT(ISNUMBER(I735))),"",ROUND(E735-I735,2))</x:f>
      </x:c>
      <x:c r="K735" s="2" t="str">
        <x:f>IF(COUNTA(A735:F735)=0,"",IF(OR(A735="",B735="",C735="",D735="",NOT(ISNUMBER(E735))),"Missing / invalid input",IF(G735&gt;1,"Duplicate key in this source",IF(H735=0,"Missing in other source",IF(H735&gt;1,"Duplicate in other source",IF(SUMIFS('App Data'!$M$2:$M$1001,'App Data'!$L$2:$L$1001,SUBSTITUTE(SUBSTITUTE(SUBSTITUTE(L735,"~","~~"),"*","~*"),"?","~?"))&lt;&gt;1,"Other amount is invalid",IF(J735&lt;&gt;0,"Amount differs","Matched")))))))</x:f>
      </x:c>
      <x:c r="L735" t="str">
        <x:f>IF(COUNTA(A735:F735)=0,"",LEN(A735)&amp;":"&amp;A735&amp;LEN(B735)&amp;":"&amp;B735&amp;LEN(C735)&amp;":"&amp;C735&amp;LEN(D735)&amp;":"&amp;D735)</x:f>
      </x:c>
      <x:c r="M735" t="str">
        <x:f>IF(COUNTA(A735:F735)=0,"",IF(ISNUMBER(E735),1,0))</x:f>
      </x:c>
    </x:row>
    <x:row r="736">
      <x:c r="A736" s="11"/>
      <x:c r="B736" s="11"/>
      <x:c r="C736" s="11"/>
      <x:c r="D736" s="11"/>
      <x:c r="E736" s="12"/>
      <x:c r="F736" s="10"/>
      <x:c r="G736" s="2" t="str">
        <x:f>IF(COUNTA(A736:F736)=0,"",COUNTIFS('External Data'!$L$2:$L$1001,SUBSTITUTE(SUBSTITUTE(SUBSTITUTE(L736,"~","~~"),"*","~*"),"?","~?")))</x:f>
      </x:c>
      <x:c r="H736" s="2" t="str">
        <x:f>IF(COUNTA(A736:F736)=0,"",COUNTIFS('App Data'!$L$2:$L$1001,SUBSTITUTE(SUBSTITUTE(SUBSTITUTE(L736,"~","~~"),"*","~*"),"?","~?")))</x:f>
      </x:c>
      <x:c r="I736" s="13" t="str">
        <x:f>IF(OR(H736&lt;&gt;1,G736&lt;&gt;1),"",SUMIFS('App Data'!$E$2:$E$1001,'App Data'!$L$2:$L$1001,SUBSTITUTE(SUBSTITUTE(SUBSTITUTE(L736,"~","~~"),"*","~*"),"?","~?")))</x:f>
      </x:c>
      <x:c r="J736" s="13" t="str">
        <x:f>IF(OR(NOT(ISNUMBER(E736)),NOT(ISNUMBER(I736))),"",ROUND(E736-I736,2))</x:f>
      </x:c>
      <x:c r="K736" s="2" t="str">
        <x:f>IF(COUNTA(A736:F736)=0,"",IF(OR(A736="",B736="",C736="",D736="",NOT(ISNUMBER(E736))),"Missing / invalid input",IF(G736&gt;1,"Duplicate key in this source",IF(H736=0,"Missing in other source",IF(H736&gt;1,"Duplicate in other source",IF(SUMIFS('App Data'!$M$2:$M$1001,'App Data'!$L$2:$L$1001,SUBSTITUTE(SUBSTITUTE(SUBSTITUTE(L736,"~","~~"),"*","~*"),"?","~?"))&lt;&gt;1,"Other amount is invalid",IF(J736&lt;&gt;0,"Amount differs","Matched")))))))</x:f>
      </x:c>
      <x:c r="L736" t="str">
        <x:f>IF(COUNTA(A736:F736)=0,"",LEN(A736)&amp;":"&amp;A736&amp;LEN(B736)&amp;":"&amp;B736&amp;LEN(C736)&amp;":"&amp;C736&amp;LEN(D736)&amp;":"&amp;D736)</x:f>
      </x:c>
      <x:c r="M736" t="str">
        <x:f>IF(COUNTA(A736:F736)=0,"",IF(ISNUMBER(E736),1,0))</x:f>
      </x:c>
    </x:row>
    <x:row r="737">
      <x:c r="A737" s="11"/>
      <x:c r="B737" s="11"/>
      <x:c r="C737" s="11"/>
      <x:c r="D737" s="11"/>
      <x:c r="E737" s="12"/>
      <x:c r="F737" s="10"/>
      <x:c r="G737" s="2" t="str">
        <x:f>IF(COUNTA(A737:F737)=0,"",COUNTIFS('External Data'!$L$2:$L$1001,SUBSTITUTE(SUBSTITUTE(SUBSTITUTE(L737,"~","~~"),"*","~*"),"?","~?")))</x:f>
      </x:c>
      <x:c r="H737" s="2" t="str">
        <x:f>IF(COUNTA(A737:F737)=0,"",COUNTIFS('App Data'!$L$2:$L$1001,SUBSTITUTE(SUBSTITUTE(SUBSTITUTE(L737,"~","~~"),"*","~*"),"?","~?")))</x:f>
      </x:c>
      <x:c r="I737" s="13" t="str">
        <x:f>IF(OR(H737&lt;&gt;1,G737&lt;&gt;1),"",SUMIFS('App Data'!$E$2:$E$1001,'App Data'!$L$2:$L$1001,SUBSTITUTE(SUBSTITUTE(SUBSTITUTE(L737,"~","~~"),"*","~*"),"?","~?")))</x:f>
      </x:c>
      <x:c r="J737" s="13" t="str">
        <x:f>IF(OR(NOT(ISNUMBER(E737)),NOT(ISNUMBER(I737))),"",ROUND(E737-I737,2))</x:f>
      </x:c>
      <x:c r="K737" s="2" t="str">
        <x:f>IF(COUNTA(A737:F737)=0,"",IF(OR(A737="",B737="",C737="",D737="",NOT(ISNUMBER(E737))),"Missing / invalid input",IF(G737&gt;1,"Duplicate key in this source",IF(H737=0,"Missing in other source",IF(H737&gt;1,"Duplicate in other source",IF(SUMIFS('App Data'!$M$2:$M$1001,'App Data'!$L$2:$L$1001,SUBSTITUTE(SUBSTITUTE(SUBSTITUTE(L737,"~","~~"),"*","~*"),"?","~?"))&lt;&gt;1,"Other amount is invalid",IF(J737&lt;&gt;0,"Amount differs","Matched")))))))</x:f>
      </x:c>
      <x:c r="L737" t="str">
        <x:f>IF(COUNTA(A737:F737)=0,"",LEN(A737)&amp;":"&amp;A737&amp;LEN(B737)&amp;":"&amp;B737&amp;LEN(C737)&amp;":"&amp;C737&amp;LEN(D737)&amp;":"&amp;D737)</x:f>
      </x:c>
      <x:c r="M737" t="str">
        <x:f>IF(COUNTA(A737:F737)=0,"",IF(ISNUMBER(E737),1,0))</x:f>
      </x:c>
    </x:row>
    <x:row r="738">
      <x:c r="A738" s="11"/>
      <x:c r="B738" s="11"/>
      <x:c r="C738" s="11"/>
      <x:c r="D738" s="11"/>
      <x:c r="E738" s="12"/>
      <x:c r="F738" s="10"/>
      <x:c r="G738" s="2" t="str">
        <x:f>IF(COUNTA(A738:F738)=0,"",COUNTIFS('External Data'!$L$2:$L$1001,SUBSTITUTE(SUBSTITUTE(SUBSTITUTE(L738,"~","~~"),"*","~*"),"?","~?")))</x:f>
      </x:c>
      <x:c r="H738" s="2" t="str">
        <x:f>IF(COUNTA(A738:F738)=0,"",COUNTIFS('App Data'!$L$2:$L$1001,SUBSTITUTE(SUBSTITUTE(SUBSTITUTE(L738,"~","~~"),"*","~*"),"?","~?")))</x:f>
      </x:c>
      <x:c r="I738" s="13" t="str">
        <x:f>IF(OR(H738&lt;&gt;1,G738&lt;&gt;1),"",SUMIFS('App Data'!$E$2:$E$1001,'App Data'!$L$2:$L$1001,SUBSTITUTE(SUBSTITUTE(SUBSTITUTE(L738,"~","~~"),"*","~*"),"?","~?")))</x:f>
      </x:c>
      <x:c r="J738" s="13" t="str">
        <x:f>IF(OR(NOT(ISNUMBER(E738)),NOT(ISNUMBER(I738))),"",ROUND(E738-I738,2))</x:f>
      </x:c>
      <x:c r="K738" s="2" t="str">
        <x:f>IF(COUNTA(A738:F738)=0,"",IF(OR(A738="",B738="",C738="",D738="",NOT(ISNUMBER(E738))),"Missing / invalid input",IF(G738&gt;1,"Duplicate key in this source",IF(H738=0,"Missing in other source",IF(H738&gt;1,"Duplicate in other source",IF(SUMIFS('App Data'!$M$2:$M$1001,'App Data'!$L$2:$L$1001,SUBSTITUTE(SUBSTITUTE(SUBSTITUTE(L738,"~","~~"),"*","~*"),"?","~?"))&lt;&gt;1,"Other amount is invalid",IF(J738&lt;&gt;0,"Amount differs","Matched")))))))</x:f>
      </x:c>
      <x:c r="L738" t="str">
        <x:f>IF(COUNTA(A738:F738)=0,"",LEN(A738)&amp;":"&amp;A738&amp;LEN(B738)&amp;":"&amp;B738&amp;LEN(C738)&amp;":"&amp;C738&amp;LEN(D738)&amp;":"&amp;D738)</x:f>
      </x:c>
      <x:c r="M738" t="str">
        <x:f>IF(COUNTA(A738:F738)=0,"",IF(ISNUMBER(E738),1,0))</x:f>
      </x:c>
    </x:row>
    <x:row r="739">
      <x:c r="A739" s="11"/>
      <x:c r="B739" s="11"/>
      <x:c r="C739" s="11"/>
      <x:c r="D739" s="11"/>
      <x:c r="E739" s="12"/>
      <x:c r="F739" s="10"/>
      <x:c r="G739" s="2" t="str">
        <x:f>IF(COUNTA(A739:F739)=0,"",COUNTIFS('External Data'!$L$2:$L$1001,SUBSTITUTE(SUBSTITUTE(SUBSTITUTE(L739,"~","~~"),"*","~*"),"?","~?")))</x:f>
      </x:c>
      <x:c r="H739" s="2" t="str">
        <x:f>IF(COUNTA(A739:F739)=0,"",COUNTIFS('App Data'!$L$2:$L$1001,SUBSTITUTE(SUBSTITUTE(SUBSTITUTE(L739,"~","~~"),"*","~*"),"?","~?")))</x:f>
      </x:c>
      <x:c r="I739" s="13" t="str">
        <x:f>IF(OR(H739&lt;&gt;1,G739&lt;&gt;1),"",SUMIFS('App Data'!$E$2:$E$1001,'App Data'!$L$2:$L$1001,SUBSTITUTE(SUBSTITUTE(SUBSTITUTE(L739,"~","~~"),"*","~*"),"?","~?")))</x:f>
      </x:c>
      <x:c r="J739" s="13" t="str">
        <x:f>IF(OR(NOT(ISNUMBER(E739)),NOT(ISNUMBER(I739))),"",ROUND(E739-I739,2))</x:f>
      </x:c>
      <x:c r="K739" s="2" t="str">
        <x:f>IF(COUNTA(A739:F739)=0,"",IF(OR(A739="",B739="",C739="",D739="",NOT(ISNUMBER(E739))),"Missing / invalid input",IF(G739&gt;1,"Duplicate key in this source",IF(H739=0,"Missing in other source",IF(H739&gt;1,"Duplicate in other source",IF(SUMIFS('App Data'!$M$2:$M$1001,'App Data'!$L$2:$L$1001,SUBSTITUTE(SUBSTITUTE(SUBSTITUTE(L739,"~","~~"),"*","~*"),"?","~?"))&lt;&gt;1,"Other amount is invalid",IF(J739&lt;&gt;0,"Amount differs","Matched")))))))</x:f>
      </x:c>
      <x:c r="L739" t="str">
        <x:f>IF(COUNTA(A739:F739)=0,"",LEN(A739)&amp;":"&amp;A739&amp;LEN(B739)&amp;":"&amp;B739&amp;LEN(C739)&amp;":"&amp;C739&amp;LEN(D739)&amp;":"&amp;D739)</x:f>
      </x:c>
      <x:c r="M739" t="str">
        <x:f>IF(COUNTA(A739:F739)=0,"",IF(ISNUMBER(E739),1,0))</x:f>
      </x:c>
    </x:row>
    <x:row r="740">
      <x:c r="A740" s="11"/>
      <x:c r="B740" s="11"/>
      <x:c r="C740" s="11"/>
      <x:c r="D740" s="11"/>
      <x:c r="E740" s="12"/>
      <x:c r="F740" s="10"/>
      <x:c r="G740" s="2" t="str">
        <x:f>IF(COUNTA(A740:F740)=0,"",COUNTIFS('External Data'!$L$2:$L$1001,SUBSTITUTE(SUBSTITUTE(SUBSTITUTE(L740,"~","~~"),"*","~*"),"?","~?")))</x:f>
      </x:c>
      <x:c r="H740" s="2" t="str">
        <x:f>IF(COUNTA(A740:F740)=0,"",COUNTIFS('App Data'!$L$2:$L$1001,SUBSTITUTE(SUBSTITUTE(SUBSTITUTE(L740,"~","~~"),"*","~*"),"?","~?")))</x:f>
      </x:c>
      <x:c r="I740" s="13" t="str">
        <x:f>IF(OR(H740&lt;&gt;1,G740&lt;&gt;1),"",SUMIFS('App Data'!$E$2:$E$1001,'App Data'!$L$2:$L$1001,SUBSTITUTE(SUBSTITUTE(SUBSTITUTE(L740,"~","~~"),"*","~*"),"?","~?")))</x:f>
      </x:c>
      <x:c r="J740" s="13" t="str">
        <x:f>IF(OR(NOT(ISNUMBER(E740)),NOT(ISNUMBER(I740))),"",ROUND(E740-I740,2))</x:f>
      </x:c>
      <x:c r="K740" s="2" t="str">
        <x:f>IF(COUNTA(A740:F740)=0,"",IF(OR(A740="",B740="",C740="",D740="",NOT(ISNUMBER(E740))),"Missing / invalid input",IF(G740&gt;1,"Duplicate key in this source",IF(H740=0,"Missing in other source",IF(H740&gt;1,"Duplicate in other source",IF(SUMIFS('App Data'!$M$2:$M$1001,'App Data'!$L$2:$L$1001,SUBSTITUTE(SUBSTITUTE(SUBSTITUTE(L740,"~","~~"),"*","~*"),"?","~?"))&lt;&gt;1,"Other amount is invalid",IF(J740&lt;&gt;0,"Amount differs","Matched")))))))</x:f>
      </x:c>
      <x:c r="L740" t="str">
        <x:f>IF(COUNTA(A740:F740)=0,"",LEN(A740)&amp;":"&amp;A740&amp;LEN(B740)&amp;":"&amp;B740&amp;LEN(C740)&amp;":"&amp;C740&amp;LEN(D740)&amp;":"&amp;D740)</x:f>
      </x:c>
      <x:c r="M740" t="str">
        <x:f>IF(COUNTA(A740:F740)=0,"",IF(ISNUMBER(E740),1,0))</x:f>
      </x:c>
    </x:row>
    <x:row r="741">
      <x:c r="A741" s="11"/>
      <x:c r="B741" s="11"/>
      <x:c r="C741" s="11"/>
      <x:c r="D741" s="11"/>
      <x:c r="E741" s="12"/>
      <x:c r="F741" s="10"/>
      <x:c r="G741" s="2" t="str">
        <x:f>IF(COUNTA(A741:F741)=0,"",COUNTIFS('External Data'!$L$2:$L$1001,SUBSTITUTE(SUBSTITUTE(SUBSTITUTE(L741,"~","~~"),"*","~*"),"?","~?")))</x:f>
      </x:c>
      <x:c r="H741" s="2" t="str">
        <x:f>IF(COUNTA(A741:F741)=0,"",COUNTIFS('App Data'!$L$2:$L$1001,SUBSTITUTE(SUBSTITUTE(SUBSTITUTE(L741,"~","~~"),"*","~*"),"?","~?")))</x:f>
      </x:c>
      <x:c r="I741" s="13" t="str">
        <x:f>IF(OR(H741&lt;&gt;1,G741&lt;&gt;1),"",SUMIFS('App Data'!$E$2:$E$1001,'App Data'!$L$2:$L$1001,SUBSTITUTE(SUBSTITUTE(SUBSTITUTE(L741,"~","~~"),"*","~*"),"?","~?")))</x:f>
      </x:c>
      <x:c r="J741" s="13" t="str">
        <x:f>IF(OR(NOT(ISNUMBER(E741)),NOT(ISNUMBER(I741))),"",ROUND(E741-I741,2))</x:f>
      </x:c>
      <x:c r="K741" s="2" t="str">
        <x:f>IF(COUNTA(A741:F741)=0,"",IF(OR(A741="",B741="",C741="",D741="",NOT(ISNUMBER(E741))),"Missing / invalid input",IF(G741&gt;1,"Duplicate key in this source",IF(H741=0,"Missing in other source",IF(H741&gt;1,"Duplicate in other source",IF(SUMIFS('App Data'!$M$2:$M$1001,'App Data'!$L$2:$L$1001,SUBSTITUTE(SUBSTITUTE(SUBSTITUTE(L741,"~","~~"),"*","~*"),"?","~?"))&lt;&gt;1,"Other amount is invalid",IF(J741&lt;&gt;0,"Amount differs","Matched")))))))</x:f>
      </x:c>
      <x:c r="L741" t="str">
        <x:f>IF(COUNTA(A741:F741)=0,"",LEN(A741)&amp;":"&amp;A741&amp;LEN(B741)&amp;":"&amp;B741&amp;LEN(C741)&amp;":"&amp;C741&amp;LEN(D741)&amp;":"&amp;D741)</x:f>
      </x:c>
      <x:c r="M741" t="str">
        <x:f>IF(COUNTA(A741:F741)=0,"",IF(ISNUMBER(E741),1,0))</x:f>
      </x:c>
    </x:row>
    <x:row r="742">
      <x:c r="A742" s="11"/>
      <x:c r="B742" s="11"/>
      <x:c r="C742" s="11"/>
      <x:c r="D742" s="11"/>
      <x:c r="E742" s="12"/>
      <x:c r="F742" s="10"/>
      <x:c r="G742" s="2" t="str">
        <x:f>IF(COUNTA(A742:F742)=0,"",COUNTIFS('External Data'!$L$2:$L$1001,SUBSTITUTE(SUBSTITUTE(SUBSTITUTE(L742,"~","~~"),"*","~*"),"?","~?")))</x:f>
      </x:c>
      <x:c r="H742" s="2" t="str">
        <x:f>IF(COUNTA(A742:F742)=0,"",COUNTIFS('App Data'!$L$2:$L$1001,SUBSTITUTE(SUBSTITUTE(SUBSTITUTE(L742,"~","~~"),"*","~*"),"?","~?")))</x:f>
      </x:c>
      <x:c r="I742" s="13" t="str">
        <x:f>IF(OR(H742&lt;&gt;1,G742&lt;&gt;1),"",SUMIFS('App Data'!$E$2:$E$1001,'App Data'!$L$2:$L$1001,SUBSTITUTE(SUBSTITUTE(SUBSTITUTE(L742,"~","~~"),"*","~*"),"?","~?")))</x:f>
      </x:c>
      <x:c r="J742" s="13" t="str">
        <x:f>IF(OR(NOT(ISNUMBER(E742)),NOT(ISNUMBER(I742))),"",ROUND(E742-I742,2))</x:f>
      </x:c>
      <x:c r="K742" s="2" t="str">
        <x:f>IF(COUNTA(A742:F742)=0,"",IF(OR(A742="",B742="",C742="",D742="",NOT(ISNUMBER(E742))),"Missing / invalid input",IF(G742&gt;1,"Duplicate key in this source",IF(H742=0,"Missing in other source",IF(H742&gt;1,"Duplicate in other source",IF(SUMIFS('App Data'!$M$2:$M$1001,'App Data'!$L$2:$L$1001,SUBSTITUTE(SUBSTITUTE(SUBSTITUTE(L742,"~","~~"),"*","~*"),"?","~?"))&lt;&gt;1,"Other amount is invalid",IF(J742&lt;&gt;0,"Amount differs","Matched")))))))</x:f>
      </x:c>
      <x:c r="L742" t="str">
        <x:f>IF(COUNTA(A742:F742)=0,"",LEN(A742)&amp;":"&amp;A742&amp;LEN(B742)&amp;":"&amp;B742&amp;LEN(C742)&amp;":"&amp;C742&amp;LEN(D742)&amp;":"&amp;D742)</x:f>
      </x:c>
      <x:c r="M742" t="str">
        <x:f>IF(COUNTA(A742:F742)=0,"",IF(ISNUMBER(E742),1,0))</x:f>
      </x:c>
    </x:row>
    <x:row r="743">
      <x:c r="A743" s="11"/>
      <x:c r="B743" s="11"/>
      <x:c r="C743" s="11"/>
      <x:c r="D743" s="11"/>
      <x:c r="E743" s="12"/>
      <x:c r="F743" s="10"/>
      <x:c r="G743" s="2" t="str">
        <x:f>IF(COUNTA(A743:F743)=0,"",COUNTIFS('External Data'!$L$2:$L$1001,SUBSTITUTE(SUBSTITUTE(SUBSTITUTE(L743,"~","~~"),"*","~*"),"?","~?")))</x:f>
      </x:c>
      <x:c r="H743" s="2" t="str">
        <x:f>IF(COUNTA(A743:F743)=0,"",COUNTIFS('App Data'!$L$2:$L$1001,SUBSTITUTE(SUBSTITUTE(SUBSTITUTE(L743,"~","~~"),"*","~*"),"?","~?")))</x:f>
      </x:c>
      <x:c r="I743" s="13" t="str">
        <x:f>IF(OR(H743&lt;&gt;1,G743&lt;&gt;1),"",SUMIFS('App Data'!$E$2:$E$1001,'App Data'!$L$2:$L$1001,SUBSTITUTE(SUBSTITUTE(SUBSTITUTE(L743,"~","~~"),"*","~*"),"?","~?")))</x:f>
      </x:c>
      <x:c r="J743" s="13" t="str">
        <x:f>IF(OR(NOT(ISNUMBER(E743)),NOT(ISNUMBER(I743))),"",ROUND(E743-I743,2))</x:f>
      </x:c>
      <x:c r="K743" s="2" t="str">
        <x:f>IF(COUNTA(A743:F743)=0,"",IF(OR(A743="",B743="",C743="",D743="",NOT(ISNUMBER(E743))),"Missing / invalid input",IF(G743&gt;1,"Duplicate key in this source",IF(H743=0,"Missing in other source",IF(H743&gt;1,"Duplicate in other source",IF(SUMIFS('App Data'!$M$2:$M$1001,'App Data'!$L$2:$L$1001,SUBSTITUTE(SUBSTITUTE(SUBSTITUTE(L743,"~","~~"),"*","~*"),"?","~?"))&lt;&gt;1,"Other amount is invalid",IF(J743&lt;&gt;0,"Amount differs","Matched")))))))</x:f>
      </x:c>
      <x:c r="L743" t="str">
        <x:f>IF(COUNTA(A743:F743)=0,"",LEN(A743)&amp;":"&amp;A743&amp;LEN(B743)&amp;":"&amp;B743&amp;LEN(C743)&amp;":"&amp;C743&amp;LEN(D743)&amp;":"&amp;D743)</x:f>
      </x:c>
      <x:c r="M743" t="str">
        <x:f>IF(COUNTA(A743:F743)=0,"",IF(ISNUMBER(E743),1,0))</x:f>
      </x:c>
    </x:row>
    <x:row r="744">
      <x:c r="A744" s="11"/>
      <x:c r="B744" s="11"/>
      <x:c r="C744" s="11"/>
      <x:c r="D744" s="11"/>
      <x:c r="E744" s="12"/>
      <x:c r="F744" s="10"/>
      <x:c r="G744" s="2" t="str">
        <x:f>IF(COUNTA(A744:F744)=0,"",COUNTIFS('External Data'!$L$2:$L$1001,SUBSTITUTE(SUBSTITUTE(SUBSTITUTE(L744,"~","~~"),"*","~*"),"?","~?")))</x:f>
      </x:c>
      <x:c r="H744" s="2" t="str">
        <x:f>IF(COUNTA(A744:F744)=0,"",COUNTIFS('App Data'!$L$2:$L$1001,SUBSTITUTE(SUBSTITUTE(SUBSTITUTE(L744,"~","~~"),"*","~*"),"?","~?")))</x:f>
      </x:c>
      <x:c r="I744" s="13" t="str">
        <x:f>IF(OR(H744&lt;&gt;1,G744&lt;&gt;1),"",SUMIFS('App Data'!$E$2:$E$1001,'App Data'!$L$2:$L$1001,SUBSTITUTE(SUBSTITUTE(SUBSTITUTE(L744,"~","~~"),"*","~*"),"?","~?")))</x:f>
      </x:c>
      <x:c r="J744" s="13" t="str">
        <x:f>IF(OR(NOT(ISNUMBER(E744)),NOT(ISNUMBER(I744))),"",ROUND(E744-I744,2))</x:f>
      </x:c>
      <x:c r="K744" s="2" t="str">
        <x:f>IF(COUNTA(A744:F744)=0,"",IF(OR(A744="",B744="",C744="",D744="",NOT(ISNUMBER(E744))),"Missing / invalid input",IF(G744&gt;1,"Duplicate key in this source",IF(H744=0,"Missing in other source",IF(H744&gt;1,"Duplicate in other source",IF(SUMIFS('App Data'!$M$2:$M$1001,'App Data'!$L$2:$L$1001,SUBSTITUTE(SUBSTITUTE(SUBSTITUTE(L744,"~","~~"),"*","~*"),"?","~?"))&lt;&gt;1,"Other amount is invalid",IF(J744&lt;&gt;0,"Amount differs","Matched")))))))</x:f>
      </x:c>
      <x:c r="L744" t="str">
        <x:f>IF(COUNTA(A744:F744)=0,"",LEN(A744)&amp;":"&amp;A744&amp;LEN(B744)&amp;":"&amp;B744&amp;LEN(C744)&amp;":"&amp;C744&amp;LEN(D744)&amp;":"&amp;D744)</x:f>
      </x:c>
      <x:c r="M744" t="str">
        <x:f>IF(COUNTA(A744:F744)=0,"",IF(ISNUMBER(E744),1,0))</x:f>
      </x:c>
    </x:row>
    <x:row r="745">
      <x:c r="A745" s="11"/>
      <x:c r="B745" s="11"/>
      <x:c r="C745" s="11"/>
      <x:c r="D745" s="11"/>
      <x:c r="E745" s="12"/>
      <x:c r="F745" s="10"/>
      <x:c r="G745" s="2" t="str">
        <x:f>IF(COUNTA(A745:F745)=0,"",COUNTIFS('External Data'!$L$2:$L$1001,SUBSTITUTE(SUBSTITUTE(SUBSTITUTE(L745,"~","~~"),"*","~*"),"?","~?")))</x:f>
      </x:c>
      <x:c r="H745" s="2" t="str">
        <x:f>IF(COUNTA(A745:F745)=0,"",COUNTIFS('App Data'!$L$2:$L$1001,SUBSTITUTE(SUBSTITUTE(SUBSTITUTE(L745,"~","~~"),"*","~*"),"?","~?")))</x:f>
      </x:c>
      <x:c r="I745" s="13" t="str">
        <x:f>IF(OR(H745&lt;&gt;1,G745&lt;&gt;1),"",SUMIFS('App Data'!$E$2:$E$1001,'App Data'!$L$2:$L$1001,SUBSTITUTE(SUBSTITUTE(SUBSTITUTE(L745,"~","~~"),"*","~*"),"?","~?")))</x:f>
      </x:c>
      <x:c r="J745" s="13" t="str">
        <x:f>IF(OR(NOT(ISNUMBER(E745)),NOT(ISNUMBER(I745))),"",ROUND(E745-I745,2))</x:f>
      </x:c>
      <x:c r="K745" s="2" t="str">
        <x:f>IF(COUNTA(A745:F745)=0,"",IF(OR(A745="",B745="",C745="",D745="",NOT(ISNUMBER(E745))),"Missing / invalid input",IF(G745&gt;1,"Duplicate key in this source",IF(H745=0,"Missing in other source",IF(H745&gt;1,"Duplicate in other source",IF(SUMIFS('App Data'!$M$2:$M$1001,'App Data'!$L$2:$L$1001,SUBSTITUTE(SUBSTITUTE(SUBSTITUTE(L745,"~","~~"),"*","~*"),"?","~?"))&lt;&gt;1,"Other amount is invalid",IF(J745&lt;&gt;0,"Amount differs","Matched")))))))</x:f>
      </x:c>
      <x:c r="L745" t="str">
        <x:f>IF(COUNTA(A745:F745)=0,"",LEN(A745)&amp;":"&amp;A745&amp;LEN(B745)&amp;":"&amp;B745&amp;LEN(C745)&amp;":"&amp;C745&amp;LEN(D745)&amp;":"&amp;D745)</x:f>
      </x:c>
      <x:c r="M745" t="str">
        <x:f>IF(COUNTA(A745:F745)=0,"",IF(ISNUMBER(E745),1,0))</x:f>
      </x:c>
    </x:row>
    <x:row r="746">
      <x:c r="A746" s="11"/>
      <x:c r="B746" s="11"/>
      <x:c r="C746" s="11"/>
      <x:c r="D746" s="11"/>
      <x:c r="E746" s="12"/>
      <x:c r="F746" s="10"/>
      <x:c r="G746" s="2" t="str">
        <x:f>IF(COUNTA(A746:F746)=0,"",COUNTIFS('External Data'!$L$2:$L$1001,SUBSTITUTE(SUBSTITUTE(SUBSTITUTE(L746,"~","~~"),"*","~*"),"?","~?")))</x:f>
      </x:c>
      <x:c r="H746" s="2" t="str">
        <x:f>IF(COUNTA(A746:F746)=0,"",COUNTIFS('App Data'!$L$2:$L$1001,SUBSTITUTE(SUBSTITUTE(SUBSTITUTE(L746,"~","~~"),"*","~*"),"?","~?")))</x:f>
      </x:c>
      <x:c r="I746" s="13" t="str">
        <x:f>IF(OR(H746&lt;&gt;1,G746&lt;&gt;1),"",SUMIFS('App Data'!$E$2:$E$1001,'App Data'!$L$2:$L$1001,SUBSTITUTE(SUBSTITUTE(SUBSTITUTE(L746,"~","~~"),"*","~*"),"?","~?")))</x:f>
      </x:c>
      <x:c r="J746" s="13" t="str">
        <x:f>IF(OR(NOT(ISNUMBER(E746)),NOT(ISNUMBER(I746))),"",ROUND(E746-I746,2))</x:f>
      </x:c>
      <x:c r="K746" s="2" t="str">
        <x:f>IF(COUNTA(A746:F746)=0,"",IF(OR(A746="",B746="",C746="",D746="",NOT(ISNUMBER(E746))),"Missing / invalid input",IF(G746&gt;1,"Duplicate key in this source",IF(H746=0,"Missing in other source",IF(H746&gt;1,"Duplicate in other source",IF(SUMIFS('App Data'!$M$2:$M$1001,'App Data'!$L$2:$L$1001,SUBSTITUTE(SUBSTITUTE(SUBSTITUTE(L746,"~","~~"),"*","~*"),"?","~?"))&lt;&gt;1,"Other amount is invalid",IF(J746&lt;&gt;0,"Amount differs","Matched")))))))</x:f>
      </x:c>
      <x:c r="L746" t="str">
        <x:f>IF(COUNTA(A746:F746)=0,"",LEN(A746)&amp;":"&amp;A746&amp;LEN(B746)&amp;":"&amp;B746&amp;LEN(C746)&amp;":"&amp;C746&amp;LEN(D746)&amp;":"&amp;D746)</x:f>
      </x:c>
      <x:c r="M746" t="str">
        <x:f>IF(COUNTA(A746:F746)=0,"",IF(ISNUMBER(E746),1,0))</x:f>
      </x:c>
    </x:row>
    <x:row r="747">
      <x:c r="A747" s="11"/>
      <x:c r="B747" s="11"/>
      <x:c r="C747" s="11"/>
      <x:c r="D747" s="11"/>
      <x:c r="E747" s="12"/>
      <x:c r="F747" s="10"/>
      <x:c r="G747" s="2" t="str">
        <x:f>IF(COUNTA(A747:F747)=0,"",COUNTIFS('External Data'!$L$2:$L$1001,SUBSTITUTE(SUBSTITUTE(SUBSTITUTE(L747,"~","~~"),"*","~*"),"?","~?")))</x:f>
      </x:c>
      <x:c r="H747" s="2" t="str">
        <x:f>IF(COUNTA(A747:F747)=0,"",COUNTIFS('App Data'!$L$2:$L$1001,SUBSTITUTE(SUBSTITUTE(SUBSTITUTE(L747,"~","~~"),"*","~*"),"?","~?")))</x:f>
      </x:c>
      <x:c r="I747" s="13" t="str">
        <x:f>IF(OR(H747&lt;&gt;1,G747&lt;&gt;1),"",SUMIFS('App Data'!$E$2:$E$1001,'App Data'!$L$2:$L$1001,SUBSTITUTE(SUBSTITUTE(SUBSTITUTE(L747,"~","~~"),"*","~*"),"?","~?")))</x:f>
      </x:c>
      <x:c r="J747" s="13" t="str">
        <x:f>IF(OR(NOT(ISNUMBER(E747)),NOT(ISNUMBER(I747))),"",ROUND(E747-I747,2))</x:f>
      </x:c>
      <x:c r="K747" s="2" t="str">
        <x:f>IF(COUNTA(A747:F747)=0,"",IF(OR(A747="",B747="",C747="",D747="",NOT(ISNUMBER(E747))),"Missing / invalid input",IF(G747&gt;1,"Duplicate key in this source",IF(H747=0,"Missing in other source",IF(H747&gt;1,"Duplicate in other source",IF(SUMIFS('App Data'!$M$2:$M$1001,'App Data'!$L$2:$L$1001,SUBSTITUTE(SUBSTITUTE(SUBSTITUTE(L747,"~","~~"),"*","~*"),"?","~?"))&lt;&gt;1,"Other amount is invalid",IF(J747&lt;&gt;0,"Amount differs","Matched")))))))</x:f>
      </x:c>
      <x:c r="L747" t="str">
        <x:f>IF(COUNTA(A747:F747)=0,"",LEN(A747)&amp;":"&amp;A747&amp;LEN(B747)&amp;":"&amp;B747&amp;LEN(C747)&amp;":"&amp;C747&amp;LEN(D747)&amp;":"&amp;D747)</x:f>
      </x:c>
      <x:c r="M747" t="str">
        <x:f>IF(COUNTA(A747:F747)=0,"",IF(ISNUMBER(E747),1,0))</x:f>
      </x:c>
    </x:row>
    <x:row r="748">
      <x:c r="A748" s="11"/>
      <x:c r="B748" s="11"/>
      <x:c r="C748" s="11"/>
      <x:c r="D748" s="11"/>
      <x:c r="E748" s="12"/>
      <x:c r="F748" s="10"/>
      <x:c r="G748" s="2" t="str">
        <x:f>IF(COUNTA(A748:F748)=0,"",COUNTIFS('External Data'!$L$2:$L$1001,SUBSTITUTE(SUBSTITUTE(SUBSTITUTE(L748,"~","~~"),"*","~*"),"?","~?")))</x:f>
      </x:c>
      <x:c r="H748" s="2" t="str">
        <x:f>IF(COUNTA(A748:F748)=0,"",COUNTIFS('App Data'!$L$2:$L$1001,SUBSTITUTE(SUBSTITUTE(SUBSTITUTE(L748,"~","~~"),"*","~*"),"?","~?")))</x:f>
      </x:c>
      <x:c r="I748" s="13" t="str">
        <x:f>IF(OR(H748&lt;&gt;1,G748&lt;&gt;1),"",SUMIFS('App Data'!$E$2:$E$1001,'App Data'!$L$2:$L$1001,SUBSTITUTE(SUBSTITUTE(SUBSTITUTE(L748,"~","~~"),"*","~*"),"?","~?")))</x:f>
      </x:c>
      <x:c r="J748" s="13" t="str">
        <x:f>IF(OR(NOT(ISNUMBER(E748)),NOT(ISNUMBER(I748))),"",ROUND(E748-I748,2))</x:f>
      </x:c>
      <x:c r="K748" s="2" t="str">
        <x:f>IF(COUNTA(A748:F748)=0,"",IF(OR(A748="",B748="",C748="",D748="",NOT(ISNUMBER(E748))),"Missing / invalid input",IF(G748&gt;1,"Duplicate key in this source",IF(H748=0,"Missing in other source",IF(H748&gt;1,"Duplicate in other source",IF(SUMIFS('App Data'!$M$2:$M$1001,'App Data'!$L$2:$L$1001,SUBSTITUTE(SUBSTITUTE(SUBSTITUTE(L748,"~","~~"),"*","~*"),"?","~?"))&lt;&gt;1,"Other amount is invalid",IF(J748&lt;&gt;0,"Amount differs","Matched")))))))</x:f>
      </x:c>
      <x:c r="L748" t="str">
        <x:f>IF(COUNTA(A748:F748)=0,"",LEN(A748)&amp;":"&amp;A748&amp;LEN(B748)&amp;":"&amp;B748&amp;LEN(C748)&amp;":"&amp;C748&amp;LEN(D748)&amp;":"&amp;D748)</x:f>
      </x:c>
      <x:c r="M748" t="str">
        <x:f>IF(COUNTA(A748:F748)=0,"",IF(ISNUMBER(E748),1,0))</x:f>
      </x:c>
    </x:row>
    <x:row r="749">
      <x:c r="A749" s="11"/>
      <x:c r="B749" s="11"/>
      <x:c r="C749" s="11"/>
      <x:c r="D749" s="11"/>
      <x:c r="E749" s="12"/>
      <x:c r="F749" s="10"/>
      <x:c r="G749" s="2" t="str">
        <x:f>IF(COUNTA(A749:F749)=0,"",COUNTIFS('External Data'!$L$2:$L$1001,SUBSTITUTE(SUBSTITUTE(SUBSTITUTE(L749,"~","~~"),"*","~*"),"?","~?")))</x:f>
      </x:c>
      <x:c r="H749" s="2" t="str">
        <x:f>IF(COUNTA(A749:F749)=0,"",COUNTIFS('App Data'!$L$2:$L$1001,SUBSTITUTE(SUBSTITUTE(SUBSTITUTE(L749,"~","~~"),"*","~*"),"?","~?")))</x:f>
      </x:c>
      <x:c r="I749" s="13" t="str">
        <x:f>IF(OR(H749&lt;&gt;1,G749&lt;&gt;1),"",SUMIFS('App Data'!$E$2:$E$1001,'App Data'!$L$2:$L$1001,SUBSTITUTE(SUBSTITUTE(SUBSTITUTE(L749,"~","~~"),"*","~*"),"?","~?")))</x:f>
      </x:c>
      <x:c r="J749" s="13" t="str">
        <x:f>IF(OR(NOT(ISNUMBER(E749)),NOT(ISNUMBER(I749))),"",ROUND(E749-I749,2))</x:f>
      </x:c>
      <x:c r="K749" s="2" t="str">
        <x:f>IF(COUNTA(A749:F749)=0,"",IF(OR(A749="",B749="",C749="",D749="",NOT(ISNUMBER(E749))),"Missing / invalid input",IF(G749&gt;1,"Duplicate key in this source",IF(H749=0,"Missing in other source",IF(H749&gt;1,"Duplicate in other source",IF(SUMIFS('App Data'!$M$2:$M$1001,'App Data'!$L$2:$L$1001,SUBSTITUTE(SUBSTITUTE(SUBSTITUTE(L749,"~","~~"),"*","~*"),"?","~?"))&lt;&gt;1,"Other amount is invalid",IF(J749&lt;&gt;0,"Amount differs","Matched")))))))</x:f>
      </x:c>
      <x:c r="L749" t="str">
        <x:f>IF(COUNTA(A749:F749)=0,"",LEN(A749)&amp;":"&amp;A749&amp;LEN(B749)&amp;":"&amp;B749&amp;LEN(C749)&amp;":"&amp;C749&amp;LEN(D749)&amp;":"&amp;D749)</x:f>
      </x:c>
      <x:c r="M749" t="str">
        <x:f>IF(COUNTA(A749:F749)=0,"",IF(ISNUMBER(E749),1,0))</x:f>
      </x:c>
    </x:row>
    <x:row r="750">
      <x:c r="A750" s="11"/>
      <x:c r="B750" s="11"/>
      <x:c r="C750" s="11"/>
      <x:c r="D750" s="11"/>
      <x:c r="E750" s="12"/>
      <x:c r="F750" s="10"/>
      <x:c r="G750" s="2" t="str">
        <x:f>IF(COUNTA(A750:F750)=0,"",COUNTIFS('External Data'!$L$2:$L$1001,SUBSTITUTE(SUBSTITUTE(SUBSTITUTE(L750,"~","~~"),"*","~*"),"?","~?")))</x:f>
      </x:c>
      <x:c r="H750" s="2" t="str">
        <x:f>IF(COUNTA(A750:F750)=0,"",COUNTIFS('App Data'!$L$2:$L$1001,SUBSTITUTE(SUBSTITUTE(SUBSTITUTE(L750,"~","~~"),"*","~*"),"?","~?")))</x:f>
      </x:c>
      <x:c r="I750" s="13" t="str">
        <x:f>IF(OR(H750&lt;&gt;1,G750&lt;&gt;1),"",SUMIFS('App Data'!$E$2:$E$1001,'App Data'!$L$2:$L$1001,SUBSTITUTE(SUBSTITUTE(SUBSTITUTE(L750,"~","~~"),"*","~*"),"?","~?")))</x:f>
      </x:c>
      <x:c r="J750" s="13" t="str">
        <x:f>IF(OR(NOT(ISNUMBER(E750)),NOT(ISNUMBER(I750))),"",ROUND(E750-I750,2))</x:f>
      </x:c>
      <x:c r="K750" s="2" t="str">
        <x:f>IF(COUNTA(A750:F750)=0,"",IF(OR(A750="",B750="",C750="",D750="",NOT(ISNUMBER(E750))),"Missing / invalid input",IF(G750&gt;1,"Duplicate key in this source",IF(H750=0,"Missing in other source",IF(H750&gt;1,"Duplicate in other source",IF(SUMIFS('App Data'!$M$2:$M$1001,'App Data'!$L$2:$L$1001,SUBSTITUTE(SUBSTITUTE(SUBSTITUTE(L750,"~","~~"),"*","~*"),"?","~?"))&lt;&gt;1,"Other amount is invalid",IF(J750&lt;&gt;0,"Amount differs","Matched")))))))</x:f>
      </x:c>
      <x:c r="L750" t="str">
        <x:f>IF(COUNTA(A750:F750)=0,"",LEN(A750)&amp;":"&amp;A750&amp;LEN(B750)&amp;":"&amp;B750&amp;LEN(C750)&amp;":"&amp;C750&amp;LEN(D750)&amp;":"&amp;D750)</x:f>
      </x:c>
      <x:c r="M750" t="str">
        <x:f>IF(COUNTA(A750:F750)=0,"",IF(ISNUMBER(E750),1,0))</x:f>
      </x:c>
    </x:row>
    <x:row r="751">
      <x:c r="A751" s="11"/>
      <x:c r="B751" s="11"/>
      <x:c r="C751" s="11"/>
      <x:c r="D751" s="11"/>
      <x:c r="E751" s="12"/>
      <x:c r="F751" s="10"/>
      <x:c r="G751" s="2" t="str">
        <x:f>IF(COUNTA(A751:F751)=0,"",COUNTIFS('External Data'!$L$2:$L$1001,SUBSTITUTE(SUBSTITUTE(SUBSTITUTE(L751,"~","~~"),"*","~*"),"?","~?")))</x:f>
      </x:c>
      <x:c r="H751" s="2" t="str">
        <x:f>IF(COUNTA(A751:F751)=0,"",COUNTIFS('App Data'!$L$2:$L$1001,SUBSTITUTE(SUBSTITUTE(SUBSTITUTE(L751,"~","~~"),"*","~*"),"?","~?")))</x:f>
      </x:c>
      <x:c r="I751" s="13" t="str">
        <x:f>IF(OR(H751&lt;&gt;1,G751&lt;&gt;1),"",SUMIFS('App Data'!$E$2:$E$1001,'App Data'!$L$2:$L$1001,SUBSTITUTE(SUBSTITUTE(SUBSTITUTE(L751,"~","~~"),"*","~*"),"?","~?")))</x:f>
      </x:c>
      <x:c r="J751" s="13" t="str">
        <x:f>IF(OR(NOT(ISNUMBER(E751)),NOT(ISNUMBER(I751))),"",ROUND(E751-I751,2))</x:f>
      </x:c>
      <x:c r="K751" s="2" t="str">
        <x:f>IF(COUNTA(A751:F751)=0,"",IF(OR(A751="",B751="",C751="",D751="",NOT(ISNUMBER(E751))),"Missing / invalid input",IF(G751&gt;1,"Duplicate key in this source",IF(H751=0,"Missing in other source",IF(H751&gt;1,"Duplicate in other source",IF(SUMIFS('App Data'!$M$2:$M$1001,'App Data'!$L$2:$L$1001,SUBSTITUTE(SUBSTITUTE(SUBSTITUTE(L751,"~","~~"),"*","~*"),"?","~?"))&lt;&gt;1,"Other amount is invalid",IF(J751&lt;&gt;0,"Amount differs","Matched")))))))</x:f>
      </x:c>
      <x:c r="L751" t="str">
        <x:f>IF(COUNTA(A751:F751)=0,"",LEN(A751)&amp;":"&amp;A751&amp;LEN(B751)&amp;":"&amp;B751&amp;LEN(C751)&amp;":"&amp;C751&amp;LEN(D751)&amp;":"&amp;D751)</x:f>
      </x:c>
      <x:c r="M751" t="str">
        <x:f>IF(COUNTA(A751:F751)=0,"",IF(ISNUMBER(E751),1,0))</x:f>
      </x:c>
    </x:row>
    <x:row r="752">
      <x:c r="A752" s="11"/>
      <x:c r="B752" s="11"/>
      <x:c r="C752" s="11"/>
      <x:c r="D752" s="11"/>
      <x:c r="E752" s="12"/>
      <x:c r="F752" s="10"/>
      <x:c r="G752" s="2" t="str">
        <x:f>IF(COUNTA(A752:F752)=0,"",COUNTIFS('External Data'!$L$2:$L$1001,SUBSTITUTE(SUBSTITUTE(SUBSTITUTE(L752,"~","~~"),"*","~*"),"?","~?")))</x:f>
      </x:c>
      <x:c r="H752" s="2" t="str">
        <x:f>IF(COUNTA(A752:F752)=0,"",COUNTIFS('App Data'!$L$2:$L$1001,SUBSTITUTE(SUBSTITUTE(SUBSTITUTE(L752,"~","~~"),"*","~*"),"?","~?")))</x:f>
      </x:c>
      <x:c r="I752" s="13" t="str">
        <x:f>IF(OR(H752&lt;&gt;1,G752&lt;&gt;1),"",SUMIFS('App Data'!$E$2:$E$1001,'App Data'!$L$2:$L$1001,SUBSTITUTE(SUBSTITUTE(SUBSTITUTE(L752,"~","~~"),"*","~*"),"?","~?")))</x:f>
      </x:c>
      <x:c r="J752" s="13" t="str">
        <x:f>IF(OR(NOT(ISNUMBER(E752)),NOT(ISNUMBER(I752))),"",ROUND(E752-I752,2))</x:f>
      </x:c>
      <x:c r="K752" s="2" t="str">
        <x:f>IF(COUNTA(A752:F752)=0,"",IF(OR(A752="",B752="",C752="",D752="",NOT(ISNUMBER(E752))),"Missing / invalid input",IF(G752&gt;1,"Duplicate key in this source",IF(H752=0,"Missing in other source",IF(H752&gt;1,"Duplicate in other source",IF(SUMIFS('App Data'!$M$2:$M$1001,'App Data'!$L$2:$L$1001,SUBSTITUTE(SUBSTITUTE(SUBSTITUTE(L752,"~","~~"),"*","~*"),"?","~?"))&lt;&gt;1,"Other amount is invalid",IF(J752&lt;&gt;0,"Amount differs","Matched")))))))</x:f>
      </x:c>
      <x:c r="L752" t="str">
        <x:f>IF(COUNTA(A752:F752)=0,"",LEN(A752)&amp;":"&amp;A752&amp;LEN(B752)&amp;":"&amp;B752&amp;LEN(C752)&amp;":"&amp;C752&amp;LEN(D752)&amp;":"&amp;D752)</x:f>
      </x:c>
      <x:c r="M752" t="str">
        <x:f>IF(COUNTA(A752:F752)=0,"",IF(ISNUMBER(E752),1,0))</x:f>
      </x:c>
    </x:row>
    <x:row r="753">
      <x:c r="A753" s="11"/>
      <x:c r="B753" s="11"/>
      <x:c r="C753" s="11"/>
      <x:c r="D753" s="11"/>
      <x:c r="E753" s="12"/>
      <x:c r="F753" s="10"/>
      <x:c r="G753" s="2" t="str">
        <x:f>IF(COUNTA(A753:F753)=0,"",COUNTIFS('External Data'!$L$2:$L$1001,SUBSTITUTE(SUBSTITUTE(SUBSTITUTE(L753,"~","~~"),"*","~*"),"?","~?")))</x:f>
      </x:c>
      <x:c r="H753" s="2" t="str">
        <x:f>IF(COUNTA(A753:F753)=0,"",COUNTIFS('App Data'!$L$2:$L$1001,SUBSTITUTE(SUBSTITUTE(SUBSTITUTE(L753,"~","~~"),"*","~*"),"?","~?")))</x:f>
      </x:c>
      <x:c r="I753" s="13" t="str">
        <x:f>IF(OR(H753&lt;&gt;1,G753&lt;&gt;1),"",SUMIFS('App Data'!$E$2:$E$1001,'App Data'!$L$2:$L$1001,SUBSTITUTE(SUBSTITUTE(SUBSTITUTE(L753,"~","~~"),"*","~*"),"?","~?")))</x:f>
      </x:c>
      <x:c r="J753" s="13" t="str">
        <x:f>IF(OR(NOT(ISNUMBER(E753)),NOT(ISNUMBER(I753))),"",ROUND(E753-I753,2))</x:f>
      </x:c>
      <x:c r="K753" s="2" t="str">
        <x:f>IF(COUNTA(A753:F753)=0,"",IF(OR(A753="",B753="",C753="",D753="",NOT(ISNUMBER(E753))),"Missing / invalid input",IF(G753&gt;1,"Duplicate key in this source",IF(H753=0,"Missing in other source",IF(H753&gt;1,"Duplicate in other source",IF(SUMIFS('App Data'!$M$2:$M$1001,'App Data'!$L$2:$L$1001,SUBSTITUTE(SUBSTITUTE(SUBSTITUTE(L753,"~","~~"),"*","~*"),"?","~?"))&lt;&gt;1,"Other amount is invalid",IF(J753&lt;&gt;0,"Amount differs","Matched")))))))</x:f>
      </x:c>
      <x:c r="L753" t="str">
        <x:f>IF(COUNTA(A753:F753)=0,"",LEN(A753)&amp;":"&amp;A753&amp;LEN(B753)&amp;":"&amp;B753&amp;LEN(C753)&amp;":"&amp;C753&amp;LEN(D753)&amp;":"&amp;D753)</x:f>
      </x:c>
      <x:c r="M753" t="str">
        <x:f>IF(COUNTA(A753:F753)=0,"",IF(ISNUMBER(E753),1,0))</x:f>
      </x:c>
    </x:row>
    <x:row r="754">
      <x:c r="A754" s="11"/>
      <x:c r="B754" s="11"/>
      <x:c r="C754" s="11"/>
      <x:c r="D754" s="11"/>
      <x:c r="E754" s="12"/>
      <x:c r="F754" s="10"/>
      <x:c r="G754" s="2" t="str">
        <x:f>IF(COUNTA(A754:F754)=0,"",COUNTIFS('External Data'!$L$2:$L$1001,SUBSTITUTE(SUBSTITUTE(SUBSTITUTE(L754,"~","~~"),"*","~*"),"?","~?")))</x:f>
      </x:c>
      <x:c r="H754" s="2" t="str">
        <x:f>IF(COUNTA(A754:F754)=0,"",COUNTIFS('App Data'!$L$2:$L$1001,SUBSTITUTE(SUBSTITUTE(SUBSTITUTE(L754,"~","~~"),"*","~*"),"?","~?")))</x:f>
      </x:c>
      <x:c r="I754" s="13" t="str">
        <x:f>IF(OR(H754&lt;&gt;1,G754&lt;&gt;1),"",SUMIFS('App Data'!$E$2:$E$1001,'App Data'!$L$2:$L$1001,SUBSTITUTE(SUBSTITUTE(SUBSTITUTE(L754,"~","~~"),"*","~*"),"?","~?")))</x:f>
      </x:c>
      <x:c r="J754" s="13" t="str">
        <x:f>IF(OR(NOT(ISNUMBER(E754)),NOT(ISNUMBER(I754))),"",ROUND(E754-I754,2))</x:f>
      </x:c>
      <x:c r="K754" s="2" t="str">
        <x:f>IF(COUNTA(A754:F754)=0,"",IF(OR(A754="",B754="",C754="",D754="",NOT(ISNUMBER(E754))),"Missing / invalid input",IF(G754&gt;1,"Duplicate key in this source",IF(H754=0,"Missing in other source",IF(H754&gt;1,"Duplicate in other source",IF(SUMIFS('App Data'!$M$2:$M$1001,'App Data'!$L$2:$L$1001,SUBSTITUTE(SUBSTITUTE(SUBSTITUTE(L754,"~","~~"),"*","~*"),"?","~?"))&lt;&gt;1,"Other amount is invalid",IF(J754&lt;&gt;0,"Amount differs","Matched")))))))</x:f>
      </x:c>
      <x:c r="L754" t="str">
        <x:f>IF(COUNTA(A754:F754)=0,"",LEN(A754)&amp;":"&amp;A754&amp;LEN(B754)&amp;":"&amp;B754&amp;LEN(C754)&amp;":"&amp;C754&amp;LEN(D754)&amp;":"&amp;D754)</x:f>
      </x:c>
      <x:c r="M754" t="str">
        <x:f>IF(COUNTA(A754:F754)=0,"",IF(ISNUMBER(E754),1,0))</x:f>
      </x:c>
    </x:row>
    <x:row r="755">
      <x:c r="A755" s="11"/>
      <x:c r="B755" s="11"/>
      <x:c r="C755" s="11"/>
      <x:c r="D755" s="11"/>
      <x:c r="E755" s="12"/>
      <x:c r="F755" s="10"/>
      <x:c r="G755" s="2" t="str">
        <x:f>IF(COUNTA(A755:F755)=0,"",COUNTIFS('External Data'!$L$2:$L$1001,SUBSTITUTE(SUBSTITUTE(SUBSTITUTE(L755,"~","~~"),"*","~*"),"?","~?")))</x:f>
      </x:c>
      <x:c r="H755" s="2" t="str">
        <x:f>IF(COUNTA(A755:F755)=0,"",COUNTIFS('App Data'!$L$2:$L$1001,SUBSTITUTE(SUBSTITUTE(SUBSTITUTE(L755,"~","~~"),"*","~*"),"?","~?")))</x:f>
      </x:c>
      <x:c r="I755" s="13" t="str">
        <x:f>IF(OR(H755&lt;&gt;1,G755&lt;&gt;1),"",SUMIFS('App Data'!$E$2:$E$1001,'App Data'!$L$2:$L$1001,SUBSTITUTE(SUBSTITUTE(SUBSTITUTE(L755,"~","~~"),"*","~*"),"?","~?")))</x:f>
      </x:c>
      <x:c r="J755" s="13" t="str">
        <x:f>IF(OR(NOT(ISNUMBER(E755)),NOT(ISNUMBER(I755))),"",ROUND(E755-I755,2))</x:f>
      </x:c>
      <x:c r="K755" s="2" t="str">
        <x:f>IF(COUNTA(A755:F755)=0,"",IF(OR(A755="",B755="",C755="",D755="",NOT(ISNUMBER(E755))),"Missing / invalid input",IF(G755&gt;1,"Duplicate key in this source",IF(H755=0,"Missing in other source",IF(H755&gt;1,"Duplicate in other source",IF(SUMIFS('App Data'!$M$2:$M$1001,'App Data'!$L$2:$L$1001,SUBSTITUTE(SUBSTITUTE(SUBSTITUTE(L755,"~","~~"),"*","~*"),"?","~?"))&lt;&gt;1,"Other amount is invalid",IF(J755&lt;&gt;0,"Amount differs","Matched")))))))</x:f>
      </x:c>
      <x:c r="L755" t="str">
        <x:f>IF(COUNTA(A755:F755)=0,"",LEN(A755)&amp;":"&amp;A755&amp;LEN(B755)&amp;":"&amp;B755&amp;LEN(C755)&amp;":"&amp;C755&amp;LEN(D755)&amp;":"&amp;D755)</x:f>
      </x:c>
      <x:c r="M755" t="str">
        <x:f>IF(COUNTA(A755:F755)=0,"",IF(ISNUMBER(E755),1,0))</x:f>
      </x:c>
    </x:row>
    <x:row r="756">
      <x:c r="A756" s="11"/>
      <x:c r="B756" s="11"/>
      <x:c r="C756" s="11"/>
      <x:c r="D756" s="11"/>
      <x:c r="E756" s="12"/>
      <x:c r="F756" s="10"/>
      <x:c r="G756" s="2" t="str">
        <x:f>IF(COUNTA(A756:F756)=0,"",COUNTIFS('External Data'!$L$2:$L$1001,SUBSTITUTE(SUBSTITUTE(SUBSTITUTE(L756,"~","~~"),"*","~*"),"?","~?")))</x:f>
      </x:c>
      <x:c r="H756" s="2" t="str">
        <x:f>IF(COUNTA(A756:F756)=0,"",COUNTIFS('App Data'!$L$2:$L$1001,SUBSTITUTE(SUBSTITUTE(SUBSTITUTE(L756,"~","~~"),"*","~*"),"?","~?")))</x:f>
      </x:c>
      <x:c r="I756" s="13" t="str">
        <x:f>IF(OR(H756&lt;&gt;1,G756&lt;&gt;1),"",SUMIFS('App Data'!$E$2:$E$1001,'App Data'!$L$2:$L$1001,SUBSTITUTE(SUBSTITUTE(SUBSTITUTE(L756,"~","~~"),"*","~*"),"?","~?")))</x:f>
      </x:c>
      <x:c r="J756" s="13" t="str">
        <x:f>IF(OR(NOT(ISNUMBER(E756)),NOT(ISNUMBER(I756))),"",ROUND(E756-I756,2))</x:f>
      </x:c>
      <x:c r="K756" s="2" t="str">
        <x:f>IF(COUNTA(A756:F756)=0,"",IF(OR(A756="",B756="",C756="",D756="",NOT(ISNUMBER(E756))),"Missing / invalid input",IF(G756&gt;1,"Duplicate key in this source",IF(H756=0,"Missing in other source",IF(H756&gt;1,"Duplicate in other source",IF(SUMIFS('App Data'!$M$2:$M$1001,'App Data'!$L$2:$L$1001,SUBSTITUTE(SUBSTITUTE(SUBSTITUTE(L756,"~","~~"),"*","~*"),"?","~?"))&lt;&gt;1,"Other amount is invalid",IF(J756&lt;&gt;0,"Amount differs","Matched")))))))</x:f>
      </x:c>
      <x:c r="L756" t="str">
        <x:f>IF(COUNTA(A756:F756)=0,"",LEN(A756)&amp;":"&amp;A756&amp;LEN(B756)&amp;":"&amp;B756&amp;LEN(C756)&amp;":"&amp;C756&amp;LEN(D756)&amp;":"&amp;D756)</x:f>
      </x:c>
      <x:c r="M756" t="str">
        <x:f>IF(COUNTA(A756:F756)=0,"",IF(ISNUMBER(E756),1,0))</x:f>
      </x:c>
    </x:row>
    <x:row r="757">
      <x:c r="A757" s="11"/>
      <x:c r="B757" s="11"/>
      <x:c r="C757" s="11"/>
      <x:c r="D757" s="11"/>
      <x:c r="E757" s="12"/>
      <x:c r="F757" s="10"/>
      <x:c r="G757" s="2" t="str">
        <x:f>IF(COUNTA(A757:F757)=0,"",COUNTIFS('External Data'!$L$2:$L$1001,SUBSTITUTE(SUBSTITUTE(SUBSTITUTE(L757,"~","~~"),"*","~*"),"?","~?")))</x:f>
      </x:c>
      <x:c r="H757" s="2" t="str">
        <x:f>IF(COUNTA(A757:F757)=0,"",COUNTIFS('App Data'!$L$2:$L$1001,SUBSTITUTE(SUBSTITUTE(SUBSTITUTE(L757,"~","~~"),"*","~*"),"?","~?")))</x:f>
      </x:c>
      <x:c r="I757" s="13" t="str">
        <x:f>IF(OR(H757&lt;&gt;1,G757&lt;&gt;1),"",SUMIFS('App Data'!$E$2:$E$1001,'App Data'!$L$2:$L$1001,SUBSTITUTE(SUBSTITUTE(SUBSTITUTE(L757,"~","~~"),"*","~*"),"?","~?")))</x:f>
      </x:c>
      <x:c r="J757" s="13" t="str">
        <x:f>IF(OR(NOT(ISNUMBER(E757)),NOT(ISNUMBER(I757))),"",ROUND(E757-I757,2))</x:f>
      </x:c>
      <x:c r="K757" s="2" t="str">
        <x:f>IF(COUNTA(A757:F757)=0,"",IF(OR(A757="",B757="",C757="",D757="",NOT(ISNUMBER(E757))),"Missing / invalid input",IF(G757&gt;1,"Duplicate key in this source",IF(H757=0,"Missing in other source",IF(H757&gt;1,"Duplicate in other source",IF(SUMIFS('App Data'!$M$2:$M$1001,'App Data'!$L$2:$L$1001,SUBSTITUTE(SUBSTITUTE(SUBSTITUTE(L757,"~","~~"),"*","~*"),"?","~?"))&lt;&gt;1,"Other amount is invalid",IF(J757&lt;&gt;0,"Amount differs","Matched")))))))</x:f>
      </x:c>
      <x:c r="L757" t="str">
        <x:f>IF(COUNTA(A757:F757)=0,"",LEN(A757)&amp;":"&amp;A757&amp;LEN(B757)&amp;":"&amp;B757&amp;LEN(C757)&amp;":"&amp;C757&amp;LEN(D757)&amp;":"&amp;D757)</x:f>
      </x:c>
      <x:c r="M757" t="str">
        <x:f>IF(COUNTA(A757:F757)=0,"",IF(ISNUMBER(E757),1,0))</x:f>
      </x:c>
    </x:row>
    <x:row r="758">
      <x:c r="A758" s="11"/>
      <x:c r="B758" s="11"/>
      <x:c r="C758" s="11"/>
      <x:c r="D758" s="11"/>
      <x:c r="E758" s="12"/>
      <x:c r="F758" s="10"/>
      <x:c r="G758" s="2" t="str">
        <x:f>IF(COUNTA(A758:F758)=0,"",COUNTIFS('External Data'!$L$2:$L$1001,SUBSTITUTE(SUBSTITUTE(SUBSTITUTE(L758,"~","~~"),"*","~*"),"?","~?")))</x:f>
      </x:c>
      <x:c r="H758" s="2" t="str">
        <x:f>IF(COUNTA(A758:F758)=0,"",COUNTIFS('App Data'!$L$2:$L$1001,SUBSTITUTE(SUBSTITUTE(SUBSTITUTE(L758,"~","~~"),"*","~*"),"?","~?")))</x:f>
      </x:c>
      <x:c r="I758" s="13" t="str">
        <x:f>IF(OR(H758&lt;&gt;1,G758&lt;&gt;1),"",SUMIFS('App Data'!$E$2:$E$1001,'App Data'!$L$2:$L$1001,SUBSTITUTE(SUBSTITUTE(SUBSTITUTE(L758,"~","~~"),"*","~*"),"?","~?")))</x:f>
      </x:c>
      <x:c r="J758" s="13" t="str">
        <x:f>IF(OR(NOT(ISNUMBER(E758)),NOT(ISNUMBER(I758))),"",ROUND(E758-I758,2))</x:f>
      </x:c>
      <x:c r="K758" s="2" t="str">
        <x:f>IF(COUNTA(A758:F758)=0,"",IF(OR(A758="",B758="",C758="",D758="",NOT(ISNUMBER(E758))),"Missing / invalid input",IF(G758&gt;1,"Duplicate key in this source",IF(H758=0,"Missing in other source",IF(H758&gt;1,"Duplicate in other source",IF(SUMIFS('App Data'!$M$2:$M$1001,'App Data'!$L$2:$L$1001,SUBSTITUTE(SUBSTITUTE(SUBSTITUTE(L758,"~","~~"),"*","~*"),"?","~?"))&lt;&gt;1,"Other amount is invalid",IF(J758&lt;&gt;0,"Amount differs","Matched")))))))</x:f>
      </x:c>
      <x:c r="L758" t="str">
        <x:f>IF(COUNTA(A758:F758)=0,"",LEN(A758)&amp;":"&amp;A758&amp;LEN(B758)&amp;":"&amp;B758&amp;LEN(C758)&amp;":"&amp;C758&amp;LEN(D758)&amp;":"&amp;D758)</x:f>
      </x:c>
      <x:c r="M758" t="str">
        <x:f>IF(COUNTA(A758:F758)=0,"",IF(ISNUMBER(E758),1,0))</x:f>
      </x:c>
    </x:row>
    <x:row r="759">
      <x:c r="A759" s="11"/>
      <x:c r="B759" s="11"/>
      <x:c r="C759" s="11"/>
      <x:c r="D759" s="11"/>
      <x:c r="E759" s="12"/>
      <x:c r="F759" s="10"/>
      <x:c r="G759" s="2" t="str">
        <x:f>IF(COUNTA(A759:F759)=0,"",COUNTIFS('External Data'!$L$2:$L$1001,SUBSTITUTE(SUBSTITUTE(SUBSTITUTE(L759,"~","~~"),"*","~*"),"?","~?")))</x:f>
      </x:c>
      <x:c r="H759" s="2" t="str">
        <x:f>IF(COUNTA(A759:F759)=0,"",COUNTIFS('App Data'!$L$2:$L$1001,SUBSTITUTE(SUBSTITUTE(SUBSTITUTE(L759,"~","~~"),"*","~*"),"?","~?")))</x:f>
      </x:c>
      <x:c r="I759" s="13" t="str">
        <x:f>IF(OR(H759&lt;&gt;1,G759&lt;&gt;1),"",SUMIFS('App Data'!$E$2:$E$1001,'App Data'!$L$2:$L$1001,SUBSTITUTE(SUBSTITUTE(SUBSTITUTE(L759,"~","~~"),"*","~*"),"?","~?")))</x:f>
      </x:c>
      <x:c r="J759" s="13" t="str">
        <x:f>IF(OR(NOT(ISNUMBER(E759)),NOT(ISNUMBER(I759))),"",ROUND(E759-I759,2))</x:f>
      </x:c>
      <x:c r="K759" s="2" t="str">
        <x:f>IF(COUNTA(A759:F759)=0,"",IF(OR(A759="",B759="",C759="",D759="",NOT(ISNUMBER(E759))),"Missing / invalid input",IF(G759&gt;1,"Duplicate key in this source",IF(H759=0,"Missing in other source",IF(H759&gt;1,"Duplicate in other source",IF(SUMIFS('App Data'!$M$2:$M$1001,'App Data'!$L$2:$L$1001,SUBSTITUTE(SUBSTITUTE(SUBSTITUTE(L759,"~","~~"),"*","~*"),"?","~?"))&lt;&gt;1,"Other amount is invalid",IF(J759&lt;&gt;0,"Amount differs","Matched")))))))</x:f>
      </x:c>
      <x:c r="L759" t="str">
        <x:f>IF(COUNTA(A759:F759)=0,"",LEN(A759)&amp;":"&amp;A759&amp;LEN(B759)&amp;":"&amp;B759&amp;LEN(C759)&amp;":"&amp;C759&amp;LEN(D759)&amp;":"&amp;D759)</x:f>
      </x:c>
      <x:c r="M759" t="str">
        <x:f>IF(COUNTA(A759:F759)=0,"",IF(ISNUMBER(E759),1,0))</x:f>
      </x:c>
    </x:row>
    <x:row r="760">
      <x:c r="A760" s="11"/>
      <x:c r="B760" s="11"/>
      <x:c r="C760" s="11"/>
      <x:c r="D760" s="11"/>
      <x:c r="E760" s="12"/>
      <x:c r="F760" s="10"/>
      <x:c r="G760" s="2" t="str">
        <x:f>IF(COUNTA(A760:F760)=0,"",COUNTIFS('External Data'!$L$2:$L$1001,SUBSTITUTE(SUBSTITUTE(SUBSTITUTE(L760,"~","~~"),"*","~*"),"?","~?")))</x:f>
      </x:c>
      <x:c r="H760" s="2" t="str">
        <x:f>IF(COUNTA(A760:F760)=0,"",COUNTIFS('App Data'!$L$2:$L$1001,SUBSTITUTE(SUBSTITUTE(SUBSTITUTE(L760,"~","~~"),"*","~*"),"?","~?")))</x:f>
      </x:c>
      <x:c r="I760" s="13" t="str">
        <x:f>IF(OR(H760&lt;&gt;1,G760&lt;&gt;1),"",SUMIFS('App Data'!$E$2:$E$1001,'App Data'!$L$2:$L$1001,SUBSTITUTE(SUBSTITUTE(SUBSTITUTE(L760,"~","~~"),"*","~*"),"?","~?")))</x:f>
      </x:c>
      <x:c r="J760" s="13" t="str">
        <x:f>IF(OR(NOT(ISNUMBER(E760)),NOT(ISNUMBER(I760))),"",ROUND(E760-I760,2))</x:f>
      </x:c>
      <x:c r="K760" s="2" t="str">
        <x:f>IF(COUNTA(A760:F760)=0,"",IF(OR(A760="",B760="",C760="",D760="",NOT(ISNUMBER(E760))),"Missing / invalid input",IF(G760&gt;1,"Duplicate key in this source",IF(H760=0,"Missing in other source",IF(H760&gt;1,"Duplicate in other source",IF(SUMIFS('App Data'!$M$2:$M$1001,'App Data'!$L$2:$L$1001,SUBSTITUTE(SUBSTITUTE(SUBSTITUTE(L760,"~","~~"),"*","~*"),"?","~?"))&lt;&gt;1,"Other amount is invalid",IF(J760&lt;&gt;0,"Amount differs","Matched")))))))</x:f>
      </x:c>
      <x:c r="L760" t="str">
        <x:f>IF(COUNTA(A760:F760)=0,"",LEN(A760)&amp;":"&amp;A760&amp;LEN(B760)&amp;":"&amp;B760&amp;LEN(C760)&amp;":"&amp;C760&amp;LEN(D760)&amp;":"&amp;D760)</x:f>
      </x:c>
      <x:c r="M760" t="str">
        <x:f>IF(COUNTA(A760:F760)=0,"",IF(ISNUMBER(E760),1,0))</x:f>
      </x:c>
    </x:row>
    <x:row r="761">
      <x:c r="A761" s="11"/>
      <x:c r="B761" s="11"/>
      <x:c r="C761" s="11"/>
      <x:c r="D761" s="11"/>
      <x:c r="E761" s="12"/>
      <x:c r="F761" s="10"/>
      <x:c r="G761" s="2" t="str">
        <x:f>IF(COUNTA(A761:F761)=0,"",COUNTIFS('External Data'!$L$2:$L$1001,SUBSTITUTE(SUBSTITUTE(SUBSTITUTE(L761,"~","~~"),"*","~*"),"?","~?")))</x:f>
      </x:c>
      <x:c r="H761" s="2" t="str">
        <x:f>IF(COUNTA(A761:F761)=0,"",COUNTIFS('App Data'!$L$2:$L$1001,SUBSTITUTE(SUBSTITUTE(SUBSTITUTE(L761,"~","~~"),"*","~*"),"?","~?")))</x:f>
      </x:c>
      <x:c r="I761" s="13" t="str">
        <x:f>IF(OR(H761&lt;&gt;1,G761&lt;&gt;1),"",SUMIFS('App Data'!$E$2:$E$1001,'App Data'!$L$2:$L$1001,SUBSTITUTE(SUBSTITUTE(SUBSTITUTE(L761,"~","~~"),"*","~*"),"?","~?")))</x:f>
      </x:c>
      <x:c r="J761" s="13" t="str">
        <x:f>IF(OR(NOT(ISNUMBER(E761)),NOT(ISNUMBER(I761))),"",ROUND(E761-I761,2))</x:f>
      </x:c>
      <x:c r="K761" s="2" t="str">
        <x:f>IF(COUNTA(A761:F761)=0,"",IF(OR(A761="",B761="",C761="",D761="",NOT(ISNUMBER(E761))),"Missing / invalid input",IF(G761&gt;1,"Duplicate key in this source",IF(H761=0,"Missing in other source",IF(H761&gt;1,"Duplicate in other source",IF(SUMIFS('App Data'!$M$2:$M$1001,'App Data'!$L$2:$L$1001,SUBSTITUTE(SUBSTITUTE(SUBSTITUTE(L761,"~","~~"),"*","~*"),"?","~?"))&lt;&gt;1,"Other amount is invalid",IF(J761&lt;&gt;0,"Amount differs","Matched")))))))</x:f>
      </x:c>
      <x:c r="L761" t="str">
        <x:f>IF(COUNTA(A761:F761)=0,"",LEN(A761)&amp;":"&amp;A761&amp;LEN(B761)&amp;":"&amp;B761&amp;LEN(C761)&amp;":"&amp;C761&amp;LEN(D761)&amp;":"&amp;D761)</x:f>
      </x:c>
      <x:c r="M761" t="str">
        <x:f>IF(COUNTA(A761:F761)=0,"",IF(ISNUMBER(E761),1,0))</x:f>
      </x:c>
    </x:row>
    <x:row r="762">
      <x:c r="A762" s="11"/>
      <x:c r="B762" s="11"/>
      <x:c r="C762" s="11"/>
      <x:c r="D762" s="11"/>
      <x:c r="E762" s="12"/>
      <x:c r="F762" s="10"/>
      <x:c r="G762" s="2" t="str">
        <x:f>IF(COUNTA(A762:F762)=0,"",COUNTIFS('External Data'!$L$2:$L$1001,SUBSTITUTE(SUBSTITUTE(SUBSTITUTE(L762,"~","~~"),"*","~*"),"?","~?")))</x:f>
      </x:c>
      <x:c r="H762" s="2" t="str">
        <x:f>IF(COUNTA(A762:F762)=0,"",COUNTIFS('App Data'!$L$2:$L$1001,SUBSTITUTE(SUBSTITUTE(SUBSTITUTE(L762,"~","~~"),"*","~*"),"?","~?")))</x:f>
      </x:c>
      <x:c r="I762" s="13" t="str">
        <x:f>IF(OR(H762&lt;&gt;1,G762&lt;&gt;1),"",SUMIFS('App Data'!$E$2:$E$1001,'App Data'!$L$2:$L$1001,SUBSTITUTE(SUBSTITUTE(SUBSTITUTE(L762,"~","~~"),"*","~*"),"?","~?")))</x:f>
      </x:c>
      <x:c r="J762" s="13" t="str">
        <x:f>IF(OR(NOT(ISNUMBER(E762)),NOT(ISNUMBER(I762))),"",ROUND(E762-I762,2))</x:f>
      </x:c>
      <x:c r="K762" s="2" t="str">
        <x:f>IF(COUNTA(A762:F762)=0,"",IF(OR(A762="",B762="",C762="",D762="",NOT(ISNUMBER(E762))),"Missing / invalid input",IF(G762&gt;1,"Duplicate key in this source",IF(H762=0,"Missing in other source",IF(H762&gt;1,"Duplicate in other source",IF(SUMIFS('App Data'!$M$2:$M$1001,'App Data'!$L$2:$L$1001,SUBSTITUTE(SUBSTITUTE(SUBSTITUTE(L762,"~","~~"),"*","~*"),"?","~?"))&lt;&gt;1,"Other amount is invalid",IF(J762&lt;&gt;0,"Amount differs","Matched")))))))</x:f>
      </x:c>
      <x:c r="L762" t="str">
        <x:f>IF(COUNTA(A762:F762)=0,"",LEN(A762)&amp;":"&amp;A762&amp;LEN(B762)&amp;":"&amp;B762&amp;LEN(C762)&amp;":"&amp;C762&amp;LEN(D762)&amp;":"&amp;D762)</x:f>
      </x:c>
      <x:c r="M762" t="str">
        <x:f>IF(COUNTA(A762:F762)=0,"",IF(ISNUMBER(E762),1,0))</x:f>
      </x:c>
    </x:row>
    <x:row r="763">
      <x:c r="A763" s="11"/>
      <x:c r="B763" s="11"/>
      <x:c r="C763" s="11"/>
      <x:c r="D763" s="11"/>
      <x:c r="E763" s="12"/>
      <x:c r="F763" s="10"/>
      <x:c r="G763" s="2" t="str">
        <x:f>IF(COUNTA(A763:F763)=0,"",COUNTIFS('External Data'!$L$2:$L$1001,SUBSTITUTE(SUBSTITUTE(SUBSTITUTE(L763,"~","~~"),"*","~*"),"?","~?")))</x:f>
      </x:c>
      <x:c r="H763" s="2" t="str">
        <x:f>IF(COUNTA(A763:F763)=0,"",COUNTIFS('App Data'!$L$2:$L$1001,SUBSTITUTE(SUBSTITUTE(SUBSTITUTE(L763,"~","~~"),"*","~*"),"?","~?")))</x:f>
      </x:c>
      <x:c r="I763" s="13" t="str">
        <x:f>IF(OR(H763&lt;&gt;1,G763&lt;&gt;1),"",SUMIFS('App Data'!$E$2:$E$1001,'App Data'!$L$2:$L$1001,SUBSTITUTE(SUBSTITUTE(SUBSTITUTE(L763,"~","~~"),"*","~*"),"?","~?")))</x:f>
      </x:c>
      <x:c r="J763" s="13" t="str">
        <x:f>IF(OR(NOT(ISNUMBER(E763)),NOT(ISNUMBER(I763))),"",ROUND(E763-I763,2))</x:f>
      </x:c>
      <x:c r="K763" s="2" t="str">
        <x:f>IF(COUNTA(A763:F763)=0,"",IF(OR(A763="",B763="",C763="",D763="",NOT(ISNUMBER(E763))),"Missing / invalid input",IF(G763&gt;1,"Duplicate key in this source",IF(H763=0,"Missing in other source",IF(H763&gt;1,"Duplicate in other source",IF(SUMIFS('App Data'!$M$2:$M$1001,'App Data'!$L$2:$L$1001,SUBSTITUTE(SUBSTITUTE(SUBSTITUTE(L763,"~","~~"),"*","~*"),"?","~?"))&lt;&gt;1,"Other amount is invalid",IF(J763&lt;&gt;0,"Amount differs","Matched")))))))</x:f>
      </x:c>
      <x:c r="L763" t="str">
        <x:f>IF(COUNTA(A763:F763)=0,"",LEN(A763)&amp;":"&amp;A763&amp;LEN(B763)&amp;":"&amp;B763&amp;LEN(C763)&amp;":"&amp;C763&amp;LEN(D763)&amp;":"&amp;D763)</x:f>
      </x:c>
      <x:c r="M763" t="str">
        <x:f>IF(COUNTA(A763:F763)=0,"",IF(ISNUMBER(E763),1,0))</x:f>
      </x:c>
    </x:row>
    <x:row r="764">
      <x:c r="A764" s="11"/>
      <x:c r="B764" s="11"/>
      <x:c r="C764" s="11"/>
      <x:c r="D764" s="11"/>
      <x:c r="E764" s="12"/>
      <x:c r="F764" s="10"/>
      <x:c r="G764" s="2" t="str">
        <x:f>IF(COUNTA(A764:F764)=0,"",COUNTIFS('External Data'!$L$2:$L$1001,SUBSTITUTE(SUBSTITUTE(SUBSTITUTE(L764,"~","~~"),"*","~*"),"?","~?")))</x:f>
      </x:c>
      <x:c r="H764" s="2" t="str">
        <x:f>IF(COUNTA(A764:F764)=0,"",COUNTIFS('App Data'!$L$2:$L$1001,SUBSTITUTE(SUBSTITUTE(SUBSTITUTE(L764,"~","~~"),"*","~*"),"?","~?")))</x:f>
      </x:c>
      <x:c r="I764" s="13" t="str">
        <x:f>IF(OR(H764&lt;&gt;1,G764&lt;&gt;1),"",SUMIFS('App Data'!$E$2:$E$1001,'App Data'!$L$2:$L$1001,SUBSTITUTE(SUBSTITUTE(SUBSTITUTE(L764,"~","~~"),"*","~*"),"?","~?")))</x:f>
      </x:c>
      <x:c r="J764" s="13" t="str">
        <x:f>IF(OR(NOT(ISNUMBER(E764)),NOT(ISNUMBER(I764))),"",ROUND(E764-I764,2))</x:f>
      </x:c>
      <x:c r="K764" s="2" t="str">
        <x:f>IF(COUNTA(A764:F764)=0,"",IF(OR(A764="",B764="",C764="",D764="",NOT(ISNUMBER(E764))),"Missing / invalid input",IF(G764&gt;1,"Duplicate key in this source",IF(H764=0,"Missing in other source",IF(H764&gt;1,"Duplicate in other source",IF(SUMIFS('App Data'!$M$2:$M$1001,'App Data'!$L$2:$L$1001,SUBSTITUTE(SUBSTITUTE(SUBSTITUTE(L764,"~","~~"),"*","~*"),"?","~?"))&lt;&gt;1,"Other amount is invalid",IF(J764&lt;&gt;0,"Amount differs","Matched")))))))</x:f>
      </x:c>
      <x:c r="L764" t="str">
        <x:f>IF(COUNTA(A764:F764)=0,"",LEN(A764)&amp;":"&amp;A764&amp;LEN(B764)&amp;":"&amp;B764&amp;LEN(C764)&amp;":"&amp;C764&amp;LEN(D764)&amp;":"&amp;D764)</x:f>
      </x:c>
      <x:c r="M764" t="str">
        <x:f>IF(COUNTA(A764:F764)=0,"",IF(ISNUMBER(E764),1,0))</x:f>
      </x:c>
    </x:row>
    <x:row r="765">
      <x:c r="A765" s="11"/>
      <x:c r="B765" s="11"/>
      <x:c r="C765" s="11"/>
      <x:c r="D765" s="11"/>
      <x:c r="E765" s="12"/>
      <x:c r="F765" s="10"/>
      <x:c r="G765" s="2" t="str">
        <x:f>IF(COUNTA(A765:F765)=0,"",COUNTIFS('External Data'!$L$2:$L$1001,SUBSTITUTE(SUBSTITUTE(SUBSTITUTE(L765,"~","~~"),"*","~*"),"?","~?")))</x:f>
      </x:c>
      <x:c r="H765" s="2" t="str">
        <x:f>IF(COUNTA(A765:F765)=0,"",COUNTIFS('App Data'!$L$2:$L$1001,SUBSTITUTE(SUBSTITUTE(SUBSTITUTE(L765,"~","~~"),"*","~*"),"?","~?")))</x:f>
      </x:c>
      <x:c r="I765" s="13" t="str">
        <x:f>IF(OR(H765&lt;&gt;1,G765&lt;&gt;1),"",SUMIFS('App Data'!$E$2:$E$1001,'App Data'!$L$2:$L$1001,SUBSTITUTE(SUBSTITUTE(SUBSTITUTE(L765,"~","~~"),"*","~*"),"?","~?")))</x:f>
      </x:c>
      <x:c r="J765" s="13" t="str">
        <x:f>IF(OR(NOT(ISNUMBER(E765)),NOT(ISNUMBER(I765))),"",ROUND(E765-I765,2))</x:f>
      </x:c>
      <x:c r="K765" s="2" t="str">
        <x:f>IF(COUNTA(A765:F765)=0,"",IF(OR(A765="",B765="",C765="",D765="",NOT(ISNUMBER(E765))),"Missing / invalid input",IF(G765&gt;1,"Duplicate key in this source",IF(H765=0,"Missing in other source",IF(H765&gt;1,"Duplicate in other source",IF(SUMIFS('App Data'!$M$2:$M$1001,'App Data'!$L$2:$L$1001,SUBSTITUTE(SUBSTITUTE(SUBSTITUTE(L765,"~","~~"),"*","~*"),"?","~?"))&lt;&gt;1,"Other amount is invalid",IF(J765&lt;&gt;0,"Amount differs","Matched")))))))</x:f>
      </x:c>
      <x:c r="L765" t="str">
        <x:f>IF(COUNTA(A765:F765)=0,"",LEN(A765)&amp;":"&amp;A765&amp;LEN(B765)&amp;":"&amp;B765&amp;LEN(C765)&amp;":"&amp;C765&amp;LEN(D765)&amp;":"&amp;D765)</x:f>
      </x:c>
      <x:c r="M765" t="str">
        <x:f>IF(COUNTA(A765:F765)=0,"",IF(ISNUMBER(E765),1,0))</x:f>
      </x:c>
    </x:row>
    <x:row r="766">
      <x:c r="A766" s="11"/>
      <x:c r="B766" s="11"/>
      <x:c r="C766" s="11"/>
      <x:c r="D766" s="11"/>
      <x:c r="E766" s="12"/>
      <x:c r="F766" s="10"/>
      <x:c r="G766" s="2" t="str">
        <x:f>IF(COUNTA(A766:F766)=0,"",COUNTIFS('External Data'!$L$2:$L$1001,SUBSTITUTE(SUBSTITUTE(SUBSTITUTE(L766,"~","~~"),"*","~*"),"?","~?")))</x:f>
      </x:c>
      <x:c r="H766" s="2" t="str">
        <x:f>IF(COUNTA(A766:F766)=0,"",COUNTIFS('App Data'!$L$2:$L$1001,SUBSTITUTE(SUBSTITUTE(SUBSTITUTE(L766,"~","~~"),"*","~*"),"?","~?")))</x:f>
      </x:c>
      <x:c r="I766" s="13" t="str">
        <x:f>IF(OR(H766&lt;&gt;1,G766&lt;&gt;1),"",SUMIFS('App Data'!$E$2:$E$1001,'App Data'!$L$2:$L$1001,SUBSTITUTE(SUBSTITUTE(SUBSTITUTE(L766,"~","~~"),"*","~*"),"?","~?")))</x:f>
      </x:c>
      <x:c r="J766" s="13" t="str">
        <x:f>IF(OR(NOT(ISNUMBER(E766)),NOT(ISNUMBER(I766))),"",ROUND(E766-I766,2))</x:f>
      </x:c>
      <x:c r="K766" s="2" t="str">
        <x:f>IF(COUNTA(A766:F766)=0,"",IF(OR(A766="",B766="",C766="",D766="",NOT(ISNUMBER(E766))),"Missing / invalid input",IF(G766&gt;1,"Duplicate key in this source",IF(H766=0,"Missing in other source",IF(H766&gt;1,"Duplicate in other source",IF(SUMIFS('App Data'!$M$2:$M$1001,'App Data'!$L$2:$L$1001,SUBSTITUTE(SUBSTITUTE(SUBSTITUTE(L766,"~","~~"),"*","~*"),"?","~?"))&lt;&gt;1,"Other amount is invalid",IF(J766&lt;&gt;0,"Amount differs","Matched")))))))</x:f>
      </x:c>
      <x:c r="L766" t="str">
        <x:f>IF(COUNTA(A766:F766)=0,"",LEN(A766)&amp;":"&amp;A766&amp;LEN(B766)&amp;":"&amp;B766&amp;LEN(C766)&amp;":"&amp;C766&amp;LEN(D766)&amp;":"&amp;D766)</x:f>
      </x:c>
      <x:c r="M766" t="str">
        <x:f>IF(COUNTA(A766:F766)=0,"",IF(ISNUMBER(E766),1,0))</x:f>
      </x:c>
    </x:row>
    <x:row r="767">
      <x:c r="A767" s="11"/>
      <x:c r="B767" s="11"/>
      <x:c r="C767" s="11"/>
      <x:c r="D767" s="11"/>
      <x:c r="E767" s="12"/>
      <x:c r="F767" s="10"/>
      <x:c r="G767" s="2" t="str">
        <x:f>IF(COUNTA(A767:F767)=0,"",COUNTIFS('External Data'!$L$2:$L$1001,SUBSTITUTE(SUBSTITUTE(SUBSTITUTE(L767,"~","~~"),"*","~*"),"?","~?")))</x:f>
      </x:c>
      <x:c r="H767" s="2" t="str">
        <x:f>IF(COUNTA(A767:F767)=0,"",COUNTIFS('App Data'!$L$2:$L$1001,SUBSTITUTE(SUBSTITUTE(SUBSTITUTE(L767,"~","~~"),"*","~*"),"?","~?")))</x:f>
      </x:c>
      <x:c r="I767" s="13" t="str">
        <x:f>IF(OR(H767&lt;&gt;1,G767&lt;&gt;1),"",SUMIFS('App Data'!$E$2:$E$1001,'App Data'!$L$2:$L$1001,SUBSTITUTE(SUBSTITUTE(SUBSTITUTE(L767,"~","~~"),"*","~*"),"?","~?")))</x:f>
      </x:c>
      <x:c r="J767" s="13" t="str">
        <x:f>IF(OR(NOT(ISNUMBER(E767)),NOT(ISNUMBER(I767))),"",ROUND(E767-I767,2))</x:f>
      </x:c>
      <x:c r="K767" s="2" t="str">
        <x:f>IF(COUNTA(A767:F767)=0,"",IF(OR(A767="",B767="",C767="",D767="",NOT(ISNUMBER(E767))),"Missing / invalid input",IF(G767&gt;1,"Duplicate key in this source",IF(H767=0,"Missing in other source",IF(H767&gt;1,"Duplicate in other source",IF(SUMIFS('App Data'!$M$2:$M$1001,'App Data'!$L$2:$L$1001,SUBSTITUTE(SUBSTITUTE(SUBSTITUTE(L767,"~","~~"),"*","~*"),"?","~?"))&lt;&gt;1,"Other amount is invalid",IF(J767&lt;&gt;0,"Amount differs","Matched")))))))</x:f>
      </x:c>
      <x:c r="L767" t="str">
        <x:f>IF(COUNTA(A767:F767)=0,"",LEN(A767)&amp;":"&amp;A767&amp;LEN(B767)&amp;":"&amp;B767&amp;LEN(C767)&amp;":"&amp;C767&amp;LEN(D767)&amp;":"&amp;D767)</x:f>
      </x:c>
      <x:c r="M767" t="str">
        <x:f>IF(COUNTA(A767:F767)=0,"",IF(ISNUMBER(E767),1,0))</x:f>
      </x:c>
    </x:row>
    <x:row r="768">
      <x:c r="A768" s="11"/>
      <x:c r="B768" s="11"/>
      <x:c r="C768" s="11"/>
      <x:c r="D768" s="11"/>
      <x:c r="E768" s="12"/>
      <x:c r="F768" s="10"/>
      <x:c r="G768" s="2" t="str">
        <x:f>IF(COUNTA(A768:F768)=0,"",COUNTIFS('External Data'!$L$2:$L$1001,SUBSTITUTE(SUBSTITUTE(SUBSTITUTE(L768,"~","~~"),"*","~*"),"?","~?")))</x:f>
      </x:c>
      <x:c r="H768" s="2" t="str">
        <x:f>IF(COUNTA(A768:F768)=0,"",COUNTIFS('App Data'!$L$2:$L$1001,SUBSTITUTE(SUBSTITUTE(SUBSTITUTE(L768,"~","~~"),"*","~*"),"?","~?")))</x:f>
      </x:c>
      <x:c r="I768" s="13" t="str">
        <x:f>IF(OR(H768&lt;&gt;1,G768&lt;&gt;1),"",SUMIFS('App Data'!$E$2:$E$1001,'App Data'!$L$2:$L$1001,SUBSTITUTE(SUBSTITUTE(SUBSTITUTE(L768,"~","~~"),"*","~*"),"?","~?")))</x:f>
      </x:c>
      <x:c r="J768" s="13" t="str">
        <x:f>IF(OR(NOT(ISNUMBER(E768)),NOT(ISNUMBER(I768))),"",ROUND(E768-I768,2))</x:f>
      </x:c>
      <x:c r="K768" s="2" t="str">
        <x:f>IF(COUNTA(A768:F768)=0,"",IF(OR(A768="",B768="",C768="",D768="",NOT(ISNUMBER(E768))),"Missing / invalid input",IF(G768&gt;1,"Duplicate key in this source",IF(H768=0,"Missing in other source",IF(H768&gt;1,"Duplicate in other source",IF(SUMIFS('App Data'!$M$2:$M$1001,'App Data'!$L$2:$L$1001,SUBSTITUTE(SUBSTITUTE(SUBSTITUTE(L768,"~","~~"),"*","~*"),"?","~?"))&lt;&gt;1,"Other amount is invalid",IF(J768&lt;&gt;0,"Amount differs","Matched")))))))</x:f>
      </x:c>
      <x:c r="L768" t="str">
        <x:f>IF(COUNTA(A768:F768)=0,"",LEN(A768)&amp;":"&amp;A768&amp;LEN(B768)&amp;":"&amp;B768&amp;LEN(C768)&amp;":"&amp;C768&amp;LEN(D768)&amp;":"&amp;D768)</x:f>
      </x:c>
      <x:c r="M768" t="str">
        <x:f>IF(COUNTA(A768:F768)=0,"",IF(ISNUMBER(E768),1,0))</x:f>
      </x:c>
    </x:row>
    <x:row r="769">
      <x:c r="A769" s="11"/>
      <x:c r="B769" s="11"/>
      <x:c r="C769" s="11"/>
      <x:c r="D769" s="11"/>
      <x:c r="E769" s="12"/>
      <x:c r="F769" s="10"/>
      <x:c r="G769" s="2" t="str">
        <x:f>IF(COUNTA(A769:F769)=0,"",COUNTIFS('External Data'!$L$2:$L$1001,SUBSTITUTE(SUBSTITUTE(SUBSTITUTE(L769,"~","~~"),"*","~*"),"?","~?")))</x:f>
      </x:c>
      <x:c r="H769" s="2" t="str">
        <x:f>IF(COUNTA(A769:F769)=0,"",COUNTIFS('App Data'!$L$2:$L$1001,SUBSTITUTE(SUBSTITUTE(SUBSTITUTE(L769,"~","~~"),"*","~*"),"?","~?")))</x:f>
      </x:c>
      <x:c r="I769" s="13" t="str">
        <x:f>IF(OR(H769&lt;&gt;1,G769&lt;&gt;1),"",SUMIFS('App Data'!$E$2:$E$1001,'App Data'!$L$2:$L$1001,SUBSTITUTE(SUBSTITUTE(SUBSTITUTE(L769,"~","~~"),"*","~*"),"?","~?")))</x:f>
      </x:c>
      <x:c r="J769" s="13" t="str">
        <x:f>IF(OR(NOT(ISNUMBER(E769)),NOT(ISNUMBER(I769))),"",ROUND(E769-I769,2))</x:f>
      </x:c>
      <x:c r="K769" s="2" t="str">
        <x:f>IF(COUNTA(A769:F769)=0,"",IF(OR(A769="",B769="",C769="",D769="",NOT(ISNUMBER(E769))),"Missing / invalid input",IF(G769&gt;1,"Duplicate key in this source",IF(H769=0,"Missing in other source",IF(H769&gt;1,"Duplicate in other source",IF(SUMIFS('App Data'!$M$2:$M$1001,'App Data'!$L$2:$L$1001,SUBSTITUTE(SUBSTITUTE(SUBSTITUTE(L769,"~","~~"),"*","~*"),"?","~?"))&lt;&gt;1,"Other amount is invalid",IF(J769&lt;&gt;0,"Amount differs","Matched")))))))</x:f>
      </x:c>
      <x:c r="L769" t="str">
        <x:f>IF(COUNTA(A769:F769)=0,"",LEN(A769)&amp;":"&amp;A769&amp;LEN(B769)&amp;":"&amp;B769&amp;LEN(C769)&amp;":"&amp;C769&amp;LEN(D769)&amp;":"&amp;D769)</x:f>
      </x:c>
      <x:c r="M769" t="str">
        <x:f>IF(COUNTA(A769:F769)=0,"",IF(ISNUMBER(E769),1,0))</x:f>
      </x:c>
    </x:row>
    <x:row r="770">
      <x:c r="A770" s="11"/>
      <x:c r="B770" s="11"/>
      <x:c r="C770" s="11"/>
      <x:c r="D770" s="11"/>
      <x:c r="E770" s="12"/>
      <x:c r="F770" s="10"/>
      <x:c r="G770" s="2" t="str">
        <x:f>IF(COUNTA(A770:F770)=0,"",COUNTIFS('External Data'!$L$2:$L$1001,SUBSTITUTE(SUBSTITUTE(SUBSTITUTE(L770,"~","~~"),"*","~*"),"?","~?")))</x:f>
      </x:c>
      <x:c r="H770" s="2" t="str">
        <x:f>IF(COUNTA(A770:F770)=0,"",COUNTIFS('App Data'!$L$2:$L$1001,SUBSTITUTE(SUBSTITUTE(SUBSTITUTE(L770,"~","~~"),"*","~*"),"?","~?")))</x:f>
      </x:c>
      <x:c r="I770" s="13" t="str">
        <x:f>IF(OR(H770&lt;&gt;1,G770&lt;&gt;1),"",SUMIFS('App Data'!$E$2:$E$1001,'App Data'!$L$2:$L$1001,SUBSTITUTE(SUBSTITUTE(SUBSTITUTE(L770,"~","~~"),"*","~*"),"?","~?")))</x:f>
      </x:c>
      <x:c r="J770" s="13" t="str">
        <x:f>IF(OR(NOT(ISNUMBER(E770)),NOT(ISNUMBER(I770))),"",ROUND(E770-I770,2))</x:f>
      </x:c>
      <x:c r="K770" s="2" t="str">
        <x:f>IF(COUNTA(A770:F770)=0,"",IF(OR(A770="",B770="",C770="",D770="",NOT(ISNUMBER(E770))),"Missing / invalid input",IF(G770&gt;1,"Duplicate key in this source",IF(H770=0,"Missing in other source",IF(H770&gt;1,"Duplicate in other source",IF(SUMIFS('App Data'!$M$2:$M$1001,'App Data'!$L$2:$L$1001,SUBSTITUTE(SUBSTITUTE(SUBSTITUTE(L770,"~","~~"),"*","~*"),"?","~?"))&lt;&gt;1,"Other amount is invalid",IF(J770&lt;&gt;0,"Amount differs","Matched")))))))</x:f>
      </x:c>
      <x:c r="L770" t="str">
        <x:f>IF(COUNTA(A770:F770)=0,"",LEN(A770)&amp;":"&amp;A770&amp;LEN(B770)&amp;":"&amp;B770&amp;LEN(C770)&amp;":"&amp;C770&amp;LEN(D770)&amp;":"&amp;D770)</x:f>
      </x:c>
      <x:c r="M770" t="str">
        <x:f>IF(COUNTA(A770:F770)=0,"",IF(ISNUMBER(E770),1,0))</x:f>
      </x:c>
    </x:row>
    <x:row r="771">
      <x:c r="A771" s="11"/>
      <x:c r="B771" s="11"/>
      <x:c r="C771" s="11"/>
      <x:c r="D771" s="11"/>
      <x:c r="E771" s="12"/>
      <x:c r="F771" s="10"/>
      <x:c r="G771" s="2" t="str">
        <x:f>IF(COUNTA(A771:F771)=0,"",COUNTIFS('External Data'!$L$2:$L$1001,SUBSTITUTE(SUBSTITUTE(SUBSTITUTE(L771,"~","~~"),"*","~*"),"?","~?")))</x:f>
      </x:c>
      <x:c r="H771" s="2" t="str">
        <x:f>IF(COUNTA(A771:F771)=0,"",COUNTIFS('App Data'!$L$2:$L$1001,SUBSTITUTE(SUBSTITUTE(SUBSTITUTE(L771,"~","~~"),"*","~*"),"?","~?")))</x:f>
      </x:c>
      <x:c r="I771" s="13" t="str">
        <x:f>IF(OR(H771&lt;&gt;1,G771&lt;&gt;1),"",SUMIFS('App Data'!$E$2:$E$1001,'App Data'!$L$2:$L$1001,SUBSTITUTE(SUBSTITUTE(SUBSTITUTE(L771,"~","~~"),"*","~*"),"?","~?")))</x:f>
      </x:c>
      <x:c r="J771" s="13" t="str">
        <x:f>IF(OR(NOT(ISNUMBER(E771)),NOT(ISNUMBER(I771))),"",ROUND(E771-I771,2))</x:f>
      </x:c>
      <x:c r="K771" s="2" t="str">
        <x:f>IF(COUNTA(A771:F771)=0,"",IF(OR(A771="",B771="",C771="",D771="",NOT(ISNUMBER(E771))),"Missing / invalid input",IF(G771&gt;1,"Duplicate key in this source",IF(H771=0,"Missing in other source",IF(H771&gt;1,"Duplicate in other source",IF(SUMIFS('App Data'!$M$2:$M$1001,'App Data'!$L$2:$L$1001,SUBSTITUTE(SUBSTITUTE(SUBSTITUTE(L771,"~","~~"),"*","~*"),"?","~?"))&lt;&gt;1,"Other amount is invalid",IF(J771&lt;&gt;0,"Amount differs","Matched")))))))</x:f>
      </x:c>
      <x:c r="L771" t="str">
        <x:f>IF(COUNTA(A771:F771)=0,"",LEN(A771)&amp;":"&amp;A771&amp;LEN(B771)&amp;":"&amp;B771&amp;LEN(C771)&amp;":"&amp;C771&amp;LEN(D771)&amp;":"&amp;D771)</x:f>
      </x:c>
      <x:c r="M771" t="str">
        <x:f>IF(COUNTA(A771:F771)=0,"",IF(ISNUMBER(E771),1,0))</x:f>
      </x:c>
    </x:row>
    <x:row r="772">
      <x:c r="A772" s="11"/>
      <x:c r="B772" s="11"/>
      <x:c r="C772" s="11"/>
      <x:c r="D772" s="11"/>
      <x:c r="E772" s="12"/>
      <x:c r="F772" s="10"/>
      <x:c r="G772" s="2" t="str">
        <x:f>IF(COUNTA(A772:F772)=0,"",COUNTIFS('External Data'!$L$2:$L$1001,SUBSTITUTE(SUBSTITUTE(SUBSTITUTE(L772,"~","~~"),"*","~*"),"?","~?")))</x:f>
      </x:c>
      <x:c r="H772" s="2" t="str">
        <x:f>IF(COUNTA(A772:F772)=0,"",COUNTIFS('App Data'!$L$2:$L$1001,SUBSTITUTE(SUBSTITUTE(SUBSTITUTE(L772,"~","~~"),"*","~*"),"?","~?")))</x:f>
      </x:c>
      <x:c r="I772" s="13" t="str">
        <x:f>IF(OR(H772&lt;&gt;1,G772&lt;&gt;1),"",SUMIFS('App Data'!$E$2:$E$1001,'App Data'!$L$2:$L$1001,SUBSTITUTE(SUBSTITUTE(SUBSTITUTE(L772,"~","~~"),"*","~*"),"?","~?")))</x:f>
      </x:c>
      <x:c r="J772" s="13" t="str">
        <x:f>IF(OR(NOT(ISNUMBER(E772)),NOT(ISNUMBER(I772))),"",ROUND(E772-I772,2))</x:f>
      </x:c>
      <x:c r="K772" s="2" t="str">
        <x:f>IF(COUNTA(A772:F772)=0,"",IF(OR(A772="",B772="",C772="",D772="",NOT(ISNUMBER(E772))),"Missing / invalid input",IF(G772&gt;1,"Duplicate key in this source",IF(H772=0,"Missing in other source",IF(H772&gt;1,"Duplicate in other source",IF(SUMIFS('App Data'!$M$2:$M$1001,'App Data'!$L$2:$L$1001,SUBSTITUTE(SUBSTITUTE(SUBSTITUTE(L772,"~","~~"),"*","~*"),"?","~?"))&lt;&gt;1,"Other amount is invalid",IF(J772&lt;&gt;0,"Amount differs","Matched")))))))</x:f>
      </x:c>
      <x:c r="L772" t="str">
        <x:f>IF(COUNTA(A772:F772)=0,"",LEN(A772)&amp;":"&amp;A772&amp;LEN(B772)&amp;":"&amp;B772&amp;LEN(C772)&amp;":"&amp;C772&amp;LEN(D772)&amp;":"&amp;D772)</x:f>
      </x:c>
      <x:c r="M772" t="str">
        <x:f>IF(COUNTA(A772:F772)=0,"",IF(ISNUMBER(E772),1,0))</x:f>
      </x:c>
    </x:row>
    <x:row r="773">
      <x:c r="A773" s="11"/>
      <x:c r="B773" s="11"/>
      <x:c r="C773" s="11"/>
      <x:c r="D773" s="11"/>
      <x:c r="E773" s="12"/>
      <x:c r="F773" s="10"/>
      <x:c r="G773" s="2" t="str">
        <x:f>IF(COUNTA(A773:F773)=0,"",COUNTIFS('External Data'!$L$2:$L$1001,SUBSTITUTE(SUBSTITUTE(SUBSTITUTE(L773,"~","~~"),"*","~*"),"?","~?")))</x:f>
      </x:c>
      <x:c r="H773" s="2" t="str">
        <x:f>IF(COUNTA(A773:F773)=0,"",COUNTIFS('App Data'!$L$2:$L$1001,SUBSTITUTE(SUBSTITUTE(SUBSTITUTE(L773,"~","~~"),"*","~*"),"?","~?")))</x:f>
      </x:c>
      <x:c r="I773" s="13" t="str">
        <x:f>IF(OR(H773&lt;&gt;1,G773&lt;&gt;1),"",SUMIFS('App Data'!$E$2:$E$1001,'App Data'!$L$2:$L$1001,SUBSTITUTE(SUBSTITUTE(SUBSTITUTE(L773,"~","~~"),"*","~*"),"?","~?")))</x:f>
      </x:c>
      <x:c r="J773" s="13" t="str">
        <x:f>IF(OR(NOT(ISNUMBER(E773)),NOT(ISNUMBER(I773))),"",ROUND(E773-I773,2))</x:f>
      </x:c>
      <x:c r="K773" s="2" t="str">
        <x:f>IF(COUNTA(A773:F773)=0,"",IF(OR(A773="",B773="",C773="",D773="",NOT(ISNUMBER(E773))),"Missing / invalid input",IF(G773&gt;1,"Duplicate key in this source",IF(H773=0,"Missing in other source",IF(H773&gt;1,"Duplicate in other source",IF(SUMIFS('App Data'!$M$2:$M$1001,'App Data'!$L$2:$L$1001,SUBSTITUTE(SUBSTITUTE(SUBSTITUTE(L773,"~","~~"),"*","~*"),"?","~?"))&lt;&gt;1,"Other amount is invalid",IF(J773&lt;&gt;0,"Amount differs","Matched")))))))</x:f>
      </x:c>
      <x:c r="L773" t="str">
        <x:f>IF(COUNTA(A773:F773)=0,"",LEN(A773)&amp;":"&amp;A773&amp;LEN(B773)&amp;":"&amp;B773&amp;LEN(C773)&amp;":"&amp;C773&amp;LEN(D773)&amp;":"&amp;D773)</x:f>
      </x:c>
      <x:c r="M773" t="str">
        <x:f>IF(COUNTA(A773:F773)=0,"",IF(ISNUMBER(E773),1,0))</x:f>
      </x:c>
    </x:row>
    <x:row r="774">
      <x:c r="A774" s="11"/>
      <x:c r="B774" s="11"/>
      <x:c r="C774" s="11"/>
      <x:c r="D774" s="11"/>
      <x:c r="E774" s="12"/>
      <x:c r="F774" s="10"/>
      <x:c r="G774" s="2" t="str">
        <x:f>IF(COUNTA(A774:F774)=0,"",COUNTIFS('External Data'!$L$2:$L$1001,SUBSTITUTE(SUBSTITUTE(SUBSTITUTE(L774,"~","~~"),"*","~*"),"?","~?")))</x:f>
      </x:c>
      <x:c r="H774" s="2" t="str">
        <x:f>IF(COUNTA(A774:F774)=0,"",COUNTIFS('App Data'!$L$2:$L$1001,SUBSTITUTE(SUBSTITUTE(SUBSTITUTE(L774,"~","~~"),"*","~*"),"?","~?")))</x:f>
      </x:c>
      <x:c r="I774" s="13" t="str">
        <x:f>IF(OR(H774&lt;&gt;1,G774&lt;&gt;1),"",SUMIFS('App Data'!$E$2:$E$1001,'App Data'!$L$2:$L$1001,SUBSTITUTE(SUBSTITUTE(SUBSTITUTE(L774,"~","~~"),"*","~*"),"?","~?")))</x:f>
      </x:c>
      <x:c r="J774" s="13" t="str">
        <x:f>IF(OR(NOT(ISNUMBER(E774)),NOT(ISNUMBER(I774))),"",ROUND(E774-I774,2))</x:f>
      </x:c>
      <x:c r="K774" s="2" t="str">
        <x:f>IF(COUNTA(A774:F774)=0,"",IF(OR(A774="",B774="",C774="",D774="",NOT(ISNUMBER(E774))),"Missing / invalid input",IF(G774&gt;1,"Duplicate key in this source",IF(H774=0,"Missing in other source",IF(H774&gt;1,"Duplicate in other source",IF(SUMIFS('App Data'!$M$2:$M$1001,'App Data'!$L$2:$L$1001,SUBSTITUTE(SUBSTITUTE(SUBSTITUTE(L774,"~","~~"),"*","~*"),"?","~?"))&lt;&gt;1,"Other amount is invalid",IF(J774&lt;&gt;0,"Amount differs","Matched")))))))</x:f>
      </x:c>
      <x:c r="L774" t="str">
        <x:f>IF(COUNTA(A774:F774)=0,"",LEN(A774)&amp;":"&amp;A774&amp;LEN(B774)&amp;":"&amp;B774&amp;LEN(C774)&amp;":"&amp;C774&amp;LEN(D774)&amp;":"&amp;D774)</x:f>
      </x:c>
      <x:c r="M774" t="str">
        <x:f>IF(COUNTA(A774:F774)=0,"",IF(ISNUMBER(E774),1,0))</x:f>
      </x:c>
    </x:row>
    <x:row r="775">
      <x:c r="A775" s="11"/>
      <x:c r="B775" s="11"/>
      <x:c r="C775" s="11"/>
      <x:c r="D775" s="11"/>
      <x:c r="E775" s="12"/>
      <x:c r="F775" s="10"/>
      <x:c r="G775" s="2" t="str">
        <x:f>IF(COUNTA(A775:F775)=0,"",COUNTIFS('External Data'!$L$2:$L$1001,SUBSTITUTE(SUBSTITUTE(SUBSTITUTE(L775,"~","~~"),"*","~*"),"?","~?")))</x:f>
      </x:c>
      <x:c r="H775" s="2" t="str">
        <x:f>IF(COUNTA(A775:F775)=0,"",COUNTIFS('App Data'!$L$2:$L$1001,SUBSTITUTE(SUBSTITUTE(SUBSTITUTE(L775,"~","~~"),"*","~*"),"?","~?")))</x:f>
      </x:c>
      <x:c r="I775" s="13" t="str">
        <x:f>IF(OR(H775&lt;&gt;1,G775&lt;&gt;1),"",SUMIFS('App Data'!$E$2:$E$1001,'App Data'!$L$2:$L$1001,SUBSTITUTE(SUBSTITUTE(SUBSTITUTE(L775,"~","~~"),"*","~*"),"?","~?")))</x:f>
      </x:c>
      <x:c r="J775" s="13" t="str">
        <x:f>IF(OR(NOT(ISNUMBER(E775)),NOT(ISNUMBER(I775))),"",ROUND(E775-I775,2))</x:f>
      </x:c>
      <x:c r="K775" s="2" t="str">
        <x:f>IF(COUNTA(A775:F775)=0,"",IF(OR(A775="",B775="",C775="",D775="",NOT(ISNUMBER(E775))),"Missing / invalid input",IF(G775&gt;1,"Duplicate key in this source",IF(H775=0,"Missing in other source",IF(H775&gt;1,"Duplicate in other source",IF(SUMIFS('App Data'!$M$2:$M$1001,'App Data'!$L$2:$L$1001,SUBSTITUTE(SUBSTITUTE(SUBSTITUTE(L775,"~","~~"),"*","~*"),"?","~?"))&lt;&gt;1,"Other amount is invalid",IF(J775&lt;&gt;0,"Amount differs","Matched")))))))</x:f>
      </x:c>
      <x:c r="L775" t="str">
        <x:f>IF(COUNTA(A775:F775)=0,"",LEN(A775)&amp;":"&amp;A775&amp;LEN(B775)&amp;":"&amp;B775&amp;LEN(C775)&amp;":"&amp;C775&amp;LEN(D775)&amp;":"&amp;D775)</x:f>
      </x:c>
      <x:c r="M775" t="str">
        <x:f>IF(COUNTA(A775:F775)=0,"",IF(ISNUMBER(E775),1,0))</x:f>
      </x:c>
    </x:row>
    <x:row r="776">
      <x:c r="A776" s="11"/>
      <x:c r="B776" s="11"/>
      <x:c r="C776" s="11"/>
      <x:c r="D776" s="11"/>
      <x:c r="E776" s="12"/>
      <x:c r="F776" s="10"/>
      <x:c r="G776" s="2" t="str">
        <x:f>IF(COUNTA(A776:F776)=0,"",COUNTIFS('External Data'!$L$2:$L$1001,SUBSTITUTE(SUBSTITUTE(SUBSTITUTE(L776,"~","~~"),"*","~*"),"?","~?")))</x:f>
      </x:c>
      <x:c r="H776" s="2" t="str">
        <x:f>IF(COUNTA(A776:F776)=0,"",COUNTIFS('App Data'!$L$2:$L$1001,SUBSTITUTE(SUBSTITUTE(SUBSTITUTE(L776,"~","~~"),"*","~*"),"?","~?")))</x:f>
      </x:c>
      <x:c r="I776" s="13" t="str">
        <x:f>IF(OR(H776&lt;&gt;1,G776&lt;&gt;1),"",SUMIFS('App Data'!$E$2:$E$1001,'App Data'!$L$2:$L$1001,SUBSTITUTE(SUBSTITUTE(SUBSTITUTE(L776,"~","~~"),"*","~*"),"?","~?")))</x:f>
      </x:c>
      <x:c r="J776" s="13" t="str">
        <x:f>IF(OR(NOT(ISNUMBER(E776)),NOT(ISNUMBER(I776))),"",ROUND(E776-I776,2))</x:f>
      </x:c>
      <x:c r="K776" s="2" t="str">
        <x:f>IF(COUNTA(A776:F776)=0,"",IF(OR(A776="",B776="",C776="",D776="",NOT(ISNUMBER(E776))),"Missing / invalid input",IF(G776&gt;1,"Duplicate key in this source",IF(H776=0,"Missing in other source",IF(H776&gt;1,"Duplicate in other source",IF(SUMIFS('App Data'!$M$2:$M$1001,'App Data'!$L$2:$L$1001,SUBSTITUTE(SUBSTITUTE(SUBSTITUTE(L776,"~","~~"),"*","~*"),"?","~?"))&lt;&gt;1,"Other amount is invalid",IF(J776&lt;&gt;0,"Amount differs","Matched")))))))</x:f>
      </x:c>
      <x:c r="L776" t="str">
        <x:f>IF(COUNTA(A776:F776)=0,"",LEN(A776)&amp;":"&amp;A776&amp;LEN(B776)&amp;":"&amp;B776&amp;LEN(C776)&amp;":"&amp;C776&amp;LEN(D776)&amp;":"&amp;D776)</x:f>
      </x:c>
      <x:c r="M776" t="str">
        <x:f>IF(COUNTA(A776:F776)=0,"",IF(ISNUMBER(E776),1,0))</x:f>
      </x:c>
    </x:row>
    <x:row r="777">
      <x:c r="A777" s="11"/>
      <x:c r="B777" s="11"/>
      <x:c r="C777" s="11"/>
      <x:c r="D777" s="11"/>
      <x:c r="E777" s="12"/>
      <x:c r="F777" s="10"/>
      <x:c r="G777" s="2" t="str">
        <x:f>IF(COUNTA(A777:F777)=0,"",COUNTIFS('External Data'!$L$2:$L$1001,SUBSTITUTE(SUBSTITUTE(SUBSTITUTE(L777,"~","~~"),"*","~*"),"?","~?")))</x:f>
      </x:c>
      <x:c r="H777" s="2" t="str">
        <x:f>IF(COUNTA(A777:F777)=0,"",COUNTIFS('App Data'!$L$2:$L$1001,SUBSTITUTE(SUBSTITUTE(SUBSTITUTE(L777,"~","~~"),"*","~*"),"?","~?")))</x:f>
      </x:c>
      <x:c r="I777" s="13" t="str">
        <x:f>IF(OR(H777&lt;&gt;1,G777&lt;&gt;1),"",SUMIFS('App Data'!$E$2:$E$1001,'App Data'!$L$2:$L$1001,SUBSTITUTE(SUBSTITUTE(SUBSTITUTE(L777,"~","~~"),"*","~*"),"?","~?")))</x:f>
      </x:c>
      <x:c r="J777" s="13" t="str">
        <x:f>IF(OR(NOT(ISNUMBER(E777)),NOT(ISNUMBER(I777))),"",ROUND(E777-I777,2))</x:f>
      </x:c>
      <x:c r="K777" s="2" t="str">
        <x:f>IF(COUNTA(A777:F777)=0,"",IF(OR(A777="",B777="",C777="",D777="",NOT(ISNUMBER(E777))),"Missing / invalid input",IF(G777&gt;1,"Duplicate key in this source",IF(H777=0,"Missing in other source",IF(H777&gt;1,"Duplicate in other source",IF(SUMIFS('App Data'!$M$2:$M$1001,'App Data'!$L$2:$L$1001,SUBSTITUTE(SUBSTITUTE(SUBSTITUTE(L777,"~","~~"),"*","~*"),"?","~?"))&lt;&gt;1,"Other amount is invalid",IF(J777&lt;&gt;0,"Amount differs","Matched")))))))</x:f>
      </x:c>
      <x:c r="L777" t="str">
        <x:f>IF(COUNTA(A777:F777)=0,"",LEN(A777)&amp;":"&amp;A777&amp;LEN(B777)&amp;":"&amp;B777&amp;LEN(C777)&amp;":"&amp;C777&amp;LEN(D777)&amp;":"&amp;D777)</x:f>
      </x:c>
      <x:c r="M777" t="str">
        <x:f>IF(COUNTA(A777:F777)=0,"",IF(ISNUMBER(E777),1,0))</x:f>
      </x:c>
    </x:row>
    <x:row r="778">
      <x:c r="A778" s="11"/>
      <x:c r="B778" s="11"/>
      <x:c r="C778" s="11"/>
      <x:c r="D778" s="11"/>
      <x:c r="E778" s="12"/>
      <x:c r="F778" s="10"/>
      <x:c r="G778" s="2" t="str">
        <x:f>IF(COUNTA(A778:F778)=0,"",COUNTIFS('External Data'!$L$2:$L$1001,SUBSTITUTE(SUBSTITUTE(SUBSTITUTE(L778,"~","~~"),"*","~*"),"?","~?")))</x:f>
      </x:c>
      <x:c r="H778" s="2" t="str">
        <x:f>IF(COUNTA(A778:F778)=0,"",COUNTIFS('App Data'!$L$2:$L$1001,SUBSTITUTE(SUBSTITUTE(SUBSTITUTE(L778,"~","~~"),"*","~*"),"?","~?")))</x:f>
      </x:c>
      <x:c r="I778" s="13" t="str">
        <x:f>IF(OR(H778&lt;&gt;1,G778&lt;&gt;1),"",SUMIFS('App Data'!$E$2:$E$1001,'App Data'!$L$2:$L$1001,SUBSTITUTE(SUBSTITUTE(SUBSTITUTE(L778,"~","~~"),"*","~*"),"?","~?")))</x:f>
      </x:c>
      <x:c r="J778" s="13" t="str">
        <x:f>IF(OR(NOT(ISNUMBER(E778)),NOT(ISNUMBER(I778))),"",ROUND(E778-I778,2))</x:f>
      </x:c>
      <x:c r="K778" s="2" t="str">
        <x:f>IF(COUNTA(A778:F778)=0,"",IF(OR(A778="",B778="",C778="",D778="",NOT(ISNUMBER(E778))),"Missing / invalid input",IF(G778&gt;1,"Duplicate key in this source",IF(H778=0,"Missing in other source",IF(H778&gt;1,"Duplicate in other source",IF(SUMIFS('App Data'!$M$2:$M$1001,'App Data'!$L$2:$L$1001,SUBSTITUTE(SUBSTITUTE(SUBSTITUTE(L778,"~","~~"),"*","~*"),"?","~?"))&lt;&gt;1,"Other amount is invalid",IF(J778&lt;&gt;0,"Amount differs","Matched")))))))</x:f>
      </x:c>
      <x:c r="L778" t="str">
        <x:f>IF(COUNTA(A778:F778)=0,"",LEN(A778)&amp;":"&amp;A778&amp;LEN(B778)&amp;":"&amp;B778&amp;LEN(C778)&amp;":"&amp;C778&amp;LEN(D778)&amp;":"&amp;D778)</x:f>
      </x:c>
      <x:c r="M778" t="str">
        <x:f>IF(COUNTA(A778:F778)=0,"",IF(ISNUMBER(E778),1,0))</x:f>
      </x:c>
    </x:row>
    <x:row r="779">
      <x:c r="A779" s="11"/>
      <x:c r="B779" s="11"/>
      <x:c r="C779" s="11"/>
      <x:c r="D779" s="11"/>
      <x:c r="E779" s="12"/>
      <x:c r="F779" s="10"/>
      <x:c r="G779" s="2" t="str">
        <x:f>IF(COUNTA(A779:F779)=0,"",COUNTIFS('External Data'!$L$2:$L$1001,SUBSTITUTE(SUBSTITUTE(SUBSTITUTE(L779,"~","~~"),"*","~*"),"?","~?")))</x:f>
      </x:c>
      <x:c r="H779" s="2" t="str">
        <x:f>IF(COUNTA(A779:F779)=0,"",COUNTIFS('App Data'!$L$2:$L$1001,SUBSTITUTE(SUBSTITUTE(SUBSTITUTE(L779,"~","~~"),"*","~*"),"?","~?")))</x:f>
      </x:c>
      <x:c r="I779" s="13" t="str">
        <x:f>IF(OR(H779&lt;&gt;1,G779&lt;&gt;1),"",SUMIFS('App Data'!$E$2:$E$1001,'App Data'!$L$2:$L$1001,SUBSTITUTE(SUBSTITUTE(SUBSTITUTE(L779,"~","~~"),"*","~*"),"?","~?")))</x:f>
      </x:c>
      <x:c r="J779" s="13" t="str">
        <x:f>IF(OR(NOT(ISNUMBER(E779)),NOT(ISNUMBER(I779))),"",ROUND(E779-I779,2))</x:f>
      </x:c>
      <x:c r="K779" s="2" t="str">
        <x:f>IF(COUNTA(A779:F779)=0,"",IF(OR(A779="",B779="",C779="",D779="",NOT(ISNUMBER(E779))),"Missing / invalid input",IF(G779&gt;1,"Duplicate key in this source",IF(H779=0,"Missing in other source",IF(H779&gt;1,"Duplicate in other source",IF(SUMIFS('App Data'!$M$2:$M$1001,'App Data'!$L$2:$L$1001,SUBSTITUTE(SUBSTITUTE(SUBSTITUTE(L779,"~","~~"),"*","~*"),"?","~?"))&lt;&gt;1,"Other amount is invalid",IF(J779&lt;&gt;0,"Amount differs","Matched")))))))</x:f>
      </x:c>
      <x:c r="L779" t="str">
        <x:f>IF(COUNTA(A779:F779)=0,"",LEN(A779)&amp;":"&amp;A779&amp;LEN(B779)&amp;":"&amp;B779&amp;LEN(C779)&amp;":"&amp;C779&amp;LEN(D779)&amp;":"&amp;D779)</x:f>
      </x:c>
      <x:c r="M779" t="str">
        <x:f>IF(COUNTA(A779:F779)=0,"",IF(ISNUMBER(E779),1,0))</x:f>
      </x:c>
    </x:row>
    <x:row r="780">
      <x:c r="A780" s="11"/>
      <x:c r="B780" s="11"/>
      <x:c r="C780" s="11"/>
      <x:c r="D780" s="11"/>
      <x:c r="E780" s="12"/>
      <x:c r="F780" s="10"/>
      <x:c r="G780" s="2" t="str">
        <x:f>IF(COUNTA(A780:F780)=0,"",COUNTIFS('External Data'!$L$2:$L$1001,SUBSTITUTE(SUBSTITUTE(SUBSTITUTE(L780,"~","~~"),"*","~*"),"?","~?")))</x:f>
      </x:c>
      <x:c r="H780" s="2" t="str">
        <x:f>IF(COUNTA(A780:F780)=0,"",COUNTIFS('App Data'!$L$2:$L$1001,SUBSTITUTE(SUBSTITUTE(SUBSTITUTE(L780,"~","~~"),"*","~*"),"?","~?")))</x:f>
      </x:c>
      <x:c r="I780" s="13" t="str">
        <x:f>IF(OR(H780&lt;&gt;1,G780&lt;&gt;1),"",SUMIFS('App Data'!$E$2:$E$1001,'App Data'!$L$2:$L$1001,SUBSTITUTE(SUBSTITUTE(SUBSTITUTE(L780,"~","~~"),"*","~*"),"?","~?")))</x:f>
      </x:c>
      <x:c r="J780" s="13" t="str">
        <x:f>IF(OR(NOT(ISNUMBER(E780)),NOT(ISNUMBER(I780))),"",ROUND(E780-I780,2))</x:f>
      </x:c>
      <x:c r="K780" s="2" t="str">
        <x:f>IF(COUNTA(A780:F780)=0,"",IF(OR(A780="",B780="",C780="",D780="",NOT(ISNUMBER(E780))),"Missing / invalid input",IF(G780&gt;1,"Duplicate key in this source",IF(H780=0,"Missing in other source",IF(H780&gt;1,"Duplicate in other source",IF(SUMIFS('App Data'!$M$2:$M$1001,'App Data'!$L$2:$L$1001,SUBSTITUTE(SUBSTITUTE(SUBSTITUTE(L780,"~","~~"),"*","~*"),"?","~?"))&lt;&gt;1,"Other amount is invalid",IF(J780&lt;&gt;0,"Amount differs","Matched")))))))</x:f>
      </x:c>
      <x:c r="L780" t="str">
        <x:f>IF(COUNTA(A780:F780)=0,"",LEN(A780)&amp;":"&amp;A780&amp;LEN(B780)&amp;":"&amp;B780&amp;LEN(C780)&amp;":"&amp;C780&amp;LEN(D780)&amp;":"&amp;D780)</x:f>
      </x:c>
      <x:c r="M780" t="str">
        <x:f>IF(COUNTA(A780:F780)=0,"",IF(ISNUMBER(E780),1,0))</x:f>
      </x:c>
    </x:row>
    <x:row r="781">
      <x:c r="A781" s="11"/>
      <x:c r="B781" s="11"/>
      <x:c r="C781" s="11"/>
      <x:c r="D781" s="11"/>
      <x:c r="E781" s="12"/>
      <x:c r="F781" s="10"/>
      <x:c r="G781" s="2" t="str">
        <x:f>IF(COUNTA(A781:F781)=0,"",COUNTIFS('External Data'!$L$2:$L$1001,SUBSTITUTE(SUBSTITUTE(SUBSTITUTE(L781,"~","~~"),"*","~*"),"?","~?")))</x:f>
      </x:c>
      <x:c r="H781" s="2" t="str">
        <x:f>IF(COUNTA(A781:F781)=0,"",COUNTIFS('App Data'!$L$2:$L$1001,SUBSTITUTE(SUBSTITUTE(SUBSTITUTE(L781,"~","~~"),"*","~*"),"?","~?")))</x:f>
      </x:c>
      <x:c r="I781" s="13" t="str">
        <x:f>IF(OR(H781&lt;&gt;1,G781&lt;&gt;1),"",SUMIFS('App Data'!$E$2:$E$1001,'App Data'!$L$2:$L$1001,SUBSTITUTE(SUBSTITUTE(SUBSTITUTE(L781,"~","~~"),"*","~*"),"?","~?")))</x:f>
      </x:c>
      <x:c r="J781" s="13" t="str">
        <x:f>IF(OR(NOT(ISNUMBER(E781)),NOT(ISNUMBER(I781))),"",ROUND(E781-I781,2))</x:f>
      </x:c>
      <x:c r="K781" s="2" t="str">
        <x:f>IF(COUNTA(A781:F781)=0,"",IF(OR(A781="",B781="",C781="",D781="",NOT(ISNUMBER(E781))),"Missing / invalid input",IF(G781&gt;1,"Duplicate key in this source",IF(H781=0,"Missing in other source",IF(H781&gt;1,"Duplicate in other source",IF(SUMIFS('App Data'!$M$2:$M$1001,'App Data'!$L$2:$L$1001,SUBSTITUTE(SUBSTITUTE(SUBSTITUTE(L781,"~","~~"),"*","~*"),"?","~?"))&lt;&gt;1,"Other amount is invalid",IF(J781&lt;&gt;0,"Amount differs","Matched")))))))</x:f>
      </x:c>
      <x:c r="L781" t="str">
        <x:f>IF(COUNTA(A781:F781)=0,"",LEN(A781)&amp;":"&amp;A781&amp;LEN(B781)&amp;":"&amp;B781&amp;LEN(C781)&amp;":"&amp;C781&amp;LEN(D781)&amp;":"&amp;D781)</x:f>
      </x:c>
      <x:c r="M781" t="str">
        <x:f>IF(COUNTA(A781:F781)=0,"",IF(ISNUMBER(E781),1,0))</x:f>
      </x:c>
    </x:row>
    <x:row r="782">
      <x:c r="A782" s="11"/>
      <x:c r="B782" s="11"/>
      <x:c r="C782" s="11"/>
      <x:c r="D782" s="11"/>
      <x:c r="E782" s="12"/>
      <x:c r="F782" s="10"/>
      <x:c r="G782" s="2" t="str">
        <x:f>IF(COUNTA(A782:F782)=0,"",COUNTIFS('External Data'!$L$2:$L$1001,SUBSTITUTE(SUBSTITUTE(SUBSTITUTE(L782,"~","~~"),"*","~*"),"?","~?")))</x:f>
      </x:c>
      <x:c r="H782" s="2" t="str">
        <x:f>IF(COUNTA(A782:F782)=0,"",COUNTIFS('App Data'!$L$2:$L$1001,SUBSTITUTE(SUBSTITUTE(SUBSTITUTE(L782,"~","~~"),"*","~*"),"?","~?")))</x:f>
      </x:c>
      <x:c r="I782" s="13" t="str">
        <x:f>IF(OR(H782&lt;&gt;1,G782&lt;&gt;1),"",SUMIFS('App Data'!$E$2:$E$1001,'App Data'!$L$2:$L$1001,SUBSTITUTE(SUBSTITUTE(SUBSTITUTE(L782,"~","~~"),"*","~*"),"?","~?")))</x:f>
      </x:c>
      <x:c r="J782" s="13" t="str">
        <x:f>IF(OR(NOT(ISNUMBER(E782)),NOT(ISNUMBER(I782))),"",ROUND(E782-I782,2))</x:f>
      </x:c>
      <x:c r="K782" s="2" t="str">
        <x:f>IF(COUNTA(A782:F782)=0,"",IF(OR(A782="",B782="",C782="",D782="",NOT(ISNUMBER(E782))),"Missing / invalid input",IF(G782&gt;1,"Duplicate key in this source",IF(H782=0,"Missing in other source",IF(H782&gt;1,"Duplicate in other source",IF(SUMIFS('App Data'!$M$2:$M$1001,'App Data'!$L$2:$L$1001,SUBSTITUTE(SUBSTITUTE(SUBSTITUTE(L782,"~","~~"),"*","~*"),"?","~?"))&lt;&gt;1,"Other amount is invalid",IF(J782&lt;&gt;0,"Amount differs","Matched")))))))</x:f>
      </x:c>
      <x:c r="L782" t="str">
        <x:f>IF(COUNTA(A782:F782)=0,"",LEN(A782)&amp;":"&amp;A782&amp;LEN(B782)&amp;":"&amp;B782&amp;LEN(C782)&amp;":"&amp;C782&amp;LEN(D782)&amp;":"&amp;D782)</x:f>
      </x:c>
      <x:c r="M782" t="str">
        <x:f>IF(COUNTA(A782:F782)=0,"",IF(ISNUMBER(E782),1,0))</x:f>
      </x:c>
    </x:row>
    <x:row r="783">
      <x:c r="A783" s="11"/>
      <x:c r="B783" s="11"/>
      <x:c r="C783" s="11"/>
      <x:c r="D783" s="11"/>
      <x:c r="E783" s="12"/>
      <x:c r="F783" s="10"/>
      <x:c r="G783" s="2" t="str">
        <x:f>IF(COUNTA(A783:F783)=0,"",COUNTIFS('External Data'!$L$2:$L$1001,SUBSTITUTE(SUBSTITUTE(SUBSTITUTE(L783,"~","~~"),"*","~*"),"?","~?")))</x:f>
      </x:c>
      <x:c r="H783" s="2" t="str">
        <x:f>IF(COUNTA(A783:F783)=0,"",COUNTIFS('App Data'!$L$2:$L$1001,SUBSTITUTE(SUBSTITUTE(SUBSTITUTE(L783,"~","~~"),"*","~*"),"?","~?")))</x:f>
      </x:c>
      <x:c r="I783" s="13" t="str">
        <x:f>IF(OR(H783&lt;&gt;1,G783&lt;&gt;1),"",SUMIFS('App Data'!$E$2:$E$1001,'App Data'!$L$2:$L$1001,SUBSTITUTE(SUBSTITUTE(SUBSTITUTE(L783,"~","~~"),"*","~*"),"?","~?")))</x:f>
      </x:c>
      <x:c r="J783" s="13" t="str">
        <x:f>IF(OR(NOT(ISNUMBER(E783)),NOT(ISNUMBER(I783))),"",ROUND(E783-I783,2))</x:f>
      </x:c>
      <x:c r="K783" s="2" t="str">
        <x:f>IF(COUNTA(A783:F783)=0,"",IF(OR(A783="",B783="",C783="",D783="",NOT(ISNUMBER(E783))),"Missing / invalid input",IF(G783&gt;1,"Duplicate key in this source",IF(H783=0,"Missing in other source",IF(H783&gt;1,"Duplicate in other source",IF(SUMIFS('App Data'!$M$2:$M$1001,'App Data'!$L$2:$L$1001,SUBSTITUTE(SUBSTITUTE(SUBSTITUTE(L783,"~","~~"),"*","~*"),"?","~?"))&lt;&gt;1,"Other amount is invalid",IF(J783&lt;&gt;0,"Amount differs","Matched")))))))</x:f>
      </x:c>
      <x:c r="L783" t="str">
        <x:f>IF(COUNTA(A783:F783)=0,"",LEN(A783)&amp;":"&amp;A783&amp;LEN(B783)&amp;":"&amp;B783&amp;LEN(C783)&amp;":"&amp;C783&amp;LEN(D783)&amp;":"&amp;D783)</x:f>
      </x:c>
      <x:c r="M783" t="str">
        <x:f>IF(COUNTA(A783:F783)=0,"",IF(ISNUMBER(E783),1,0))</x:f>
      </x:c>
    </x:row>
    <x:row r="784">
      <x:c r="A784" s="11"/>
      <x:c r="B784" s="11"/>
      <x:c r="C784" s="11"/>
      <x:c r="D784" s="11"/>
      <x:c r="E784" s="12"/>
      <x:c r="F784" s="10"/>
      <x:c r="G784" s="2" t="str">
        <x:f>IF(COUNTA(A784:F784)=0,"",COUNTIFS('External Data'!$L$2:$L$1001,SUBSTITUTE(SUBSTITUTE(SUBSTITUTE(L784,"~","~~"),"*","~*"),"?","~?")))</x:f>
      </x:c>
      <x:c r="H784" s="2" t="str">
        <x:f>IF(COUNTA(A784:F784)=0,"",COUNTIFS('App Data'!$L$2:$L$1001,SUBSTITUTE(SUBSTITUTE(SUBSTITUTE(L784,"~","~~"),"*","~*"),"?","~?")))</x:f>
      </x:c>
      <x:c r="I784" s="13" t="str">
        <x:f>IF(OR(H784&lt;&gt;1,G784&lt;&gt;1),"",SUMIFS('App Data'!$E$2:$E$1001,'App Data'!$L$2:$L$1001,SUBSTITUTE(SUBSTITUTE(SUBSTITUTE(L784,"~","~~"),"*","~*"),"?","~?")))</x:f>
      </x:c>
      <x:c r="J784" s="13" t="str">
        <x:f>IF(OR(NOT(ISNUMBER(E784)),NOT(ISNUMBER(I784))),"",ROUND(E784-I784,2))</x:f>
      </x:c>
      <x:c r="K784" s="2" t="str">
        <x:f>IF(COUNTA(A784:F784)=0,"",IF(OR(A784="",B784="",C784="",D784="",NOT(ISNUMBER(E784))),"Missing / invalid input",IF(G784&gt;1,"Duplicate key in this source",IF(H784=0,"Missing in other source",IF(H784&gt;1,"Duplicate in other source",IF(SUMIFS('App Data'!$M$2:$M$1001,'App Data'!$L$2:$L$1001,SUBSTITUTE(SUBSTITUTE(SUBSTITUTE(L784,"~","~~"),"*","~*"),"?","~?"))&lt;&gt;1,"Other amount is invalid",IF(J784&lt;&gt;0,"Amount differs","Matched")))))))</x:f>
      </x:c>
      <x:c r="L784" t="str">
        <x:f>IF(COUNTA(A784:F784)=0,"",LEN(A784)&amp;":"&amp;A784&amp;LEN(B784)&amp;":"&amp;B784&amp;LEN(C784)&amp;":"&amp;C784&amp;LEN(D784)&amp;":"&amp;D784)</x:f>
      </x:c>
      <x:c r="M784" t="str">
        <x:f>IF(COUNTA(A784:F784)=0,"",IF(ISNUMBER(E784),1,0))</x:f>
      </x:c>
    </x:row>
    <x:row r="785">
      <x:c r="A785" s="11"/>
      <x:c r="B785" s="11"/>
      <x:c r="C785" s="11"/>
      <x:c r="D785" s="11"/>
      <x:c r="E785" s="12"/>
      <x:c r="F785" s="10"/>
      <x:c r="G785" s="2" t="str">
        <x:f>IF(COUNTA(A785:F785)=0,"",COUNTIFS('External Data'!$L$2:$L$1001,SUBSTITUTE(SUBSTITUTE(SUBSTITUTE(L785,"~","~~"),"*","~*"),"?","~?")))</x:f>
      </x:c>
      <x:c r="H785" s="2" t="str">
        <x:f>IF(COUNTA(A785:F785)=0,"",COUNTIFS('App Data'!$L$2:$L$1001,SUBSTITUTE(SUBSTITUTE(SUBSTITUTE(L785,"~","~~"),"*","~*"),"?","~?")))</x:f>
      </x:c>
      <x:c r="I785" s="13" t="str">
        <x:f>IF(OR(H785&lt;&gt;1,G785&lt;&gt;1),"",SUMIFS('App Data'!$E$2:$E$1001,'App Data'!$L$2:$L$1001,SUBSTITUTE(SUBSTITUTE(SUBSTITUTE(L785,"~","~~"),"*","~*"),"?","~?")))</x:f>
      </x:c>
      <x:c r="J785" s="13" t="str">
        <x:f>IF(OR(NOT(ISNUMBER(E785)),NOT(ISNUMBER(I785))),"",ROUND(E785-I785,2))</x:f>
      </x:c>
      <x:c r="K785" s="2" t="str">
        <x:f>IF(COUNTA(A785:F785)=0,"",IF(OR(A785="",B785="",C785="",D785="",NOT(ISNUMBER(E785))),"Missing / invalid input",IF(G785&gt;1,"Duplicate key in this source",IF(H785=0,"Missing in other source",IF(H785&gt;1,"Duplicate in other source",IF(SUMIFS('App Data'!$M$2:$M$1001,'App Data'!$L$2:$L$1001,SUBSTITUTE(SUBSTITUTE(SUBSTITUTE(L785,"~","~~"),"*","~*"),"?","~?"))&lt;&gt;1,"Other amount is invalid",IF(J785&lt;&gt;0,"Amount differs","Matched")))))))</x:f>
      </x:c>
      <x:c r="L785" t="str">
        <x:f>IF(COUNTA(A785:F785)=0,"",LEN(A785)&amp;":"&amp;A785&amp;LEN(B785)&amp;":"&amp;B785&amp;LEN(C785)&amp;":"&amp;C785&amp;LEN(D785)&amp;":"&amp;D785)</x:f>
      </x:c>
      <x:c r="M785" t="str">
        <x:f>IF(COUNTA(A785:F785)=0,"",IF(ISNUMBER(E785),1,0))</x:f>
      </x:c>
    </x:row>
    <x:row r="786">
      <x:c r="A786" s="11"/>
      <x:c r="B786" s="11"/>
      <x:c r="C786" s="11"/>
      <x:c r="D786" s="11"/>
      <x:c r="E786" s="12"/>
      <x:c r="F786" s="10"/>
      <x:c r="G786" s="2" t="str">
        <x:f>IF(COUNTA(A786:F786)=0,"",COUNTIFS('External Data'!$L$2:$L$1001,SUBSTITUTE(SUBSTITUTE(SUBSTITUTE(L786,"~","~~"),"*","~*"),"?","~?")))</x:f>
      </x:c>
      <x:c r="H786" s="2" t="str">
        <x:f>IF(COUNTA(A786:F786)=0,"",COUNTIFS('App Data'!$L$2:$L$1001,SUBSTITUTE(SUBSTITUTE(SUBSTITUTE(L786,"~","~~"),"*","~*"),"?","~?")))</x:f>
      </x:c>
      <x:c r="I786" s="13" t="str">
        <x:f>IF(OR(H786&lt;&gt;1,G786&lt;&gt;1),"",SUMIFS('App Data'!$E$2:$E$1001,'App Data'!$L$2:$L$1001,SUBSTITUTE(SUBSTITUTE(SUBSTITUTE(L786,"~","~~"),"*","~*"),"?","~?")))</x:f>
      </x:c>
      <x:c r="J786" s="13" t="str">
        <x:f>IF(OR(NOT(ISNUMBER(E786)),NOT(ISNUMBER(I786))),"",ROUND(E786-I786,2))</x:f>
      </x:c>
      <x:c r="K786" s="2" t="str">
        <x:f>IF(COUNTA(A786:F786)=0,"",IF(OR(A786="",B786="",C786="",D786="",NOT(ISNUMBER(E786))),"Missing / invalid input",IF(G786&gt;1,"Duplicate key in this source",IF(H786=0,"Missing in other source",IF(H786&gt;1,"Duplicate in other source",IF(SUMIFS('App Data'!$M$2:$M$1001,'App Data'!$L$2:$L$1001,SUBSTITUTE(SUBSTITUTE(SUBSTITUTE(L786,"~","~~"),"*","~*"),"?","~?"))&lt;&gt;1,"Other amount is invalid",IF(J786&lt;&gt;0,"Amount differs","Matched")))))))</x:f>
      </x:c>
      <x:c r="L786" t="str">
        <x:f>IF(COUNTA(A786:F786)=0,"",LEN(A786)&amp;":"&amp;A786&amp;LEN(B786)&amp;":"&amp;B786&amp;LEN(C786)&amp;":"&amp;C786&amp;LEN(D786)&amp;":"&amp;D786)</x:f>
      </x:c>
      <x:c r="M786" t="str">
        <x:f>IF(COUNTA(A786:F786)=0,"",IF(ISNUMBER(E786),1,0))</x:f>
      </x:c>
    </x:row>
    <x:row r="787">
      <x:c r="A787" s="11"/>
      <x:c r="B787" s="11"/>
      <x:c r="C787" s="11"/>
      <x:c r="D787" s="11"/>
      <x:c r="E787" s="12"/>
      <x:c r="F787" s="10"/>
      <x:c r="G787" s="2" t="str">
        <x:f>IF(COUNTA(A787:F787)=0,"",COUNTIFS('External Data'!$L$2:$L$1001,SUBSTITUTE(SUBSTITUTE(SUBSTITUTE(L787,"~","~~"),"*","~*"),"?","~?")))</x:f>
      </x:c>
      <x:c r="H787" s="2" t="str">
        <x:f>IF(COUNTA(A787:F787)=0,"",COUNTIFS('App Data'!$L$2:$L$1001,SUBSTITUTE(SUBSTITUTE(SUBSTITUTE(L787,"~","~~"),"*","~*"),"?","~?")))</x:f>
      </x:c>
      <x:c r="I787" s="13" t="str">
        <x:f>IF(OR(H787&lt;&gt;1,G787&lt;&gt;1),"",SUMIFS('App Data'!$E$2:$E$1001,'App Data'!$L$2:$L$1001,SUBSTITUTE(SUBSTITUTE(SUBSTITUTE(L787,"~","~~"),"*","~*"),"?","~?")))</x:f>
      </x:c>
      <x:c r="J787" s="13" t="str">
        <x:f>IF(OR(NOT(ISNUMBER(E787)),NOT(ISNUMBER(I787))),"",ROUND(E787-I787,2))</x:f>
      </x:c>
      <x:c r="K787" s="2" t="str">
        <x:f>IF(COUNTA(A787:F787)=0,"",IF(OR(A787="",B787="",C787="",D787="",NOT(ISNUMBER(E787))),"Missing / invalid input",IF(G787&gt;1,"Duplicate key in this source",IF(H787=0,"Missing in other source",IF(H787&gt;1,"Duplicate in other source",IF(SUMIFS('App Data'!$M$2:$M$1001,'App Data'!$L$2:$L$1001,SUBSTITUTE(SUBSTITUTE(SUBSTITUTE(L787,"~","~~"),"*","~*"),"?","~?"))&lt;&gt;1,"Other amount is invalid",IF(J787&lt;&gt;0,"Amount differs","Matched")))))))</x:f>
      </x:c>
      <x:c r="L787" t="str">
        <x:f>IF(COUNTA(A787:F787)=0,"",LEN(A787)&amp;":"&amp;A787&amp;LEN(B787)&amp;":"&amp;B787&amp;LEN(C787)&amp;":"&amp;C787&amp;LEN(D787)&amp;":"&amp;D787)</x:f>
      </x:c>
      <x:c r="M787" t="str">
        <x:f>IF(COUNTA(A787:F787)=0,"",IF(ISNUMBER(E787),1,0))</x:f>
      </x:c>
    </x:row>
    <x:row r="788">
      <x:c r="A788" s="11"/>
      <x:c r="B788" s="11"/>
      <x:c r="C788" s="11"/>
      <x:c r="D788" s="11"/>
      <x:c r="E788" s="12"/>
      <x:c r="F788" s="10"/>
      <x:c r="G788" s="2" t="str">
        <x:f>IF(COUNTA(A788:F788)=0,"",COUNTIFS('External Data'!$L$2:$L$1001,SUBSTITUTE(SUBSTITUTE(SUBSTITUTE(L788,"~","~~"),"*","~*"),"?","~?")))</x:f>
      </x:c>
      <x:c r="H788" s="2" t="str">
        <x:f>IF(COUNTA(A788:F788)=0,"",COUNTIFS('App Data'!$L$2:$L$1001,SUBSTITUTE(SUBSTITUTE(SUBSTITUTE(L788,"~","~~"),"*","~*"),"?","~?")))</x:f>
      </x:c>
      <x:c r="I788" s="13" t="str">
        <x:f>IF(OR(H788&lt;&gt;1,G788&lt;&gt;1),"",SUMIFS('App Data'!$E$2:$E$1001,'App Data'!$L$2:$L$1001,SUBSTITUTE(SUBSTITUTE(SUBSTITUTE(L788,"~","~~"),"*","~*"),"?","~?")))</x:f>
      </x:c>
      <x:c r="J788" s="13" t="str">
        <x:f>IF(OR(NOT(ISNUMBER(E788)),NOT(ISNUMBER(I788))),"",ROUND(E788-I788,2))</x:f>
      </x:c>
      <x:c r="K788" s="2" t="str">
        <x:f>IF(COUNTA(A788:F788)=0,"",IF(OR(A788="",B788="",C788="",D788="",NOT(ISNUMBER(E788))),"Missing / invalid input",IF(G788&gt;1,"Duplicate key in this source",IF(H788=0,"Missing in other source",IF(H788&gt;1,"Duplicate in other source",IF(SUMIFS('App Data'!$M$2:$M$1001,'App Data'!$L$2:$L$1001,SUBSTITUTE(SUBSTITUTE(SUBSTITUTE(L788,"~","~~"),"*","~*"),"?","~?"))&lt;&gt;1,"Other amount is invalid",IF(J788&lt;&gt;0,"Amount differs","Matched")))))))</x:f>
      </x:c>
      <x:c r="L788" t="str">
        <x:f>IF(COUNTA(A788:F788)=0,"",LEN(A788)&amp;":"&amp;A788&amp;LEN(B788)&amp;":"&amp;B788&amp;LEN(C788)&amp;":"&amp;C788&amp;LEN(D788)&amp;":"&amp;D788)</x:f>
      </x:c>
      <x:c r="M788" t="str">
        <x:f>IF(COUNTA(A788:F788)=0,"",IF(ISNUMBER(E788),1,0))</x:f>
      </x:c>
    </x:row>
    <x:row r="789">
      <x:c r="A789" s="11"/>
      <x:c r="B789" s="11"/>
      <x:c r="C789" s="11"/>
      <x:c r="D789" s="11"/>
      <x:c r="E789" s="12"/>
      <x:c r="F789" s="10"/>
      <x:c r="G789" s="2" t="str">
        <x:f>IF(COUNTA(A789:F789)=0,"",COUNTIFS('External Data'!$L$2:$L$1001,SUBSTITUTE(SUBSTITUTE(SUBSTITUTE(L789,"~","~~"),"*","~*"),"?","~?")))</x:f>
      </x:c>
      <x:c r="H789" s="2" t="str">
        <x:f>IF(COUNTA(A789:F789)=0,"",COUNTIFS('App Data'!$L$2:$L$1001,SUBSTITUTE(SUBSTITUTE(SUBSTITUTE(L789,"~","~~"),"*","~*"),"?","~?")))</x:f>
      </x:c>
      <x:c r="I789" s="13" t="str">
        <x:f>IF(OR(H789&lt;&gt;1,G789&lt;&gt;1),"",SUMIFS('App Data'!$E$2:$E$1001,'App Data'!$L$2:$L$1001,SUBSTITUTE(SUBSTITUTE(SUBSTITUTE(L789,"~","~~"),"*","~*"),"?","~?")))</x:f>
      </x:c>
      <x:c r="J789" s="13" t="str">
        <x:f>IF(OR(NOT(ISNUMBER(E789)),NOT(ISNUMBER(I789))),"",ROUND(E789-I789,2))</x:f>
      </x:c>
      <x:c r="K789" s="2" t="str">
        <x:f>IF(COUNTA(A789:F789)=0,"",IF(OR(A789="",B789="",C789="",D789="",NOT(ISNUMBER(E789))),"Missing / invalid input",IF(G789&gt;1,"Duplicate key in this source",IF(H789=0,"Missing in other source",IF(H789&gt;1,"Duplicate in other source",IF(SUMIFS('App Data'!$M$2:$M$1001,'App Data'!$L$2:$L$1001,SUBSTITUTE(SUBSTITUTE(SUBSTITUTE(L789,"~","~~"),"*","~*"),"?","~?"))&lt;&gt;1,"Other amount is invalid",IF(J789&lt;&gt;0,"Amount differs","Matched")))))))</x:f>
      </x:c>
      <x:c r="L789" t="str">
        <x:f>IF(COUNTA(A789:F789)=0,"",LEN(A789)&amp;":"&amp;A789&amp;LEN(B789)&amp;":"&amp;B789&amp;LEN(C789)&amp;":"&amp;C789&amp;LEN(D789)&amp;":"&amp;D789)</x:f>
      </x:c>
      <x:c r="M789" t="str">
        <x:f>IF(COUNTA(A789:F789)=0,"",IF(ISNUMBER(E789),1,0))</x:f>
      </x:c>
    </x:row>
    <x:row r="790">
      <x:c r="A790" s="11"/>
      <x:c r="B790" s="11"/>
      <x:c r="C790" s="11"/>
      <x:c r="D790" s="11"/>
      <x:c r="E790" s="12"/>
      <x:c r="F790" s="10"/>
      <x:c r="G790" s="2" t="str">
        <x:f>IF(COUNTA(A790:F790)=0,"",COUNTIFS('External Data'!$L$2:$L$1001,SUBSTITUTE(SUBSTITUTE(SUBSTITUTE(L790,"~","~~"),"*","~*"),"?","~?")))</x:f>
      </x:c>
      <x:c r="H790" s="2" t="str">
        <x:f>IF(COUNTA(A790:F790)=0,"",COUNTIFS('App Data'!$L$2:$L$1001,SUBSTITUTE(SUBSTITUTE(SUBSTITUTE(L790,"~","~~"),"*","~*"),"?","~?")))</x:f>
      </x:c>
      <x:c r="I790" s="13" t="str">
        <x:f>IF(OR(H790&lt;&gt;1,G790&lt;&gt;1),"",SUMIFS('App Data'!$E$2:$E$1001,'App Data'!$L$2:$L$1001,SUBSTITUTE(SUBSTITUTE(SUBSTITUTE(L790,"~","~~"),"*","~*"),"?","~?")))</x:f>
      </x:c>
      <x:c r="J790" s="13" t="str">
        <x:f>IF(OR(NOT(ISNUMBER(E790)),NOT(ISNUMBER(I790))),"",ROUND(E790-I790,2))</x:f>
      </x:c>
      <x:c r="K790" s="2" t="str">
        <x:f>IF(COUNTA(A790:F790)=0,"",IF(OR(A790="",B790="",C790="",D790="",NOT(ISNUMBER(E790))),"Missing / invalid input",IF(G790&gt;1,"Duplicate key in this source",IF(H790=0,"Missing in other source",IF(H790&gt;1,"Duplicate in other source",IF(SUMIFS('App Data'!$M$2:$M$1001,'App Data'!$L$2:$L$1001,SUBSTITUTE(SUBSTITUTE(SUBSTITUTE(L790,"~","~~"),"*","~*"),"?","~?"))&lt;&gt;1,"Other amount is invalid",IF(J790&lt;&gt;0,"Amount differs","Matched")))))))</x:f>
      </x:c>
      <x:c r="L790" t="str">
        <x:f>IF(COUNTA(A790:F790)=0,"",LEN(A790)&amp;":"&amp;A790&amp;LEN(B790)&amp;":"&amp;B790&amp;LEN(C790)&amp;":"&amp;C790&amp;LEN(D790)&amp;":"&amp;D790)</x:f>
      </x:c>
      <x:c r="M790" t="str">
        <x:f>IF(COUNTA(A790:F790)=0,"",IF(ISNUMBER(E790),1,0))</x:f>
      </x:c>
    </x:row>
    <x:row r="791">
      <x:c r="A791" s="11"/>
      <x:c r="B791" s="11"/>
      <x:c r="C791" s="11"/>
      <x:c r="D791" s="11"/>
      <x:c r="E791" s="12"/>
      <x:c r="F791" s="10"/>
      <x:c r="G791" s="2" t="str">
        <x:f>IF(COUNTA(A791:F791)=0,"",COUNTIFS('External Data'!$L$2:$L$1001,SUBSTITUTE(SUBSTITUTE(SUBSTITUTE(L791,"~","~~"),"*","~*"),"?","~?")))</x:f>
      </x:c>
      <x:c r="H791" s="2" t="str">
        <x:f>IF(COUNTA(A791:F791)=0,"",COUNTIFS('App Data'!$L$2:$L$1001,SUBSTITUTE(SUBSTITUTE(SUBSTITUTE(L791,"~","~~"),"*","~*"),"?","~?")))</x:f>
      </x:c>
      <x:c r="I791" s="13" t="str">
        <x:f>IF(OR(H791&lt;&gt;1,G791&lt;&gt;1),"",SUMIFS('App Data'!$E$2:$E$1001,'App Data'!$L$2:$L$1001,SUBSTITUTE(SUBSTITUTE(SUBSTITUTE(L791,"~","~~"),"*","~*"),"?","~?")))</x:f>
      </x:c>
      <x:c r="J791" s="13" t="str">
        <x:f>IF(OR(NOT(ISNUMBER(E791)),NOT(ISNUMBER(I791))),"",ROUND(E791-I791,2))</x:f>
      </x:c>
      <x:c r="K791" s="2" t="str">
        <x:f>IF(COUNTA(A791:F791)=0,"",IF(OR(A791="",B791="",C791="",D791="",NOT(ISNUMBER(E791))),"Missing / invalid input",IF(G791&gt;1,"Duplicate key in this source",IF(H791=0,"Missing in other source",IF(H791&gt;1,"Duplicate in other source",IF(SUMIFS('App Data'!$M$2:$M$1001,'App Data'!$L$2:$L$1001,SUBSTITUTE(SUBSTITUTE(SUBSTITUTE(L791,"~","~~"),"*","~*"),"?","~?"))&lt;&gt;1,"Other amount is invalid",IF(J791&lt;&gt;0,"Amount differs","Matched")))))))</x:f>
      </x:c>
      <x:c r="L791" t="str">
        <x:f>IF(COUNTA(A791:F791)=0,"",LEN(A791)&amp;":"&amp;A791&amp;LEN(B791)&amp;":"&amp;B791&amp;LEN(C791)&amp;":"&amp;C791&amp;LEN(D791)&amp;":"&amp;D791)</x:f>
      </x:c>
      <x:c r="M791" t="str">
        <x:f>IF(COUNTA(A791:F791)=0,"",IF(ISNUMBER(E791),1,0))</x:f>
      </x:c>
    </x:row>
    <x:row r="792">
      <x:c r="A792" s="11"/>
      <x:c r="B792" s="11"/>
      <x:c r="C792" s="11"/>
      <x:c r="D792" s="11"/>
      <x:c r="E792" s="12"/>
      <x:c r="F792" s="10"/>
      <x:c r="G792" s="2" t="str">
        <x:f>IF(COUNTA(A792:F792)=0,"",COUNTIFS('External Data'!$L$2:$L$1001,SUBSTITUTE(SUBSTITUTE(SUBSTITUTE(L792,"~","~~"),"*","~*"),"?","~?")))</x:f>
      </x:c>
      <x:c r="H792" s="2" t="str">
        <x:f>IF(COUNTA(A792:F792)=0,"",COUNTIFS('App Data'!$L$2:$L$1001,SUBSTITUTE(SUBSTITUTE(SUBSTITUTE(L792,"~","~~"),"*","~*"),"?","~?")))</x:f>
      </x:c>
      <x:c r="I792" s="13" t="str">
        <x:f>IF(OR(H792&lt;&gt;1,G792&lt;&gt;1),"",SUMIFS('App Data'!$E$2:$E$1001,'App Data'!$L$2:$L$1001,SUBSTITUTE(SUBSTITUTE(SUBSTITUTE(L792,"~","~~"),"*","~*"),"?","~?")))</x:f>
      </x:c>
      <x:c r="J792" s="13" t="str">
        <x:f>IF(OR(NOT(ISNUMBER(E792)),NOT(ISNUMBER(I792))),"",ROUND(E792-I792,2))</x:f>
      </x:c>
      <x:c r="K792" s="2" t="str">
        <x:f>IF(COUNTA(A792:F792)=0,"",IF(OR(A792="",B792="",C792="",D792="",NOT(ISNUMBER(E792))),"Missing / invalid input",IF(G792&gt;1,"Duplicate key in this source",IF(H792=0,"Missing in other source",IF(H792&gt;1,"Duplicate in other source",IF(SUMIFS('App Data'!$M$2:$M$1001,'App Data'!$L$2:$L$1001,SUBSTITUTE(SUBSTITUTE(SUBSTITUTE(L792,"~","~~"),"*","~*"),"?","~?"))&lt;&gt;1,"Other amount is invalid",IF(J792&lt;&gt;0,"Amount differs","Matched")))))))</x:f>
      </x:c>
      <x:c r="L792" t="str">
        <x:f>IF(COUNTA(A792:F792)=0,"",LEN(A792)&amp;":"&amp;A792&amp;LEN(B792)&amp;":"&amp;B792&amp;LEN(C792)&amp;":"&amp;C792&amp;LEN(D792)&amp;":"&amp;D792)</x:f>
      </x:c>
      <x:c r="M792" t="str">
        <x:f>IF(COUNTA(A792:F792)=0,"",IF(ISNUMBER(E792),1,0))</x:f>
      </x:c>
    </x:row>
    <x:row r="793">
      <x:c r="A793" s="11"/>
      <x:c r="B793" s="11"/>
      <x:c r="C793" s="11"/>
      <x:c r="D793" s="11"/>
      <x:c r="E793" s="12"/>
      <x:c r="F793" s="10"/>
      <x:c r="G793" s="2" t="str">
        <x:f>IF(COUNTA(A793:F793)=0,"",COUNTIFS('External Data'!$L$2:$L$1001,SUBSTITUTE(SUBSTITUTE(SUBSTITUTE(L793,"~","~~"),"*","~*"),"?","~?")))</x:f>
      </x:c>
      <x:c r="H793" s="2" t="str">
        <x:f>IF(COUNTA(A793:F793)=0,"",COUNTIFS('App Data'!$L$2:$L$1001,SUBSTITUTE(SUBSTITUTE(SUBSTITUTE(L793,"~","~~"),"*","~*"),"?","~?")))</x:f>
      </x:c>
      <x:c r="I793" s="13" t="str">
        <x:f>IF(OR(H793&lt;&gt;1,G793&lt;&gt;1),"",SUMIFS('App Data'!$E$2:$E$1001,'App Data'!$L$2:$L$1001,SUBSTITUTE(SUBSTITUTE(SUBSTITUTE(L793,"~","~~"),"*","~*"),"?","~?")))</x:f>
      </x:c>
      <x:c r="J793" s="13" t="str">
        <x:f>IF(OR(NOT(ISNUMBER(E793)),NOT(ISNUMBER(I793))),"",ROUND(E793-I793,2))</x:f>
      </x:c>
      <x:c r="K793" s="2" t="str">
        <x:f>IF(COUNTA(A793:F793)=0,"",IF(OR(A793="",B793="",C793="",D793="",NOT(ISNUMBER(E793))),"Missing / invalid input",IF(G793&gt;1,"Duplicate key in this source",IF(H793=0,"Missing in other source",IF(H793&gt;1,"Duplicate in other source",IF(SUMIFS('App Data'!$M$2:$M$1001,'App Data'!$L$2:$L$1001,SUBSTITUTE(SUBSTITUTE(SUBSTITUTE(L793,"~","~~"),"*","~*"),"?","~?"))&lt;&gt;1,"Other amount is invalid",IF(J793&lt;&gt;0,"Amount differs","Matched")))))))</x:f>
      </x:c>
      <x:c r="L793" t="str">
        <x:f>IF(COUNTA(A793:F793)=0,"",LEN(A793)&amp;":"&amp;A793&amp;LEN(B793)&amp;":"&amp;B793&amp;LEN(C793)&amp;":"&amp;C793&amp;LEN(D793)&amp;":"&amp;D793)</x:f>
      </x:c>
      <x:c r="M793" t="str">
        <x:f>IF(COUNTA(A793:F793)=0,"",IF(ISNUMBER(E793),1,0))</x:f>
      </x:c>
    </x:row>
    <x:row r="794">
      <x:c r="A794" s="11"/>
      <x:c r="B794" s="11"/>
      <x:c r="C794" s="11"/>
      <x:c r="D794" s="11"/>
      <x:c r="E794" s="12"/>
      <x:c r="F794" s="10"/>
      <x:c r="G794" s="2" t="str">
        <x:f>IF(COUNTA(A794:F794)=0,"",COUNTIFS('External Data'!$L$2:$L$1001,SUBSTITUTE(SUBSTITUTE(SUBSTITUTE(L794,"~","~~"),"*","~*"),"?","~?")))</x:f>
      </x:c>
      <x:c r="H794" s="2" t="str">
        <x:f>IF(COUNTA(A794:F794)=0,"",COUNTIFS('App Data'!$L$2:$L$1001,SUBSTITUTE(SUBSTITUTE(SUBSTITUTE(L794,"~","~~"),"*","~*"),"?","~?")))</x:f>
      </x:c>
      <x:c r="I794" s="13" t="str">
        <x:f>IF(OR(H794&lt;&gt;1,G794&lt;&gt;1),"",SUMIFS('App Data'!$E$2:$E$1001,'App Data'!$L$2:$L$1001,SUBSTITUTE(SUBSTITUTE(SUBSTITUTE(L794,"~","~~"),"*","~*"),"?","~?")))</x:f>
      </x:c>
      <x:c r="J794" s="13" t="str">
        <x:f>IF(OR(NOT(ISNUMBER(E794)),NOT(ISNUMBER(I794))),"",ROUND(E794-I794,2))</x:f>
      </x:c>
      <x:c r="K794" s="2" t="str">
        <x:f>IF(COUNTA(A794:F794)=0,"",IF(OR(A794="",B794="",C794="",D794="",NOT(ISNUMBER(E794))),"Missing / invalid input",IF(G794&gt;1,"Duplicate key in this source",IF(H794=0,"Missing in other source",IF(H794&gt;1,"Duplicate in other source",IF(SUMIFS('App Data'!$M$2:$M$1001,'App Data'!$L$2:$L$1001,SUBSTITUTE(SUBSTITUTE(SUBSTITUTE(L794,"~","~~"),"*","~*"),"?","~?"))&lt;&gt;1,"Other amount is invalid",IF(J794&lt;&gt;0,"Amount differs","Matched")))))))</x:f>
      </x:c>
      <x:c r="L794" t="str">
        <x:f>IF(COUNTA(A794:F794)=0,"",LEN(A794)&amp;":"&amp;A794&amp;LEN(B794)&amp;":"&amp;B794&amp;LEN(C794)&amp;":"&amp;C794&amp;LEN(D794)&amp;":"&amp;D794)</x:f>
      </x:c>
      <x:c r="M794" t="str">
        <x:f>IF(COUNTA(A794:F794)=0,"",IF(ISNUMBER(E794),1,0))</x:f>
      </x:c>
    </x:row>
    <x:row r="795">
      <x:c r="A795" s="11"/>
      <x:c r="B795" s="11"/>
      <x:c r="C795" s="11"/>
      <x:c r="D795" s="11"/>
      <x:c r="E795" s="12"/>
      <x:c r="F795" s="10"/>
      <x:c r="G795" s="2" t="str">
        <x:f>IF(COUNTA(A795:F795)=0,"",COUNTIFS('External Data'!$L$2:$L$1001,SUBSTITUTE(SUBSTITUTE(SUBSTITUTE(L795,"~","~~"),"*","~*"),"?","~?")))</x:f>
      </x:c>
      <x:c r="H795" s="2" t="str">
        <x:f>IF(COUNTA(A795:F795)=0,"",COUNTIFS('App Data'!$L$2:$L$1001,SUBSTITUTE(SUBSTITUTE(SUBSTITUTE(L795,"~","~~"),"*","~*"),"?","~?")))</x:f>
      </x:c>
      <x:c r="I795" s="13" t="str">
        <x:f>IF(OR(H795&lt;&gt;1,G795&lt;&gt;1),"",SUMIFS('App Data'!$E$2:$E$1001,'App Data'!$L$2:$L$1001,SUBSTITUTE(SUBSTITUTE(SUBSTITUTE(L795,"~","~~"),"*","~*"),"?","~?")))</x:f>
      </x:c>
      <x:c r="J795" s="13" t="str">
        <x:f>IF(OR(NOT(ISNUMBER(E795)),NOT(ISNUMBER(I795))),"",ROUND(E795-I795,2))</x:f>
      </x:c>
      <x:c r="K795" s="2" t="str">
        <x:f>IF(COUNTA(A795:F795)=0,"",IF(OR(A795="",B795="",C795="",D795="",NOT(ISNUMBER(E795))),"Missing / invalid input",IF(G795&gt;1,"Duplicate key in this source",IF(H795=0,"Missing in other source",IF(H795&gt;1,"Duplicate in other source",IF(SUMIFS('App Data'!$M$2:$M$1001,'App Data'!$L$2:$L$1001,SUBSTITUTE(SUBSTITUTE(SUBSTITUTE(L795,"~","~~"),"*","~*"),"?","~?"))&lt;&gt;1,"Other amount is invalid",IF(J795&lt;&gt;0,"Amount differs","Matched")))))))</x:f>
      </x:c>
      <x:c r="L795" t="str">
        <x:f>IF(COUNTA(A795:F795)=0,"",LEN(A795)&amp;":"&amp;A795&amp;LEN(B795)&amp;":"&amp;B795&amp;LEN(C795)&amp;":"&amp;C795&amp;LEN(D795)&amp;":"&amp;D795)</x:f>
      </x:c>
      <x:c r="M795" t="str">
        <x:f>IF(COUNTA(A795:F795)=0,"",IF(ISNUMBER(E795),1,0))</x:f>
      </x:c>
    </x:row>
    <x:row r="796">
      <x:c r="A796" s="11"/>
      <x:c r="B796" s="11"/>
      <x:c r="C796" s="11"/>
      <x:c r="D796" s="11"/>
      <x:c r="E796" s="12"/>
      <x:c r="F796" s="10"/>
      <x:c r="G796" s="2" t="str">
        <x:f>IF(COUNTA(A796:F796)=0,"",COUNTIFS('External Data'!$L$2:$L$1001,SUBSTITUTE(SUBSTITUTE(SUBSTITUTE(L796,"~","~~"),"*","~*"),"?","~?")))</x:f>
      </x:c>
      <x:c r="H796" s="2" t="str">
        <x:f>IF(COUNTA(A796:F796)=0,"",COUNTIFS('App Data'!$L$2:$L$1001,SUBSTITUTE(SUBSTITUTE(SUBSTITUTE(L796,"~","~~"),"*","~*"),"?","~?")))</x:f>
      </x:c>
      <x:c r="I796" s="13" t="str">
        <x:f>IF(OR(H796&lt;&gt;1,G796&lt;&gt;1),"",SUMIFS('App Data'!$E$2:$E$1001,'App Data'!$L$2:$L$1001,SUBSTITUTE(SUBSTITUTE(SUBSTITUTE(L796,"~","~~"),"*","~*"),"?","~?")))</x:f>
      </x:c>
      <x:c r="J796" s="13" t="str">
        <x:f>IF(OR(NOT(ISNUMBER(E796)),NOT(ISNUMBER(I796))),"",ROUND(E796-I796,2))</x:f>
      </x:c>
      <x:c r="K796" s="2" t="str">
        <x:f>IF(COUNTA(A796:F796)=0,"",IF(OR(A796="",B796="",C796="",D796="",NOT(ISNUMBER(E796))),"Missing / invalid input",IF(G796&gt;1,"Duplicate key in this source",IF(H796=0,"Missing in other source",IF(H796&gt;1,"Duplicate in other source",IF(SUMIFS('App Data'!$M$2:$M$1001,'App Data'!$L$2:$L$1001,SUBSTITUTE(SUBSTITUTE(SUBSTITUTE(L796,"~","~~"),"*","~*"),"?","~?"))&lt;&gt;1,"Other amount is invalid",IF(J796&lt;&gt;0,"Amount differs","Matched")))))))</x:f>
      </x:c>
      <x:c r="L796" t="str">
        <x:f>IF(COUNTA(A796:F796)=0,"",LEN(A796)&amp;":"&amp;A796&amp;LEN(B796)&amp;":"&amp;B796&amp;LEN(C796)&amp;":"&amp;C796&amp;LEN(D796)&amp;":"&amp;D796)</x:f>
      </x:c>
      <x:c r="M796" t="str">
        <x:f>IF(COUNTA(A796:F796)=0,"",IF(ISNUMBER(E796),1,0))</x:f>
      </x:c>
    </x:row>
    <x:row r="797">
      <x:c r="A797" s="11"/>
      <x:c r="B797" s="11"/>
      <x:c r="C797" s="11"/>
      <x:c r="D797" s="11"/>
      <x:c r="E797" s="12"/>
      <x:c r="F797" s="10"/>
      <x:c r="G797" s="2" t="str">
        <x:f>IF(COUNTA(A797:F797)=0,"",COUNTIFS('External Data'!$L$2:$L$1001,SUBSTITUTE(SUBSTITUTE(SUBSTITUTE(L797,"~","~~"),"*","~*"),"?","~?")))</x:f>
      </x:c>
      <x:c r="H797" s="2" t="str">
        <x:f>IF(COUNTA(A797:F797)=0,"",COUNTIFS('App Data'!$L$2:$L$1001,SUBSTITUTE(SUBSTITUTE(SUBSTITUTE(L797,"~","~~"),"*","~*"),"?","~?")))</x:f>
      </x:c>
      <x:c r="I797" s="13" t="str">
        <x:f>IF(OR(H797&lt;&gt;1,G797&lt;&gt;1),"",SUMIFS('App Data'!$E$2:$E$1001,'App Data'!$L$2:$L$1001,SUBSTITUTE(SUBSTITUTE(SUBSTITUTE(L797,"~","~~"),"*","~*"),"?","~?")))</x:f>
      </x:c>
      <x:c r="J797" s="13" t="str">
        <x:f>IF(OR(NOT(ISNUMBER(E797)),NOT(ISNUMBER(I797))),"",ROUND(E797-I797,2))</x:f>
      </x:c>
      <x:c r="K797" s="2" t="str">
        <x:f>IF(COUNTA(A797:F797)=0,"",IF(OR(A797="",B797="",C797="",D797="",NOT(ISNUMBER(E797))),"Missing / invalid input",IF(G797&gt;1,"Duplicate key in this source",IF(H797=0,"Missing in other source",IF(H797&gt;1,"Duplicate in other source",IF(SUMIFS('App Data'!$M$2:$M$1001,'App Data'!$L$2:$L$1001,SUBSTITUTE(SUBSTITUTE(SUBSTITUTE(L797,"~","~~"),"*","~*"),"?","~?"))&lt;&gt;1,"Other amount is invalid",IF(J797&lt;&gt;0,"Amount differs","Matched")))))))</x:f>
      </x:c>
      <x:c r="L797" t="str">
        <x:f>IF(COUNTA(A797:F797)=0,"",LEN(A797)&amp;":"&amp;A797&amp;LEN(B797)&amp;":"&amp;B797&amp;LEN(C797)&amp;":"&amp;C797&amp;LEN(D797)&amp;":"&amp;D797)</x:f>
      </x:c>
      <x:c r="M797" t="str">
        <x:f>IF(COUNTA(A797:F797)=0,"",IF(ISNUMBER(E797),1,0))</x:f>
      </x:c>
    </x:row>
    <x:row r="798">
      <x:c r="A798" s="11"/>
      <x:c r="B798" s="11"/>
      <x:c r="C798" s="11"/>
      <x:c r="D798" s="11"/>
      <x:c r="E798" s="12"/>
      <x:c r="F798" s="10"/>
      <x:c r="G798" s="2" t="str">
        <x:f>IF(COUNTA(A798:F798)=0,"",COUNTIFS('External Data'!$L$2:$L$1001,SUBSTITUTE(SUBSTITUTE(SUBSTITUTE(L798,"~","~~"),"*","~*"),"?","~?")))</x:f>
      </x:c>
      <x:c r="H798" s="2" t="str">
        <x:f>IF(COUNTA(A798:F798)=0,"",COUNTIFS('App Data'!$L$2:$L$1001,SUBSTITUTE(SUBSTITUTE(SUBSTITUTE(L798,"~","~~"),"*","~*"),"?","~?")))</x:f>
      </x:c>
      <x:c r="I798" s="13" t="str">
        <x:f>IF(OR(H798&lt;&gt;1,G798&lt;&gt;1),"",SUMIFS('App Data'!$E$2:$E$1001,'App Data'!$L$2:$L$1001,SUBSTITUTE(SUBSTITUTE(SUBSTITUTE(L798,"~","~~"),"*","~*"),"?","~?")))</x:f>
      </x:c>
      <x:c r="J798" s="13" t="str">
        <x:f>IF(OR(NOT(ISNUMBER(E798)),NOT(ISNUMBER(I798))),"",ROUND(E798-I798,2))</x:f>
      </x:c>
      <x:c r="K798" s="2" t="str">
        <x:f>IF(COUNTA(A798:F798)=0,"",IF(OR(A798="",B798="",C798="",D798="",NOT(ISNUMBER(E798))),"Missing / invalid input",IF(G798&gt;1,"Duplicate key in this source",IF(H798=0,"Missing in other source",IF(H798&gt;1,"Duplicate in other source",IF(SUMIFS('App Data'!$M$2:$M$1001,'App Data'!$L$2:$L$1001,SUBSTITUTE(SUBSTITUTE(SUBSTITUTE(L798,"~","~~"),"*","~*"),"?","~?"))&lt;&gt;1,"Other amount is invalid",IF(J798&lt;&gt;0,"Amount differs","Matched")))))))</x:f>
      </x:c>
      <x:c r="L798" t="str">
        <x:f>IF(COUNTA(A798:F798)=0,"",LEN(A798)&amp;":"&amp;A798&amp;LEN(B798)&amp;":"&amp;B798&amp;LEN(C798)&amp;":"&amp;C798&amp;LEN(D798)&amp;":"&amp;D798)</x:f>
      </x:c>
      <x:c r="M798" t="str">
        <x:f>IF(COUNTA(A798:F798)=0,"",IF(ISNUMBER(E798),1,0))</x:f>
      </x:c>
    </x:row>
    <x:row r="799">
      <x:c r="A799" s="11"/>
      <x:c r="B799" s="11"/>
      <x:c r="C799" s="11"/>
      <x:c r="D799" s="11"/>
      <x:c r="E799" s="12"/>
      <x:c r="F799" s="10"/>
      <x:c r="G799" s="2" t="str">
        <x:f>IF(COUNTA(A799:F799)=0,"",COUNTIFS('External Data'!$L$2:$L$1001,SUBSTITUTE(SUBSTITUTE(SUBSTITUTE(L799,"~","~~"),"*","~*"),"?","~?")))</x:f>
      </x:c>
      <x:c r="H799" s="2" t="str">
        <x:f>IF(COUNTA(A799:F799)=0,"",COUNTIFS('App Data'!$L$2:$L$1001,SUBSTITUTE(SUBSTITUTE(SUBSTITUTE(L799,"~","~~"),"*","~*"),"?","~?")))</x:f>
      </x:c>
      <x:c r="I799" s="13" t="str">
        <x:f>IF(OR(H799&lt;&gt;1,G799&lt;&gt;1),"",SUMIFS('App Data'!$E$2:$E$1001,'App Data'!$L$2:$L$1001,SUBSTITUTE(SUBSTITUTE(SUBSTITUTE(L799,"~","~~"),"*","~*"),"?","~?")))</x:f>
      </x:c>
      <x:c r="J799" s="13" t="str">
        <x:f>IF(OR(NOT(ISNUMBER(E799)),NOT(ISNUMBER(I799))),"",ROUND(E799-I799,2))</x:f>
      </x:c>
      <x:c r="K799" s="2" t="str">
        <x:f>IF(COUNTA(A799:F799)=0,"",IF(OR(A799="",B799="",C799="",D799="",NOT(ISNUMBER(E799))),"Missing / invalid input",IF(G799&gt;1,"Duplicate key in this source",IF(H799=0,"Missing in other source",IF(H799&gt;1,"Duplicate in other source",IF(SUMIFS('App Data'!$M$2:$M$1001,'App Data'!$L$2:$L$1001,SUBSTITUTE(SUBSTITUTE(SUBSTITUTE(L799,"~","~~"),"*","~*"),"?","~?"))&lt;&gt;1,"Other amount is invalid",IF(J799&lt;&gt;0,"Amount differs","Matched")))))))</x:f>
      </x:c>
      <x:c r="L799" t="str">
        <x:f>IF(COUNTA(A799:F799)=0,"",LEN(A799)&amp;":"&amp;A799&amp;LEN(B799)&amp;":"&amp;B799&amp;LEN(C799)&amp;":"&amp;C799&amp;LEN(D799)&amp;":"&amp;D799)</x:f>
      </x:c>
      <x:c r="M799" t="str">
        <x:f>IF(COUNTA(A799:F799)=0,"",IF(ISNUMBER(E799),1,0))</x:f>
      </x:c>
    </x:row>
    <x:row r="800">
      <x:c r="A800" s="11"/>
      <x:c r="B800" s="11"/>
      <x:c r="C800" s="11"/>
      <x:c r="D800" s="11"/>
      <x:c r="E800" s="12"/>
      <x:c r="F800" s="10"/>
      <x:c r="G800" s="2" t="str">
        <x:f>IF(COUNTA(A800:F800)=0,"",COUNTIFS('External Data'!$L$2:$L$1001,SUBSTITUTE(SUBSTITUTE(SUBSTITUTE(L800,"~","~~"),"*","~*"),"?","~?")))</x:f>
      </x:c>
      <x:c r="H800" s="2" t="str">
        <x:f>IF(COUNTA(A800:F800)=0,"",COUNTIFS('App Data'!$L$2:$L$1001,SUBSTITUTE(SUBSTITUTE(SUBSTITUTE(L800,"~","~~"),"*","~*"),"?","~?")))</x:f>
      </x:c>
      <x:c r="I800" s="13" t="str">
        <x:f>IF(OR(H800&lt;&gt;1,G800&lt;&gt;1),"",SUMIFS('App Data'!$E$2:$E$1001,'App Data'!$L$2:$L$1001,SUBSTITUTE(SUBSTITUTE(SUBSTITUTE(L800,"~","~~"),"*","~*"),"?","~?")))</x:f>
      </x:c>
      <x:c r="J800" s="13" t="str">
        <x:f>IF(OR(NOT(ISNUMBER(E800)),NOT(ISNUMBER(I800))),"",ROUND(E800-I800,2))</x:f>
      </x:c>
      <x:c r="K800" s="2" t="str">
        <x:f>IF(COUNTA(A800:F800)=0,"",IF(OR(A800="",B800="",C800="",D800="",NOT(ISNUMBER(E800))),"Missing / invalid input",IF(G800&gt;1,"Duplicate key in this source",IF(H800=0,"Missing in other source",IF(H800&gt;1,"Duplicate in other source",IF(SUMIFS('App Data'!$M$2:$M$1001,'App Data'!$L$2:$L$1001,SUBSTITUTE(SUBSTITUTE(SUBSTITUTE(L800,"~","~~"),"*","~*"),"?","~?"))&lt;&gt;1,"Other amount is invalid",IF(J800&lt;&gt;0,"Amount differs","Matched")))))))</x:f>
      </x:c>
      <x:c r="L800" t="str">
        <x:f>IF(COUNTA(A800:F800)=0,"",LEN(A800)&amp;":"&amp;A800&amp;LEN(B800)&amp;":"&amp;B800&amp;LEN(C800)&amp;":"&amp;C800&amp;LEN(D800)&amp;":"&amp;D800)</x:f>
      </x:c>
      <x:c r="M800" t="str">
        <x:f>IF(COUNTA(A800:F800)=0,"",IF(ISNUMBER(E800),1,0))</x:f>
      </x:c>
    </x:row>
    <x:row r="801">
      <x:c r="A801" s="11"/>
      <x:c r="B801" s="11"/>
      <x:c r="C801" s="11"/>
      <x:c r="D801" s="11"/>
      <x:c r="E801" s="12"/>
      <x:c r="F801" s="10"/>
      <x:c r="G801" s="2" t="str">
        <x:f>IF(COUNTA(A801:F801)=0,"",COUNTIFS('External Data'!$L$2:$L$1001,SUBSTITUTE(SUBSTITUTE(SUBSTITUTE(L801,"~","~~"),"*","~*"),"?","~?")))</x:f>
      </x:c>
      <x:c r="H801" s="2" t="str">
        <x:f>IF(COUNTA(A801:F801)=0,"",COUNTIFS('App Data'!$L$2:$L$1001,SUBSTITUTE(SUBSTITUTE(SUBSTITUTE(L801,"~","~~"),"*","~*"),"?","~?")))</x:f>
      </x:c>
      <x:c r="I801" s="13" t="str">
        <x:f>IF(OR(H801&lt;&gt;1,G801&lt;&gt;1),"",SUMIFS('App Data'!$E$2:$E$1001,'App Data'!$L$2:$L$1001,SUBSTITUTE(SUBSTITUTE(SUBSTITUTE(L801,"~","~~"),"*","~*"),"?","~?")))</x:f>
      </x:c>
      <x:c r="J801" s="13" t="str">
        <x:f>IF(OR(NOT(ISNUMBER(E801)),NOT(ISNUMBER(I801))),"",ROUND(E801-I801,2))</x:f>
      </x:c>
      <x:c r="K801" s="2" t="str">
        <x:f>IF(COUNTA(A801:F801)=0,"",IF(OR(A801="",B801="",C801="",D801="",NOT(ISNUMBER(E801))),"Missing / invalid input",IF(G801&gt;1,"Duplicate key in this source",IF(H801=0,"Missing in other source",IF(H801&gt;1,"Duplicate in other source",IF(SUMIFS('App Data'!$M$2:$M$1001,'App Data'!$L$2:$L$1001,SUBSTITUTE(SUBSTITUTE(SUBSTITUTE(L801,"~","~~"),"*","~*"),"?","~?"))&lt;&gt;1,"Other amount is invalid",IF(J801&lt;&gt;0,"Amount differs","Matched")))))))</x:f>
      </x:c>
      <x:c r="L801" t="str">
        <x:f>IF(COUNTA(A801:F801)=0,"",LEN(A801)&amp;":"&amp;A801&amp;LEN(B801)&amp;":"&amp;B801&amp;LEN(C801)&amp;":"&amp;C801&amp;LEN(D801)&amp;":"&amp;D801)</x:f>
      </x:c>
      <x:c r="M801" t="str">
        <x:f>IF(COUNTA(A801:F801)=0,"",IF(ISNUMBER(E801),1,0))</x:f>
      </x:c>
    </x:row>
    <x:row r="802">
      <x:c r="A802" s="11"/>
      <x:c r="B802" s="11"/>
      <x:c r="C802" s="11"/>
      <x:c r="D802" s="11"/>
      <x:c r="E802" s="12"/>
      <x:c r="F802" s="10"/>
      <x:c r="G802" s="2" t="str">
        <x:f>IF(COUNTA(A802:F802)=0,"",COUNTIFS('External Data'!$L$2:$L$1001,SUBSTITUTE(SUBSTITUTE(SUBSTITUTE(L802,"~","~~"),"*","~*"),"?","~?")))</x:f>
      </x:c>
      <x:c r="H802" s="2" t="str">
        <x:f>IF(COUNTA(A802:F802)=0,"",COUNTIFS('App Data'!$L$2:$L$1001,SUBSTITUTE(SUBSTITUTE(SUBSTITUTE(L802,"~","~~"),"*","~*"),"?","~?")))</x:f>
      </x:c>
      <x:c r="I802" s="13" t="str">
        <x:f>IF(OR(H802&lt;&gt;1,G802&lt;&gt;1),"",SUMIFS('App Data'!$E$2:$E$1001,'App Data'!$L$2:$L$1001,SUBSTITUTE(SUBSTITUTE(SUBSTITUTE(L802,"~","~~"),"*","~*"),"?","~?")))</x:f>
      </x:c>
      <x:c r="J802" s="13" t="str">
        <x:f>IF(OR(NOT(ISNUMBER(E802)),NOT(ISNUMBER(I802))),"",ROUND(E802-I802,2))</x:f>
      </x:c>
      <x:c r="K802" s="2" t="str">
        <x:f>IF(COUNTA(A802:F802)=0,"",IF(OR(A802="",B802="",C802="",D802="",NOT(ISNUMBER(E802))),"Missing / invalid input",IF(G802&gt;1,"Duplicate key in this source",IF(H802=0,"Missing in other source",IF(H802&gt;1,"Duplicate in other source",IF(SUMIFS('App Data'!$M$2:$M$1001,'App Data'!$L$2:$L$1001,SUBSTITUTE(SUBSTITUTE(SUBSTITUTE(L802,"~","~~"),"*","~*"),"?","~?"))&lt;&gt;1,"Other amount is invalid",IF(J802&lt;&gt;0,"Amount differs","Matched")))))))</x:f>
      </x:c>
      <x:c r="L802" t="str">
        <x:f>IF(COUNTA(A802:F802)=0,"",LEN(A802)&amp;":"&amp;A802&amp;LEN(B802)&amp;":"&amp;B802&amp;LEN(C802)&amp;":"&amp;C802&amp;LEN(D802)&amp;":"&amp;D802)</x:f>
      </x:c>
      <x:c r="M802" t="str">
        <x:f>IF(COUNTA(A802:F802)=0,"",IF(ISNUMBER(E802),1,0))</x:f>
      </x:c>
    </x:row>
    <x:row r="803">
      <x:c r="A803" s="11"/>
      <x:c r="B803" s="11"/>
      <x:c r="C803" s="11"/>
      <x:c r="D803" s="11"/>
      <x:c r="E803" s="12"/>
      <x:c r="F803" s="10"/>
      <x:c r="G803" s="2" t="str">
        <x:f>IF(COUNTA(A803:F803)=0,"",COUNTIFS('External Data'!$L$2:$L$1001,SUBSTITUTE(SUBSTITUTE(SUBSTITUTE(L803,"~","~~"),"*","~*"),"?","~?")))</x:f>
      </x:c>
      <x:c r="H803" s="2" t="str">
        <x:f>IF(COUNTA(A803:F803)=0,"",COUNTIFS('App Data'!$L$2:$L$1001,SUBSTITUTE(SUBSTITUTE(SUBSTITUTE(L803,"~","~~"),"*","~*"),"?","~?")))</x:f>
      </x:c>
      <x:c r="I803" s="13" t="str">
        <x:f>IF(OR(H803&lt;&gt;1,G803&lt;&gt;1),"",SUMIFS('App Data'!$E$2:$E$1001,'App Data'!$L$2:$L$1001,SUBSTITUTE(SUBSTITUTE(SUBSTITUTE(L803,"~","~~"),"*","~*"),"?","~?")))</x:f>
      </x:c>
      <x:c r="J803" s="13" t="str">
        <x:f>IF(OR(NOT(ISNUMBER(E803)),NOT(ISNUMBER(I803))),"",ROUND(E803-I803,2))</x:f>
      </x:c>
      <x:c r="K803" s="2" t="str">
        <x:f>IF(COUNTA(A803:F803)=0,"",IF(OR(A803="",B803="",C803="",D803="",NOT(ISNUMBER(E803))),"Missing / invalid input",IF(G803&gt;1,"Duplicate key in this source",IF(H803=0,"Missing in other source",IF(H803&gt;1,"Duplicate in other source",IF(SUMIFS('App Data'!$M$2:$M$1001,'App Data'!$L$2:$L$1001,SUBSTITUTE(SUBSTITUTE(SUBSTITUTE(L803,"~","~~"),"*","~*"),"?","~?"))&lt;&gt;1,"Other amount is invalid",IF(J803&lt;&gt;0,"Amount differs","Matched")))))))</x:f>
      </x:c>
      <x:c r="L803" t="str">
        <x:f>IF(COUNTA(A803:F803)=0,"",LEN(A803)&amp;":"&amp;A803&amp;LEN(B803)&amp;":"&amp;B803&amp;LEN(C803)&amp;":"&amp;C803&amp;LEN(D803)&amp;":"&amp;D803)</x:f>
      </x:c>
      <x:c r="M803" t="str">
        <x:f>IF(COUNTA(A803:F803)=0,"",IF(ISNUMBER(E803),1,0))</x:f>
      </x:c>
    </x:row>
    <x:row r="804">
      <x:c r="A804" s="11"/>
      <x:c r="B804" s="11"/>
      <x:c r="C804" s="11"/>
      <x:c r="D804" s="11"/>
      <x:c r="E804" s="12"/>
      <x:c r="F804" s="10"/>
      <x:c r="G804" s="2" t="str">
        <x:f>IF(COUNTA(A804:F804)=0,"",COUNTIFS('External Data'!$L$2:$L$1001,SUBSTITUTE(SUBSTITUTE(SUBSTITUTE(L804,"~","~~"),"*","~*"),"?","~?")))</x:f>
      </x:c>
      <x:c r="H804" s="2" t="str">
        <x:f>IF(COUNTA(A804:F804)=0,"",COUNTIFS('App Data'!$L$2:$L$1001,SUBSTITUTE(SUBSTITUTE(SUBSTITUTE(L804,"~","~~"),"*","~*"),"?","~?")))</x:f>
      </x:c>
      <x:c r="I804" s="13" t="str">
        <x:f>IF(OR(H804&lt;&gt;1,G804&lt;&gt;1),"",SUMIFS('App Data'!$E$2:$E$1001,'App Data'!$L$2:$L$1001,SUBSTITUTE(SUBSTITUTE(SUBSTITUTE(L804,"~","~~"),"*","~*"),"?","~?")))</x:f>
      </x:c>
      <x:c r="J804" s="13" t="str">
        <x:f>IF(OR(NOT(ISNUMBER(E804)),NOT(ISNUMBER(I804))),"",ROUND(E804-I804,2))</x:f>
      </x:c>
      <x:c r="K804" s="2" t="str">
        <x:f>IF(COUNTA(A804:F804)=0,"",IF(OR(A804="",B804="",C804="",D804="",NOT(ISNUMBER(E804))),"Missing / invalid input",IF(G804&gt;1,"Duplicate key in this source",IF(H804=0,"Missing in other source",IF(H804&gt;1,"Duplicate in other source",IF(SUMIFS('App Data'!$M$2:$M$1001,'App Data'!$L$2:$L$1001,SUBSTITUTE(SUBSTITUTE(SUBSTITUTE(L804,"~","~~"),"*","~*"),"?","~?"))&lt;&gt;1,"Other amount is invalid",IF(J804&lt;&gt;0,"Amount differs","Matched")))))))</x:f>
      </x:c>
      <x:c r="L804" t="str">
        <x:f>IF(COUNTA(A804:F804)=0,"",LEN(A804)&amp;":"&amp;A804&amp;LEN(B804)&amp;":"&amp;B804&amp;LEN(C804)&amp;":"&amp;C804&amp;LEN(D804)&amp;":"&amp;D804)</x:f>
      </x:c>
      <x:c r="M804" t="str">
        <x:f>IF(COUNTA(A804:F804)=0,"",IF(ISNUMBER(E804),1,0))</x:f>
      </x:c>
    </x:row>
    <x:row r="805">
      <x:c r="A805" s="11"/>
      <x:c r="B805" s="11"/>
      <x:c r="C805" s="11"/>
      <x:c r="D805" s="11"/>
      <x:c r="E805" s="12"/>
      <x:c r="F805" s="10"/>
      <x:c r="G805" s="2" t="str">
        <x:f>IF(COUNTA(A805:F805)=0,"",COUNTIFS('External Data'!$L$2:$L$1001,SUBSTITUTE(SUBSTITUTE(SUBSTITUTE(L805,"~","~~"),"*","~*"),"?","~?")))</x:f>
      </x:c>
      <x:c r="H805" s="2" t="str">
        <x:f>IF(COUNTA(A805:F805)=0,"",COUNTIFS('App Data'!$L$2:$L$1001,SUBSTITUTE(SUBSTITUTE(SUBSTITUTE(L805,"~","~~"),"*","~*"),"?","~?")))</x:f>
      </x:c>
      <x:c r="I805" s="13" t="str">
        <x:f>IF(OR(H805&lt;&gt;1,G805&lt;&gt;1),"",SUMIFS('App Data'!$E$2:$E$1001,'App Data'!$L$2:$L$1001,SUBSTITUTE(SUBSTITUTE(SUBSTITUTE(L805,"~","~~"),"*","~*"),"?","~?")))</x:f>
      </x:c>
      <x:c r="J805" s="13" t="str">
        <x:f>IF(OR(NOT(ISNUMBER(E805)),NOT(ISNUMBER(I805))),"",ROUND(E805-I805,2))</x:f>
      </x:c>
      <x:c r="K805" s="2" t="str">
        <x:f>IF(COUNTA(A805:F805)=0,"",IF(OR(A805="",B805="",C805="",D805="",NOT(ISNUMBER(E805))),"Missing / invalid input",IF(G805&gt;1,"Duplicate key in this source",IF(H805=0,"Missing in other source",IF(H805&gt;1,"Duplicate in other source",IF(SUMIFS('App Data'!$M$2:$M$1001,'App Data'!$L$2:$L$1001,SUBSTITUTE(SUBSTITUTE(SUBSTITUTE(L805,"~","~~"),"*","~*"),"?","~?"))&lt;&gt;1,"Other amount is invalid",IF(J805&lt;&gt;0,"Amount differs","Matched")))))))</x:f>
      </x:c>
      <x:c r="L805" t="str">
        <x:f>IF(COUNTA(A805:F805)=0,"",LEN(A805)&amp;":"&amp;A805&amp;LEN(B805)&amp;":"&amp;B805&amp;LEN(C805)&amp;":"&amp;C805&amp;LEN(D805)&amp;":"&amp;D805)</x:f>
      </x:c>
      <x:c r="M805" t="str">
        <x:f>IF(COUNTA(A805:F805)=0,"",IF(ISNUMBER(E805),1,0))</x:f>
      </x:c>
    </x:row>
    <x:row r="806">
      <x:c r="A806" s="11"/>
      <x:c r="B806" s="11"/>
      <x:c r="C806" s="11"/>
      <x:c r="D806" s="11"/>
      <x:c r="E806" s="12"/>
      <x:c r="F806" s="10"/>
      <x:c r="G806" s="2" t="str">
        <x:f>IF(COUNTA(A806:F806)=0,"",COUNTIFS('External Data'!$L$2:$L$1001,SUBSTITUTE(SUBSTITUTE(SUBSTITUTE(L806,"~","~~"),"*","~*"),"?","~?")))</x:f>
      </x:c>
      <x:c r="H806" s="2" t="str">
        <x:f>IF(COUNTA(A806:F806)=0,"",COUNTIFS('App Data'!$L$2:$L$1001,SUBSTITUTE(SUBSTITUTE(SUBSTITUTE(L806,"~","~~"),"*","~*"),"?","~?")))</x:f>
      </x:c>
      <x:c r="I806" s="13" t="str">
        <x:f>IF(OR(H806&lt;&gt;1,G806&lt;&gt;1),"",SUMIFS('App Data'!$E$2:$E$1001,'App Data'!$L$2:$L$1001,SUBSTITUTE(SUBSTITUTE(SUBSTITUTE(L806,"~","~~"),"*","~*"),"?","~?")))</x:f>
      </x:c>
      <x:c r="J806" s="13" t="str">
        <x:f>IF(OR(NOT(ISNUMBER(E806)),NOT(ISNUMBER(I806))),"",ROUND(E806-I806,2))</x:f>
      </x:c>
      <x:c r="K806" s="2" t="str">
        <x:f>IF(COUNTA(A806:F806)=0,"",IF(OR(A806="",B806="",C806="",D806="",NOT(ISNUMBER(E806))),"Missing / invalid input",IF(G806&gt;1,"Duplicate key in this source",IF(H806=0,"Missing in other source",IF(H806&gt;1,"Duplicate in other source",IF(SUMIFS('App Data'!$M$2:$M$1001,'App Data'!$L$2:$L$1001,SUBSTITUTE(SUBSTITUTE(SUBSTITUTE(L806,"~","~~"),"*","~*"),"?","~?"))&lt;&gt;1,"Other amount is invalid",IF(J806&lt;&gt;0,"Amount differs","Matched")))))))</x:f>
      </x:c>
      <x:c r="L806" t="str">
        <x:f>IF(COUNTA(A806:F806)=0,"",LEN(A806)&amp;":"&amp;A806&amp;LEN(B806)&amp;":"&amp;B806&amp;LEN(C806)&amp;":"&amp;C806&amp;LEN(D806)&amp;":"&amp;D806)</x:f>
      </x:c>
      <x:c r="M806" t="str">
        <x:f>IF(COUNTA(A806:F806)=0,"",IF(ISNUMBER(E806),1,0))</x:f>
      </x:c>
    </x:row>
    <x:row r="807">
      <x:c r="A807" s="11"/>
      <x:c r="B807" s="11"/>
      <x:c r="C807" s="11"/>
      <x:c r="D807" s="11"/>
      <x:c r="E807" s="12"/>
      <x:c r="F807" s="10"/>
      <x:c r="G807" s="2" t="str">
        <x:f>IF(COUNTA(A807:F807)=0,"",COUNTIFS('External Data'!$L$2:$L$1001,SUBSTITUTE(SUBSTITUTE(SUBSTITUTE(L807,"~","~~"),"*","~*"),"?","~?")))</x:f>
      </x:c>
      <x:c r="H807" s="2" t="str">
        <x:f>IF(COUNTA(A807:F807)=0,"",COUNTIFS('App Data'!$L$2:$L$1001,SUBSTITUTE(SUBSTITUTE(SUBSTITUTE(L807,"~","~~"),"*","~*"),"?","~?")))</x:f>
      </x:c>
      <x:c r="I807" s="13" t="str">
        <x:f>IF(OR(H807&lt;&gt;1,G807&lt;&gt;1),"",SUMIFS('App Data'!$E$2:$E$1001,'App Data'!$L$2:$L$1001,SUBSTITUTE(SUBSTITUTE(SUBSTITUTE(L807,"~","~~"),"*","~*"),"?","~?")))</x:f>
      </x:c>
      <x:c r="J807" s="13" t="str">
        <x:f>IF(OR(NOT(ISNUMBER(E807)),NOT(ISNUMBER(I807))),"",ROUND(E807-I807,2))</x:f>
      </x:c>
      <x:c r="K807" s="2" t="str">
        <x:f>IF(COUNTA(A807:F807)=0,"",IF(OR(A807="",B807="",C807="",D807="",NOT(ISNUMBER(E807))),"Missing / invalid input",IF(G807&gt;1,"Duplicate key in this source",IF(H807=0,"Missing in other source",IF(H807&gt;1,"Duplicate in other source",IF(SUMIFS('App Data'!$M$2:$M$1001,'App Data'!$L$2:$L$1001,SUBSTITUTE(SUBSTITUTE(SUBSTITUTE(L807,"~","~~"),"*","~*"),"?","~?"))&lt;&gt;1,"Other amount is invalid",IF(J807&lt;&gt;0,"Amount differs","Matched")))))))</x:f>
      </x:c>
      <x:c r="L807" t="str">
        <x:f>IF(COUNTA(A807:F807)=0,"",LEN(A807)&amp;":"&amp;A807&amp;LEN(B807)&amp;":"&amp;B807&amp;LEN(C807)&amp;":"&amp;C807&amp;LEN(D807)&amp;":"&amp;D807)</x:f>
      </x:c>
      <x:c r="M807" t="str">
        <x:f>IF(COUNTA(A807:F807)=0,"",IF(ISNUMBER(E807),1,0))</x:f>
      </x:c>
    </x:row>
    <x:row r="808">
      <x:c r="A808" s="11"/>
      <x:c r="B808" s="11"/>
      <x:c r="C808" s="11"/>
      <x:c r="D808" s="11"/>
      <x:c r="E808" s="12"/>
      <x:c r="F808" s="10"/>
      <x:c r="G808" s="2" t="str">
        <x:f>IF(COUNTA(A808:F808)=0,"",COUNTIFS('External Data'!$L$2:$L$1001,SUBSTITUTE(SUBSTITUTE(SUBSTITUTE(L808,"~","~~"),"*","~*"),"?","~?")))</x:f>
      </x:c>
      <x:c r="H808" s="2" t="str">
        <x:f>IF(COUNTA(A808:F808)=0,"",COUNTIFS('App Data'!$L$2:$L$1001,SUBSTITUTE(SUBSTITUTE(SUBSTITUTE(L808,"~","~~"),"*","~*"),"?","~?")))</x:f>
      </x:c>
      <x:c r="I808" s="13" t="str">
        <x:f>IF(OR(H808&lt;&gt;1,G808&lt;&gt;1),"",SUMIFS('App Data'!$E$2:$E$1001,'App Data'!$L$2:$L$1001,SUBSTITUTE(SUBSTITUTE(SUBSTITUTE(L808,"~","~~"),"*","~*"),"?","~?")))</x:f>
      </x:c>
      <x:c r="J808" s="13" t="str">
        <x:f>IF(OR(NOT(ISNUMBER(E808)),NOT(ISNUMBER(I808))),"",ROUND(E808-I808,2))</x:f>
      </x:c>
      <x:c r="K808" s="2" t="str">
        <x:f>IF(COUNTA(A808:F808)=0,"",IF(OR(A808="",B808="",C808="",D808="",NOT(ISNUMBER(E808))),"Missing / invalid input",IF(G808&gt;1,"Duplicate key in this source",IF(H808=0,"Missing in other source",IF(H808&gt;1,"Duplicate in other source",IF(SUMIFS('App Data'!$M$2:$M$1001,'App Data'!$L$2:$L$1001,SUBSTITUTE(SUBSTITUTE(SUBSTITUTE(L808,"~","~~"),"*","~*"),"?","~?"))&lt;&gt;1,"Other amount is invalid",IF(J808&lt;&gt;0,"Amount differs","Matched")))))))</x:f>
      </x:c>
      <x:c r="L808" t="str">
        <x:f>IF(COUNTA(A808:F808)=0,"",LEN(A808)&amp;":"&amp;A808&amp;LEN(B808)&amp;":"&amp;B808&amp;LEN(C808)&amp;":"&amp;C808&amp;LEN(D808)&amp;":"&amp;D808)</x:f>
      </x:c>
      <x:c r="M808" t="str">
        <x:f>IF(COUNTA(A808:F808)=0,"",IF(ISNUMBER(E808),1,0))</x:f>
      </x:c>
    </x:row>
    <x:row r="809">
      <x:c r="A809" s="11"/>
      <x:c r="B809" s="11"/>
      <x:c r="C809" s="11"/>
      <x:c r="D809" s="11"/>
      <x:c r="E809" s="12"/>
      <x:c r="F809" s="10"/>
      <x:c r="G809" s="2" t="str">
        <x:f>IF(COUNTA(A809:F809)=0,"",COUNTIFS('External Data'!$L$2:$L$1001,SUBSTITUTE(SUBSTITUTE(SUBSTITUTE(L809,"~","~~"),"*","~*"),"?","~?")))</x:f>
      </x:c>
      <x:c r="H809" s="2" t="str">
        <x:f>IF(COUNTA(A809:F809)=0,"",COUNTIFS('App Data'!$L$2:$L$1001,SUBSTITUTE(SUBSTITUTE(SUBSTITUTE(L809,"~","~~"),"*","~*"),"?","~?")))</x:f>
      </x:c>
      <x:c r="I809" s="13" t="str">
        <x:f>IF(OR(H809&lt;&gt;1,G809&lt;&gt;1),"",SUMIFS('App Data'!$E$2:$E$1001,'App Data'!$L$2:$L$1001,SUBSTITUTE(SUBSTITUTE(SUBSTITUTE(L809,"~","~~"),"*","~*"),"?","~?")))</x:f>
      </x:c>
      <x:c r="J809" s="13" t="str">
        <x:f>IF(OR(NOT(ISNUMBER(E809)),NOT(ISNUMBER(I809))),"",ROUND(E809-I809,2))</x:f>
      </x:c>
      <x:c r="K809" s="2" t="str">
        <x:f>IF(COUNTA(A809:F809)=0,"",IF(OR(A809="",B809="",C809="",D809="",NOT(ISNUMBER(E809))),"Missing / invalid input",IF(G809&gt;1,"Duplicate key in this source",IF(H809=0,"Missing in other source",IF(H809&gt;1,"Duplicate in other source",IF(SUMIFS('App Data'!$M$2:$M$1001,'App Data'!$L$2:$L$1001,SUBSTITUTE(SUBSTITUTE(SUBSTITUTE(L809,"~","~~"),"*","~*"),"?","~?"))&lt;&gt;1,"Other amount is invalid",IF(J809&lt;&gt;0,"Amount differs","Matched")))))))</x:f>
      </x:c>
      <x:c r="L809" t="str">
        <x:f>IF(COUNTA(A809:F809)=0,"",LEN(A809)&amp;":"&amp;A809&amp;LEN(B809)&amp;":"&amp;B809&amp;LEN(C809)&amp;":"&amp;C809&amp;LEN(D809)&amp;":"&amp;D809)</x:f>
      </x:c>
      <x:c r="M809" t="str">
        <x:f>IF(COUNTA(A809:F809)=0,"",IF(ISNUMBER(E809),1,0))</x:f>
      </x:c>
    </x:row>
    <x:row r="810">
      <x:c r="A810" s="11"/>
      <x:c r="B810" s="11"/>
      <x:c r="C810" s="11"/>
      <x:c r="D810" s="11"/>
      <x:c r="E810" s="12"/>
      <x:c r="F810" s="10"/>
      <x:c r="G810" s="2" t="str">
        <x:f>IF(COUNTA(A810:F810)=0,"",COUNTIFS('External Data'!$L$2:$L$1001,SUBSTITUTE(SUBSTITUTE(SUBSTITUTE(L810,"~","~~"),"*","~*"),"?","~?")))</x:f>
      </x:c>
      <x:c r="H810" s="2" t="str">
        <x:f>IF(COUNTA(A810:F810)=0,"",COUNTIFS('App Data'!$L$2:$L$1001,SUBSTITUTE(SUBSTITUTE(SUBSTITUTE(L810,"~","~~"),"*","~*"),"?","~?")))</x:f>
      </x:c>
      <x:c r="I810" s="13" t="str">
        <x:f>IF(OR(H810&lt;&gt;1,G810&lt;&gt;1),"",SUMIFS('App Data'!$E$2:$E$1001,'App Data'!$L$2:$L$1001,SUBSTITUTE(SUBSTITUTE(SUBSTITUTE(L810,"~","~~"),"*","~*"),"?","~?")))</x:f>
      </x:c>
      <x:c r="J810" s="13" t="str">
        <x:f>IF(OR(NOT(ISNUMBER(E810)),NOT(ISNUMBER(I810))),"",ROUND(E810-I810,2))</x:f>
      </x:c>
      <x:c r="K810" s="2" t="str">
        <x:f>IF(COUNTA(A810:F810)=0,"",IF(OR(A810="",B810="",C810="",D810="",NOT(ISNUMBER(E810))),"Missing / invalid input",IF(G810&gt;1,"Duplicate key in this source",IF(H810=0,"Missing in other source",IF(H810&gt;1,"Duplicate in other source",IF(SUMIFS('App Data'!$M$2:$M$1001,'App Data'!$L$2:$L$1001,SUBSTITUTE(SUBSTITUTE(SUBSTITUTE(L810,"~","~~"),"*","~*"),"?","~?"))&lt;&gt;1,"Other amount is invalid",IF(J810&lt;&gt;0,"Amount differs","Matched")))))))</x:f>
      </x:c>
      <x:c r="L810" t="str">
        <x:f>IF(COUNTA(A810:F810)=0,"",LEN(A810)&amp;":"&amp;A810&amp;LEN(B810)&amp;":"&amp;B810&amp;LEN(C810)&amp;":"&amp;C810&amp;LEN(D810)&amp;":"&amp;D810)</x:f>
      </x:c>
      <x:c r="M810" t="str">
        <x:f>IF(COUNTA(A810:F810)=0,"",IF(ISNUMBER(E810),1,0))</x:f>
      </x:c>
    </x:row>
    <x:row r="811">
      <x:c r="A811" s="11"/>
      <x:c r="B811" s="11"/>
      <x:c r="C811" s="11"/>
      <x:c r="D811" s="11"/>
      <x:c r="E811" s="12"/>
      <x:c r="F811" s="10"/>
      <x:c r="G811" s="2" t="str">
        <x:f>IF(COUNTA(A811:F811)=0,"",COUNTIFS('External Data'!$L$2:$L$1001,SUBSTITUTE(SUBSTITUTE(SUBSTITUTE(L811,"~","~~"),"*","~*"),"?","~?")))</x:f>
      </x:c>
      <x:c r="H811" s="2" t="str">
        <x:f>IF(COUNTA(A811:F811)=0,"",COUNTIFS('App Data'!$L$2:$L$1001,SUBSTITUTE(SUBSTITUTE(SUBSTITUTE(L811,"~","~~"),"*","~*"),"?","~?")))</x:f>
      </x:c>
      <x:c r="I811" s="13" t="str">
        <x:f>IF(OR(H811&lt;&gt;1,G811&lt;&gt;1),"",SUMIFS('App Data'!$E$2:$E$1001,'App Data'!$L$2:$L$1001,SUBSTITUTE(SUBSTITUTE(SUBSTITUTE(L811,"~","~~"),"*","~*"),"?","~?")))</x:f>
      </x:c>
      <x:c r="J811" s="13" t="str">
        <x:f>IF(OR(NOT(ISNUMBER(E811)),NOT(ISNUMBER(I811))),"",ROUND(E811-I811,2))</x:f>
      </x:c>
      <x:c r="K811" s="2" t="str">
        <x:f>IF(COUNTA(A811:F811)=0,"",IF(OR(A811="",B811="",C811="",D811="",NOT(ISNUMBER(E811))),"Missing / invalid input",IF(G811&gt;1,"Duplicate key in this source",IF(H811=0,"Missing in other source",IF(H811&gt;1,"Duplicate in other source",IF(SUMIFS('App Data'!$M$2:$M$1001,'App Data'!$L$2:$L$1001,SUBSTITUTE(SUBSTITUTE(SUBSTITUTE(L811,"~","~~"),"*","~*"),"?","~?"))&lt;&gt;1,"Other amount is invalid",IF(J811&lt;&gt;0,"Amount differs","Matched")))))))</x:f>
      </x:c>
      <x:c r="L811" t="str">
        <x:f>IF(COUNTA(A811:F811)=0,"",LEN(A811)&amp;":"&amp;A811&amp;LEN(B811)&amp;":"&amp;B811&amp;LEN(C811)&amp;":"&amp;C811&amp;LEN(D811)&amp;":"&amp;D811)</x:f>
      </x:c>
      <x:c r="M811" t="str">
        <x:f>IF(COUNTA(A811:F811)=0,"",IF(ISNUMBER(E811),1,0))</x:f>
      </x:c>
    </x:row>
    <x:row r="812">
      <x:c r="A812" s="11"/>
      <x:c r="B812" s="11"/>
      <x:c r="C812" s="11"/>
      <x:c r="D812" s="11"/>
      <x:c r="E812" s="12"/>
      <x:c r="F812" s="10"/>
      <x:c r="G812" s="2" t="str">
        <x:f>IF(COUNTA(A812:F812)=0,"",COUNTIFS('External Data'!$L$2:$L$1001,SUBSTITUTE(SUBSTITUTE(SUBSTITUTE(L812,"~","~~"),"*","~*"),"?","~?")))</x:f>
      </x:c>
      <x:c r="H812" s="2" t="str">
        <x:f>IF(COUNTA(A812:F812)=0,"",COUNTIFS('App Data'!$L$2:$L$1001,SUBSTITUTE(SUBSTITUTE(SUBSTITUTE(L812,"~","~~"),"*","~*"),"?","~?")))</x:f>
      </x:c>
      <x:c r="I812" s="13" t="str">
        <x:f>IF(OR(H812&lt;&gt;1,G812&lt;&gt;1),"",SUMIFS('App Data'!$E$2:$E$1001,'App Data'!$L$2:$L$1001,SUBSTITUTE(SUBSTITUTE(SUBSTITUTE(L812,"~","~~"),"*","~*"),"?","~?")))</x:f>
      </x:c>
      <x:c r="J812" s="13" t="str">
        <x:f>IF(OR(NOT(ISNUMBER(E812)),NOT(ISNUMBER(I812))),"",ROUND(E812-I812,2))</x:f>
      </x:c>
      <x:c r="K812" s="2" t="str">
        <x:f>IF(COUNTA(A812:F812)=0,"",IF(OR(A812="",B812="",C812="",D812="",NOT(ISNUMBER(E812))),"Missing / invalid input",IF(G812&gt;1,"Duplicate key in this source",IF(H812=0,"Missing in other source",IF(H812&gt;1,"Duplicate in other source",IF(SUMIFS('App Data'!$M$2:$M$1001,'App Data'!$L$2:$L$1001,SUBSTITUTE(SUBSTITUTE(SUBSTITUTE(L812,"~","~~"),"*","~*"),"?","~?"))&lt;&gt;1,"Other amount is invalid",IF(J812&lt;&gt;0,"Amount differs","Matched")))))))</x:f>
      </x:c>
      <x:c r="L812" t="str">
        <x:f>IF(COUNTA(A812:F812)=0,"",LEN(A812)&amp;":"&amp;A812&amp;LEN(B812)&amp;":"&amp;B812&amp;LEN(C812)&amp;":"&amp;C812&amp;LEN(D812)&amp;":"&amp;D812)</x:f>
      </x:c>
      <x:c r="M812" t="str">
        <x:f>IF(COUNTA(A812:F812)=0,"",IF(ISNUMBER(E812),1,0))</x:f>
      </x:c>
    </x:row>
    <x:row r="813">
      <x:c r="A813" s="11"/>
      <x:c r="B813" s="11"/>
      <x:c r="C813" s="11"/>
      <x:c r="D813" s="11"/>
      <x:c r="E813" s="12"/>
      <x:c r="F813" s="10"/>
      <x:c r="G813" s="2" t="str">
        <x:f>IF(COUNTA(A813:F813)=0,"",COUNTIFS('External Data'!$L$2:$L$1001,SUBSTITUTE(SUBSTITUTE(SUBSTITUTE(L813,"~","~~"),"*","~*"),"?","~?")))</x:f>
      </x:c>
      <x:c r="H813" s="2" t="str">
        <x:f>IF(COUNTA(A813:F813)=0,"",COUNTIFS('App Data'!$L$2:$L$1001,SUBSTITUTE(SUBSTITUTE(SUBSTITUTE(L813,"~","~~"),"*","~*"),"?","~?")))</x:f>
      </x:c>
      <x:c r="I813" s="13" t="str">
        <x:f>IF(OR(H813&lt;&gt;1,G813&lt;&gt;1),"",SUMIFS('App Data'!$E$2:$E$1001,'App Data'!$L$2:$L$1001,SUBSTITUTE(SUBSTITUTE(SUBSTITUTE(L813,"~","~~"),"*","~*"),"?","~?")))</x:f>
      </x:c>
      <x:c r="J813" s="13" t="str">
        <x:f>IF(OR(NOT(ISNUMBER(E813)),NOT(ISNUMBER(I813))),"",ROUND(E813-I813,2))</x:f>
      </x:c>
      <x:c r="K813" s="2" t="str">
        <x:f>IF(COUNTA(A813:F813)=0,"",IF(OR(A813="",B813="",C813="",D813="",NOT(ISNUMBER(E813))),"Missing / invalid input",IF(G813&gt;1,"Duplicate key in this source",IF(H813=0,"Missing in other source",IF(H813&gt;1,"Duplicate in other source",IF(SUMIFS('App Data'!$M$2:$M$1001,'App Data'!$L$2:$L$1001,SUBSTITUTE(SUBSTITUTE(SUBSTITUTE(L813,"~","~~"),"*","~*"),"?","~?"))&lt;&gt;1,"Other amount is invalid",IF(J813&lt;&gt;0,"Amount differs","Matched")))))))</x:f>
      </x:c>
      <x:c r="L813" t="str">
        <x:f>IF(COUNTA(A813:F813)=0,"",LEN(A813)&amp;":"&amp;A813&amp;LEN(B813)&amp;":"&amp;B813&amp;LEN(C813)&amp;":"&amp;C813&amp;LEN(D813)&amp;":"&amp;D813)</x:f>
      </x:c>
      <x:c r="M813" t="str">
        <x:f>IF(COUNTA(A813:F813)=0,"",IF(ISNUMBER(E813),1,0))</x:f>
      </x:c>
    </x:row>
    <x:row r="814">
      <x:c r="A814" s="11"/>
      <x:c r="B814" s="11"/>
      <x:c r="C814" s="11"/>
      <x:c r="D814" s="11"/>
      <x:c r="E814" s="12"/>
      <x:c r="F814" s="10"/>
      <x:c r="G814" s="2" t="str">
        <x:f>IF(COUNTA(A814:F814)=0,"",COUNTIFS('External Data'!$L$2:$L$1001,SUBSTITUTE(SUBSTITUTE(SUBSTITUTE(L814,"~","~~"),"*","~*"),"?","~?")))</x:f>
      </x:c>
      <x:c r="H814" s="2" t="str">
        <x:f>IF(COUNTA(A814:F814)=0,"",COUNTIFS('App Data'!$L$2:$L$1001,SUBSTITUTE(SUBSTITUTE(SUBSTITUTE(L814,"~","~~"),"*","~*"),"?","~?")))</x:f>
      </x:c>
      <x:c r="I814" s="13" t="str">
        <x:f>IF(OR(H814&lt;&gt;1,G814&lt;&gt;1),"",SUMIFS('App Data'!$E$2:$E$1001,'App Data'!$L$2:$L$1001,SUBSTITUTE(SUBSTITUTE(SUBSTITUTE(L814,"~","~~"),"*","~*"),"?","~?")))</x:f>
      </x:c>
      <x:c r="J814" s="13" t="str">
        <x:f>IF(OR(NOT(ISNUMBER(E814)),NOT(ISNUMBER(I814))),"",ROUND(E814-I814,2))</x:f>
      </x:c>
      <x:c r="K814" s="2" t="str">
        <x:f>IF(COUNTA(A814:F814)=0,"",IF(OR(A814="",B814="",C814="",D814="",NOT(ISNUMBER(E814))),"Missing / invalid input",IF(G814&gt;1,"Duplicate key in this source",IF(H814=0,"Missing in other source",IF(H814&gt;1,"Duplicate in other source",IF(SUMIFS('App Data'!$M$2:$M$1001,'App Data'!$L$2:$L$1001,SUBSTITUTE(SUBSTITUTE(SUBSTITUTE(L814,"~","~~"),"*","~*"),"?","~?"))&lt;&gt;1,"Other amount is invalid",IF(J814&lt;&gt;0,"Amount differs","Matched")))))))</x:f>
      </x:c>
      <x:c r="L814" t="str">
        <x:f>IF(COUNTA(A814:F814)=0,"",LEN(A814)&amp;":"&amp;A814&amp;LEN(B814)&amp;":"&amp;B814&amp;LEN(C814)&amp;":"&amp;C814&amp;LEN(D814)&amp;":"&amp;D814)</x:f>
      </x:c>
      <x:c r="M814" t="str">
        <x:f>IF(COUNTA(A814:F814)=0,"",IF(ISNUMBER(E814),1,0))</x:f>
      </x:c>
    </x:row>
    <x:row r="815">
      <x:c r="A815" s="11"/>
      <x:c r="B815" s="11"/>
      <x:c r="C815" s="11"/>
      <x:c r="D815" s="11"/>
      <x:c r="E815" s="12"/>
      <x:c r="F815" s="10"/>
      <x:c r="G815" s="2" t="str">
        <x:f>IF(COUNTA(A815:F815)=0,"",COUNTIFS('External Data'!$L$2:$L$1001,SUBSTITUTE(SUBSTITUTE(SUBSTITUTE(L815,"~","~~"),"*","~*"),"?","~?")))</x:f>
      </x:c>
      <x:c r="H815" s="2" t="str">
        <x:f>IF(COUNTA(A815:F815)=0,"",COUNTIFS('App Data'!$L$2:$L$1001,SUBSTITUTE(SUBSTITUTE(SUBSTITUTE(L815,"~","~~"),"*","~*"),"?","~?")))</x:f>
      </x:c>
      <x:c r="I815" s="13" t="str">
        <x:f>IF(OR(H815&lt;&gt;1,G815&lt;&gt;1),"",SUMIFS('App Data'!$E$2:$E$1001,'App Data'!$L$2:$L$1001,SUBSTITUTE(SUBSTITUTE(SUBSTITUTE(L815,"~","~~"),"*","~*"),"?","~?")))</x:f>
      </x:c>
      <x:c r="J815" s="13" t="str">
        <x:f>IF(OR(NOT(ISNUMBER(E815)),NOT(ISNUMBER(I815))),"",ROUND(E815-I815,2))</x:f>
      </x:c>
      <x:c r="K815" s="2" t="str">
        <x:f>IF(COUNTA(A815:F815)=0,"",IF(OR(A815="",B815="",C815="",D815="",NOT(ISNUMBER(E815))),"Missing / invalid input",IF(G815&gt;1,"Duplicate key in this source",IF(H815=0,"Missing in other source",IF(H815&gt;1,"Duplicate in other source",IF(SUMIFS('App Data'!$M$2:$M$1001,'App Data'!$L$2:$L$1001,SUBSTITUTE(SUBSTITUTE(SUBSTITUTE(L815,"~","~~"),"*","~*"),"?","~?"))&lt;&gt;1,"Other amount is invalid",IF(J815&lt;&gt;0,"Amount differs","Matched")))))))</x:f>
      </x:c>
      <x:c r="L815" t="str">
        <x:f>IF(COUNTA(A815:F815)=0,"",LEN(A815)&amp;":"&amp;A815&amp;LEN(B815)&amp;":"&amp;B815&amp;LEN(C815)&amp;":"&amp;C815&amp;LEN(D815)&amp;":"&amp;D815)</x:f>
      </x:c>
      <x:c r="M815" t="str">
        <x:f>IF(COUNTA(A815:F815)=0,"",IF(ISNUMBER(E815),1,0))</x:f>
      </x:c>
    </x:row>
    <x:row r="816">
      <x:c r="A816" s="11"/>
      <x:c r="B816" s="11"/>
      <x:c r="C816" s="11"/>
      <x:c r="D816" s="11"/>
      <x:c r="E816" s="12"/>
      <x:c r="F816" s="10"/>
      <x:c r="G816" s="2" t="str">
        <x:f>IF(COUNTA(A816:F816)=0,"",COUNTIFS('External Data'!$L$2:$L$1001,SUBSTITUTE(SUBSTITUTE(SUBSTITUTE(L816,"~","~~"),"*","~*"),"?","~?")))</x:f>
      </x:c>
      <x:c r="H816" s="2" t="str">
        <x:f>IF(COUNTA(A816:F816)=0,"",COUNTIFS('App Data'!$L$2:$L$1001,SUBSTITUTE(SUBSTITUTE(SUBSTITUTE(L816,"~","~~"),"*","~*"),"?","~?")))</x:f>
      </x:c>
      <x:c r="I816" s="13" t="str">
        <x:f>IF(OR(H816&lt;&gt;1,G816&lt;&gt;1),"",SUMIFS('App Data'!$E$2:$E$1001,'App Data'!$L$2:$L$1001,SUBSTITUTE(SUBSTITUTE(SUBSTITUTE(L816,"~","~~"),"*","~*"),"?","~?")))</x:f>
      </x:c>
      <x:c r="J816" s="13" t="str">
        <x:f>IF(OR(NOT(ISNUMBER(E816)),NOT(ISNUMBER(I816))),"",ROUND(E816-I816,2))</x:f>
      </x:c>
      <x:c r="K816" s="2" t="str">
        <x:f>IF(COUNTA(A816:F816)=0,"",IF(OR(A816="",B816="",C816="",D816="",NOT(ISNUMBER(E816))),"Missing / invalid input",IF(G816&gt;1,"Duplicate key in this source",IF(H816=0,"Missing in other source",IF(H816&gt;1,"Duplicate in other source",IF(SUMIFS('App Data'!$M$2:$M$1001,'App Data'!$L$2:$L$1001,SUBSTITUTE(SUBSTITUTE(SUBSTITUTE(L816,"~","~~"),"*","~*"),"?","~?"))&lt;&gt;1,"Other amount is invalid",IF(J816&lt;&gt;0,"Amount differs","Matched")))))))</x:f>
      </x:c>
      <x:c r="L816" t="str">
        <x:f>IF(COUNTA(A816:F816)=0,"",LEN(A816)&amp;":"&amp;A816&amp;LEN(B816)&amp;":"&amp;B816&amp;LEN(C816)&amp;":"&amp;C816&amp;LEN(D816)&amp;":"&amp;D816)</x:f>
      </x:c>
      <x:c r="M816" t="str">
        <x:f>IF(COUNTA(A816:F816)=0,"",IF(ISNUMBER(E816),1,0))</x:f>
      </x:c>
    </x:row>
    <x:row r="817">
      <x:c r="A817" s="11"/>
      <x:c r="B817" s="11"/>
      <x:c r="C817" s="11"/>
      <x:c r="D817" s="11"/>
      <x:c r="E817" s="12"/>
      <x:c r="F817" s="10"/>
      <x:c r="G817" s="2" t="str">
        <x:f>IF(COUNTA(A817:F817)=0,"",COUNTIFS('External Data'!$L$2:$L$1001,SUBSTITUTE(SUBSTITUTE(SUBSTITUTE(L817,"~","~~"),"*","~*"),"?","~?")))</x:f>
      </x:c>
      <x:c r="H817" s="2" t="str">
        <x:f>IF(COUNTA(A817:F817)=0,"",COUNTIFS('App Data'!$L$2:$L$1001,SUBSTITUTE(SUBSTITUTE(SUBSTITUTE(L817,"~","~~"),"*","~*"),"?","~?")))</x:f>
      </x:c>
      <x:c r="I817" s="13" t="str">
        <x:f>IF(OR(H817&lt;&gt;1,G817&lt;&gt;1),"",SUMIFS('App Data'!$E$2:$E$1001,'App Data'!$L$2:$L$1001,SUBSTITUTE(SUBSTITUTE(SUBSTITUTE(L817,"~","~~"),"*","~*"),"?","~?")))</x:f>
      </x:c>
      <x:c r="J817" s="13" t="str">
        <x:f>IF(OR(NOT(ISNUMBER(E817)),NOT(ISNUMBER(I817))),"",ROUND(E817-I817,2))</x:f>
      </x:c>
      <x:c r="K817" s="2" t="str">
        <x:f>IF(COUNTA(A817:F817)=0,"",IF(OR(A817="",B817="",C817="",D817="",NOT(ISNUMBER(E817))),"Missing / invalid input",IF(G817&gt;1,"Duplicate key in this source",IF(H817=0,"Missing in other source",IF(H817&gt;1,"Duplicate in other source",IF(SUMIFS('App Data'!$M$2:$M$1001,'App Data'!$L$2:$L$1001,SUBSTITUTE(SUBSTITUTE(SUBSTITUTE(L817,"~","~~"),"*","~*"),"?","~?"))&lt;&gt;1,"Other amount is invalid",IF(J817&lt;&gt;0,"Amount differs","Matched")))))))</x:f>
      </x:c>
      <x:c r="L817" t="str">
        <x:f>IF(COUNTA(A817:F817)=0,"",LEN(A817)&amp;":"&amp;A817&amp;LEN(B817)&amp;":"&amp;B817&amp;LEN(C817)&amp;":"&amp;C817&amp;LEN(D817)&amp;":"&amp;D817)</x:f>
      </x:c>
      <x:c r="M817" t="str">
        <x:f>IF(COUNTA(A817:F817)=0,"",IF(ISNUMBER(E817),1,0))</x:f>
      </x:c>
    </x:row>
    <x:row r="818">
      <x:c r="A818" s="11"/>
      <x:c r="B818" s="11"/>
      <x:c r="C818" s="11"/>
      <x:c r="D818" s="11"/>
      <x:c r="E818" s="12"/>
      <x:c r="F818" s="10"/>
      <x:c r="G818" s="2" t="str">
        <x:f>IF(COUNTA(A818:F818)=0,"",COUNTIFS('External Data'!$L$2:$L$1001,SUBSTITUTE(SUBSTITUTE(SUBSTITUTE(L818,"~","~~"),"*","~*"),"?","~?")))</x:f>
      </x:c>
      <x:c r="H818" s="2" t="str">
        <x:f>IF(COUNTA(A818:F818)=0,"",COUNTIFS('App Data'!$L$2:$L$1001,SUBSTITUTE(SUBSTITUTE(SUBSTITUTE(L818,"~","~~"),"*","~*"),"?","~?")))</x:f>
      </x:c>
      <x:c r="I818" s="13" t="str">
        <x:f>IF(OR(H818&lt;&gt;1,G818&lt;&gt;1),"",SUMIFS('App Data'!$E$2:$E$1001,'App Data'!$L$2:$L$1001,SUBSTITUTE(SUBSTITUTE(SUBSTITUTE(L818,"~","~~"),"*","~*"),"?","~?")))</x:f>
      </x:c>
      <x:c r="J818" s="13" t="str">
        <x:f>IF(OR(NOT(ISNUMBER(E818)),NOT(ISNUMBER(I818))),"",ROUND(E818-I818,2))</x:f>
      </x:c>
      <x:c r="K818" s="2" t="str">
        <x:f>IF(COUNTA(A818:F818)=0,"",IF(OR(A818="",B818="",C818="",D818="",NOT(ISNUMBER(E818))),"Missing / invalid input",IF(G818&gt;1,"Duplicate key in this source",IF(H818=0,"Missing in other source",IF(H818&gt;1,"Duplicate in other source",IF(SUMIFS('App Data'!$M$2:$M$1001,'App Data'!$L$2:$L$1001,SUBSTITUTE(SUBSTITUTE(SUBSTITUTE(L818,"~","~~"),"*","~*"),"?","~?"))&lt;&gt;1,"Other amount is invalid",IF(J818&lt;&gt;0,"Amount differs","Matched")))))))</x:f>
      </x:c>
      <x:c r="L818" t="str">
        <x:f>IF(COUNTA(A818:F818)=0,"",LEN(A818)&amp;":"&amp;A818&amp;LEN(B818)&amp;":"&amp;B818&amp;LEN(C818)&amp;":"&amp;C818&amp;LEN(D818)&amp;":"&amp;D818)</x:f>
      </x:c>
      <x:c r="M818" t="str">
        <x:f>IF(COUNTA(A818:F818)=0,"",IF(ISNUMBER(E818),1,0))</x:f>
      </x:c>
    </x:row>
    <x:row r="819">
      <x:c r="A819" s="11"/>
      <x:c r="B819" s="11"/>
      <x:c r="C819" s="11"/>
      <x:c r="D819" s="11"/>
      <x:c r="E819" s="12"/>
      <x:c r="F819" s="10"/>
      <x:c r="G819" s="2" t="str">
        <x:f>IF(COUNTA(A819:F819)=0,"",COUNTIFS('External Data'!$L$2:$L$1001,SUBSTITUTE(SUBSTITUTE(SUBSTITUTE(L819,"~","~~"),"*","~*"),"?","~?")))</x:f>
      </x:c>
      <x:c r="H819" s="2" t="str">
        <x:f>IF(COUNTA(A819:F819)=0,"",COUNTIFS('App Data'!$L$2:$L$1001,SUBSTITUTE(SUBSTITUTE(SUBSTITUTE(L819,"~","~~"),"*","~*"),"?","~?")))</x:f>
      </x:c>
      <x:c r="I819" s="13" t="str">
        <x:f>IF(OR(H819&lt;&gt;1,G819&lt;&gt;1),"",SUMIFS('App Data'!$E$2:$E$1001,'App Data'!$L$2:$L$1001,SUBSTITUTE(SUBSTITUTE(SUBSTITUTE(L819,"~","~~"),"*","~*"),"?","~?")))</x:f>
      </x:c>
      <x:c r="J819" s="13" t="str">
        <x:f>IF(OR(NOT(ISNUMBER(E819)),NOT(ISNUMBER(I819))),"",ROUND(E819-I819,2))</x:f>
      </x:c>
      <x:c r="K819" s="2" t="str">
        <x:f>IF(COUNTA(A819:F819)=0,"",IF(OR(A819="",B819="",C819="",D819="",NOT(ISNUMBER(E819))),"Missing / invalid input",IF(G819&gt;1,"Duplicate key in this source",IF(H819=0,"Missing in other source",IF(H819&gt;1,"Duplicate in other source",IF(SUMIFS('App Data'!$M$2:$M$1001,'App Data'!$L$2:$L$1001,SUBSTITUTE(SUBSTITUTE(SUBSTITUTE(L819,"~","~~"),"*","~*"),"?","~?"))&lt;&gt;1,"Other amount is invalid",IF(J819&lt;&gt;0,"Amount differs","Matched")))))))</x:f>
      </x:c>
      <x:c r="L819" t="str">
        <x:f>IF(COUNTA(A819:F819)=0,"",LEN(A819)&amp;":"&amp;A819&amp;LEN(B819)&amp;":"&amp;B819&amp;LEN(C819)&amp;":"&amp;C819&amp;LEN(D819)&amp;":"&amp;D819)</x:f>
      </x:c>
      <x:c r="M819" t="str">
        <x:f>IF(COUNTA(A819:F819)=0,"",IF(ISNUMBER(E819),1,0))</x:f>
      </x:c>
    </x:row>
    <x:row r="820">
      <x:c r="A820" s="11"/>
      <x:c r="B820" s="11"/>
      <x:c r="C820" s="11"/>
      <x:c r="D820" s="11"/>
      <x:c r="E820" s="12"/>
      <x:c r="F820" s="10"/>
      <x:c r="G820" s="2" t="str">
        <x:f>IF(COUNTA(A820:F820)=0,"",COUNTIFS('External Data'!$L$2:$L$1001,SUBSTITUTE(SUBSTITUTE(SUBSTITUTE(L820,"~","~~"),"*","~*"),"?","~?")))</x:f>
      </x:c>
      <x:c r="H820" s="2" t="str">
        <x:f>IF(COUNTA(A820:F820)=0,"",COUNTIFS('App Data'!$L$2:$L$1001,SUBSTITUTE(SUBSTITUTE(SUBSTITUTE(L820,"~","~~"),"*","~*"),"?","~?")))</x:f>
      </x:c>
      <x:c r="I820" s="13" t="str">
        <x:f>IF(OR(H820&lt;&gt;1,G820&lt;&gt;1),"",SUMIFS('App Data'!$E$2:$E$1001,'App Data'!$L$2:$L$1001,SUBSTITUTE(SUBSTITUTE(SUBSTITUTE(L820,"~","~~"),"*","~*"),"?","~?")))</x:f>
      </x:c>
      <x:c r="J820" s="13" t="str">
        <x:f>IF(OR(NOT(ISNUMBER(E820)),NOT(ISNUMBER(I820))),"",ROUND(E820-I820,2))</x:f>
      </x:c>
      <x:c r="K820" s="2" t="str">
        <x:f>IF(COUNTA(A820:F820)=0,"",IF(OR(A820="",B820="",C820="",D820="",NOT(ISNUMBER(E820))),"Missing / invalid input",IF(G820&gt;1,"Duplicate key in this source",IF(H820=0,"Missing in other source",IF(H820&gt;1,"Duplicate in other source",IF(SUMIFS('App Data'!$M$2:$M$1001,'App Data'!$L$2:$L$1001,SUBSTITUTE(SUBSTITUTE(SUBSTITUTE(L820,"~","~~"),"*","~*"),"?","~?"))&lt;&gt;1,"Other amount is invalid",IF(J820&lt;&gt;0,"Amount differs","Matched")))))))</x:f>
      </x:c>
      <x:c r="L820" t="str">
        <x:f>IF(COUNTA(A820:F820)=0,"",LEN(A820)&amp;":"&amp;A820&amp;LEN(B820)&amp;":"&amp;B820&amp;LEN(C820)&amp;":"&amp;C820&amp;LEN(D820)&amp;":"&amp;D820)</x:f>
      </x:c>
      <x:c r="M820" t="str">
        <x:f>IF(COUNTA(A820:F820)=0,"",IF(ISNUMBER(E820),1,0))</x:f>
      </x:c>
    </x:row>
    <x:row r="821">
      <x:c r="A821" s="11"/>
      <x:c r="B821" s="11"/>
      <x:c r="C821" s="11"/>
      <x:c r="D821" s="11"/>
      <x:c r="E821" s="12"/>
      <x:c r="F821" s="10"/>
      <x:c r="G821" s="2" t="str">
        <x:f>IF(COUNTA(A821:F821)=0,"",COUNTIFS('External Data'!$L$2:$L$1001,SUBSTITUTE(SUBSTITUTE(SUBSTITUTE(L821,"~","~~"),"*","~*"),"?","~?")))</x:f>
      </x:c>
      <x:c r="H821" s="2" t="str">
        <x:f>IF(COUNTA(A821:F821)=0,"",COUNTIFS('App Data'!$L$2:$L$1001,SUBSTITUTE(SUBSTITUTE(SUBSTITUTE(L821,"~","~~"),"*","~*"),"?","~?")))</x:f>
      </x:c>
      <x:c r="I821" s="13" t="str">
        <x:f>IF(OR(H821&lt;&gt;1,G821&lt;&gt;1),"",SUMIFS('App Data'!$E$2:$E$1001,'App Data'!$L$2:$L$1001,SUBSTITUTE(SUBSTITUTE(SUBSTITUTE(L821,"~","~~"),"*","~*"),"?","~?")))</x:f>
      </x:c>
      <x:c r="J821" s="13" t="str">
        <x:f>IF(OR(NOT(ISNUMBER(E821)),NOT(ISNUMBER(I821))),"",ROUND(E821-I821,2))</x:f>
      </x:c>
      <x:c r="K821" s="2" t="str">
        <x:f>IF(COUNTA(A821:F821)=0,"",IF(OR(A821="",B821="",C821="",D821="",NOT(ISNUMBER(E821))),"Missing / invalid input",IF(G821&gt;1,"Duplicate key in this source",IF(H821=0,"Missing in other source",IF(H821&gt;1,"Duplicate in other source",IF(SUMIFS('App Data'!$M$2:$M$1001,'App Data'!$L$2:$L$1001,SUBSTITUTE(SUBSTITUTE(SUBSTITUTE(L821,"~","~~"),"*","~*"),"?","~?"))&lt;&gt;1,"Other amount is invalid",IF(J821&lt;&gt;0,"Amount differs","Matched")))))))</x:f>
      </x:c>
      <x:c r="L821" t="str">
        <x:f>IF(COUNTA(A821:F821)=0,"",LEN(A821)&amp;":"&amp;A821&amp;LEN(B821)&amp;":"&amp;B821&amp;LEN(C821)&amp;":"&amp;C821&amp;LEN(D821)&amp;":"&amp;D821)</x:f>
      </x:c>
      <x:c r="M821" t="str">
        <x:f>IF(COUNTA(A821:F821)=0,"",IF(ISNUMBER(E821),1,0))</x:f>
      </x:c>
    </x:row>
    <x:row r="822">
      <x:c r="A822" s="11"/>
      <x:c r="B822" s="11"/>
      <x:c r="C822" s="11"/>
      <x:c r="D822" s="11"/>
      <x:c r="E822" s="12"/>
      <x:c r="F822" s="10"/>
      <x:c r="G822" s="2" t="str">
        <x:f>IF(COUNTA(A822:F822)=0,"",COUNTIFS('External Data'!$L$2:$L$1001,SUBSTITUTE(SUBSTITUTE(SUBSTITUTE(L822,"~","~~"),"*","~*"),"?","~?")))</x:f>
      </x:c>
      <x:c r="H822" s="2" t="str">
        <x:f>IF(COUNTA(A822:F822)=0,"",COUNTIFS('App Data'!$L$2:$L$1001,SUBSTITUTE(SUBSTITUTE(SUBSTITUTE(L822,"~","~~"),"*","~*"),"?","~?")))</x:f>
      </x:c>
      <x:c r="I822" s="13" t="str">
        <x:f>IF(OR(H822&lt;&gt;1,G822&lt;&gt;1),"",SUMIFS('App Data'!$E$2:$E$1001,'App Data'!$L$2:$L$1001,SUBSTITUTE(SUBSTITUTE(SUBSTITUTE(L822,"~","~~"),"*","~*"),"?","~?")))</x:f>
      </x:c>
      <x:c r="J822" s="13" t="str">
        <x:f>IF(OR(NOT(ISNUMBER(E822)),NOT(ISNUMBER(I822))),"",ROUND(E822-I822,2))</x:f>
      </x:c>
      <x:c r="K822" s="2" t="str">
        <x:f>IF(COUNTA(A822:F822)=0,"",IF(OR(A822="",B822="",C822="",D822="",NOT(ISNUMBER(E822))),"Missing / invalid input",IF(G822&gt;1,"Duplicate key in this source",IF(H822=0,"Missing in other source",IF(H822&gt;1,"Duplicate in other source",IF(SUMIFS('App Data'!$M$2:$M$1001,'App Data'!$L$2:$L$1001,SUBSTITUTE(SUBSTITUTE(SUBSTITUTE(L822,"~","~~"),"*","~*"),"?","~?"))&lt;&gt;1,"Other amount is invalid",IF(J822&lt;&gt;0,"Amount differs","Matched")))))))</x:f>
      </x:c>
      <x:c r="L822" t="str">
        <x:f>IF(COUNTA(A822:F822)=0,"",LEN(A822)&amp;":"&amp;A822&amp;LEN(B822)&amp;":"&amp;B822&amp;LEN(C822)&amp;":"&amp;C822&amp;LEN(D822)&amp;":"&amp;D822)</x:f>
      </x:c>
      <x:c r="M822" t="str">
        <x:f>IF(COUNTA(A822:F822)=0,"",IF(ISNUMBER(E822),1,0))</x:f>
      </x:c>
    </x:row>
    <x:row r="823">
      <x:c r="A823" s="11"/>
      <x:c r="B823" s="11"/>
      <x:c r="C823" s="11"/>
      <x:c r="D823" s="11"/>
      <x:c r="E823" s="12"/>
      <x:c r="F823" s="10"/>
      <x:c r="G823" s="2" t="str">
        <x:f>IF(COUNTA(A823:F823)=0,"",COUNTIFS('External Data'!$L$2:$L$1001,SUBSTITUTE(SUBSTITUTE(SUBSTITUTE(L823,"~","~~"),"*","~*"),"?","~?")))</x:f>
      </x:c>
      <x:c r="H823" s="2" t="str">
        <x:f>IF(COUNTA(A823:F823)=0,"",COUNTIFS('App Data'!$L$2:$L$1001,SUBSTITUTE(SUBSTITUTE(SUBSTITUTE(L823,"~","~~"),"*","~*"),"?","~?")))</x:f>
      </x:c>
      <x:c r="I823" s="13" t="str">
        <x:f>IF(OR(H823&lt;&gt;1,G823&lt;&gt;1),"",SUMIFS('App Data'!$E$2:$E$1001,'App Data'!$L$2:$L$1001,SUBSTITUTE(SUBSTITUTE(SUBSTITUTE(L823,"~","~~"),"*","~*"),"?","~?")))</x:f>
      </x:c>
      <x:c r="J823" s="13" t="str">
        <x:f>IF(OR(NOT(ISNUMBER(E823)),NOT(ISNUMBER(I823))),"",ROUND(E823-I823,2))</x:f>
      </x:c>
      <x:c r="K823" s="2" t="str">
        <x:f>IF(COUNTA(A823:F823)=0,"",IF(OR(A823="",B823="",C823="",D823="",NOT(ISNUMBER(E823))),"Missing / invalid input",IF(G823&gt;1,"Duplicate key in this source",IF(H823=0,"Missing in other source",IF(H823&gt;1,"Duplicate in other source",IF(SUMIFS('App Data'!$M$2:$M$1001,'App Data'!$L$2:$L$1001,SUBSTITUTE(SUBSTITUTE(SUBSTITUTE(L823,"~","~~"),"*","~*"),"?","~?"))&lt;&gt;1,"Other amount is invalid",IF(J823&lt;&gt;0,"Amount differs","Matched")))))))</x:f>
      </x:c>
      <x:c r="L823" t="str">
        <x:f>IF(COUNTA(A823:F823)=0,"",LEN(A823)&amp;":"&amp;A823&amp;LEN(B823)&amp;":"&amp;B823&amp;LEN(C823)&amp;":"&amp;C823&amp;LEN(D823)&amp;":"&amp;D823)</x:f>
      </x:c>
      <x:c r="M823" t="str">
        <x:f>IF(COUNTA(A823:F823)=0,"",IF(ISNUMBER(E823),1,0))</x:f>
      </x:c>
    </x:row>
    <x:row r="824">
      <x:c r="A824" s="11"/>
      <x:c r="B824" s="11"/>
      <x:c r="C824" s="11"/>
      <x:c r="D824" s="11"/>
      <x:c r="E824" s="12"/>
      <x:c r="F824" s="10"/>
      <x:c r="G824" s="2" t="str">
        <x:f>IF(COUNTA(A824:F824)=0,"",COUNTIFS('External Data'!$L$2:$L$1001,SUBSTITUTE(SUBSTITUTE(SUBSTITUTE(L824,"~","~~"),"*","~*"),"?","~?")))</x:f>
      </x:c>
      <x:c r="H824" s="2" t="str">
        <x:f>IF(COUNTA(A824:F824)=0,"",COUNTIFS('App Data'!$L$2:$L$1001,SUBSTITUTE(SUBSTITUTE(SUBSTITUTE(L824,"~","~~"),"*","~*"),"?","~?")))</x:f>
      </x:c>
      <x:c r="I824" s="13" t="str">
        <x:f>IF(OR(H824&lt;&gt;1,G824&lt;&gt;1),"",SUMIFS('App Data'!$E$2:$E$1001,'App Data'!$L$2:$L$1001,SUBSTITUTE(SUBSTITUTE(SUBSTITUTE(L824,"~","~~"),"*","~*"),"?","~?")))</x:f>
      </x:c>
      <x:c r="J824" s="13" t="str">
        <x:f>IF(OR(NOT(ISNUMBER(E824)),NOT(ISNUMBER(I824))),"",ROUND(E824-I824,2))</x:f>
      </x:c>
      <x:c r="K824" s="2" t="str">
        <x:f>IF(COUNTA(A824:F824)=0,"",IF(OR(A824="",B824="",C824="",D824="",NOT(ISNUMBER(E824))),"Missing / invalid input",IF(G824&gt;1,"Duplicate key in this source",IF(H824=0,"Missing in other source",IF(H824&gt;1,"Duplicate in other source",IF(SUMIFS('App Data'!$M$2:$M$1001,'App Data'!$L$2:$L$1001,SUBSTITUTE(SUBSTITUTE(SUBSTITUTE(L824,"~","~~"),"*","~*"),"?","~?"))&lt;&gt;1,"Other amount is invalid",IF(J824&lt;&gt;0,"Amount differs","Matched")))))))</x:f>
      </x:c>
      <x:c r="L824" t="str">
        <x:f>IF(COUNTA(A824:F824)=0,"",LEN(A824)&amp;":"&amp;A824&amp;LEN(B824)&amp;":"&amp;B824&amp;LEN(C824)&amp;":"&amp;C824&amp;LEN(D824)&amp;":"&amp;D824)</x:f>
      </x:c>
      <x:c r="M824" t="str">
        <x:f>IF(COUNTA(A824:F824)=0,"",IF(ISNUMBER(E824),1,0))</x:f>
      </x:c>
    </x:row>
    <x:row r="825">
      <x:c r="A825" s="11"/>
      <x:c r="B825" s="11"/>
      <x:c r="C825" s="11"/>
      <x:c r="D825" s="11"/>
      <x:c r="E825" s="12"/>
      <x:c r="F825" s="10"/>
      <x:c r="G825" s="2" t="str">
        <x:f>IF(COUNTA(A825:F825)=0,"",COUNTIFS('External Data'!$L$2:$L$1001,SUBSTITUTE(SUBSTITUTE(SUBSTITUTE(L825,"~","~~"),"*","~*"),"?","~?")))</x:f>
      </x:c>
      <x:c r="H825" s="2" t="str">
        <x:f>IF(COUNTA(A825:F825)=0,"",COUNTIFS('App Data'!$L$2:$L$1001,SUBSTITUTE(SUBSTITUTE(SUBSTITUTE(L825,"~","~~"),"*","~*"),"?","~?")))</x:f>
      </x:c>
      <x:c r="I825" s="13" t="str">
        <x:f>IF(OR(H825&lt;&gt;1,G825&lt;&gt;1),"",SUMIFS('App Data'!$E$2:$E$1001,'App Data'!$L$2:$L$1001,SUBSTITUTE(SUBSTITUTE(SUBSTITUTE(L825,"~","~~"),"*","~*"),"?","~?")))</x:f>
      </x:c>
      <x:c r="J825" s="13" t="str">
        <x:f>IF(OR(NOT(ISNUMBER(E825)),NOT(ISNUMBER(I825))),"",ROUND(E825-I825,2))</x:f>
      </x:c>
      <x:c r="K825" s="2" t="str">
        <x:f>IF(COUNTA(A825:F825)=0,"",IF(OR(A825="",B825="",C825="",D825="",NOT(ISNUMBER(E825))),"Missing / invalid input",IF(G825&gt;1,"Duplicate key in this source",IF(H825=0,"Missing in other source",IF(H825&gt;1,"Duplicate in other source",IF(SUMIFS('App Data'!$M$2:$M$1001,'App Data'!$L$2:$L$1001,SUBSTITUTE(SUBSTITUTE(SUBSTITUTE(L825,"~","~~"),"*","~*"),"?","~?"))&lt;&gt;1,"Other amount is invalid",IF(J825&lt;&gt;0,"Amount differs","Matched")))))))</x:f>
      </x:c>
      <x:c r="L825" t="str">
        <x:f>IF(COUNTA(A825:F825)=0,"",LEN(A825)&amp;":"&amp;A825&amp;LEN(B825)&amp;":"&amp;B825&amp;LEN(C825)&amp;":"&amp;C825&amp;LEN(D825)&amp;":"&amp;D825)</x:f>
      </x:c>
      <x:c r="M825" t="str">
        <x:f>IF(COUNTA(A825:F825)=0,"",IF(ISNUMBER(E825),1,0))</x:f>
      </x:c>
    </x:row>
    <x:row r="826">
      <x:c r="A826" s="11"/>
      <x:c r="B826" s="11"/>
      <x:c r="C826" s="11"/>
      <x:c r="D826" s="11"/>
      <x:c r="E826" s="12"/>
      <x:c r="F826" s="10"/>
      <x:c r="G826" s="2" t="str">
        <x:f>IF(COUNTA(A826:F826)=0,"",COUNTIFS('External Data'!$L$2:$L$1001,SUBSTITUTE(SUBSTITUTE(SUBSTITUTE(L826,"~","~~"),"*","~*"),"?","~?")))</x:f>
      </x:c>
      <x:c r="H826" s="2" t="str">
        <x:f>IF(COUNTA(A826:F826)=0,"",COUNTIFS('App Data'!$L$2:$L$1001,SUBSTITUTE(SUBSTITUTE(SUBSTITUTE(L826,"~","~~"),"*","~*"),"?","~?")))</x:f>
      </x:c>
      <x:c r="I826" s="13" t="str">
        <x:f>IF(OR(H826&lt;&gt;1,G826&lt;&gt;1),"",SUMIFS('App Data'!$E$2:$E$1001,'App Data'!$L$2:$L$1001,SUBSTITUTE(SUBSTITUTE(SUBSTITUTE(L826,"~","~~"),"*","~*"),"?","~?")))</x:f>
      </x:c>
      <x:c r="J826" s="13" t="str">
        <x:f>IF(OR(NOT(ISNUMBER(E826)),NOT(ISNUMBER(I826))),"",ROUND(E826-I826,2))</x:f>
      </x:c>
      <x:c r="K826" s="2" t="str">
        <x:f>IF(COUNTA(A826:F826)=0,"",IF(OR(A826="",B826="",C826="",D826="",NOT(ISNUMBER(E826))),"Missing / invalid input",IF(G826&gt;1,"Duplicate key in this source",IF(H826=0,"Missing in other source",IF(H826&gt;1,"Duplicate in other source",IF(SUMIFS('App Data'!$M$2:$M$1001,'App Data'!$L$2:$L$1001,SUBSTITUTE(SUBSTITUTE(SUBSTITUTE(L826,"~","~~"),"*","~*"),"?","~?"))&lt;&gt;1,"Other amount is invalid",IF(J826&lt;&gt;0,"Amount differs","Matched")))))))</x:f>
      </x:c>
      <x:c r="L826" t="str">
        <x:f>IF(COUNTA(A826:F826)=0,"",LEN(A826)&amp;":"&amp;A826&amp;LEN(B826)&amp;":"&amp;B826&amp;LEN(C826)&amp;":"&amp;C826&amp;LEN(D826)&amp;":"&amp;D826)</x:f>
      </x:c>
      <x:c r="M826" t="str">
        <x:f>IF(COUNTA(A826:F826)=0,"",IF(ISNUMBER(E826),1,0))</x:f>
      </x:c>
    </x:row>
    <x:row r="827">
      <x:c r="A827" s="11"/>
      <x:c r="B827" s="11"/>
      <x:c r="C827" s="11"/>
      <x:c r="D827" s="11"/>
      <x:c r="E827" s="12"/>
      <x:c r="F827" s="10"/>
      <x:c r="G827" s="2" t="str">
        <x:f>IF(COUNTA(A827:F827)=0,"",COUNTIFS('External Data'!$L$2:$L$1001,SUBSTITUTE(SUBSTITUTE(SUBSTITUTE(L827,"~","~~"),"*","~*"),"?","~?")))</x:f>
      </x:c>
      <x:c r="H827" s="2" t="str">
        <x:f>IF(COUNTA(A827:F827)=0,"",COUNTIFS('App Data'!$L$2:$L$1001,SUBSTITUTE(SUBSTITUTE(SUBSTITUTE(L827,"~","~~"),"*","~*"),"?","~?")))</x:f>
      </x:c>
      <x:c r="I827" s="13" t="str">
        <x:f>IF(OR(H827&lt;&gt;1,G827&lt;&gt;1),"",SUMIFS('App Data'!$E$2:$E$1001,'App Data'!$L$2:$L$1001,SUBSTITUTE(SUBSTITUTE(SUBSTITUTE(L827,"~","~~"),"*","~*"),"?","~?")))</x:f>
      </x:c>
      <x:c r="J827" s="13" t="str">
        <x:f>IF(OR(NOT(ISNUMBER(E827)),NOT(ISNUMBER(I827))),"",ROUND(E827-I827,2))</x:f>
      </x:c>
      <x:c r="K827" s="2" t="str">
        <x:f>IF(COUNTA(A827:F827)=0,"",IF(OR(A827="",B827="",C827="",D827="",NOT(ISNUMBER(E827))),"Missing / invalid input",IF(G827&gt;1,"Duplicate key in this source",IF(H827=0,"Missing in other source",IF(H827&gt;1,"Duplicate in other source",IF(SUMIFS('App Data'!$M$2:$M$1001,'App Data'!$L$2:$L$1001,SUBSTITUTE(SUBSTITUTE(SUBSTITUTE(L827,"~","~~"),"*","~*"),"?","~?"))&lt;&gt;1,"Other amount is invalid",IF(J827&lt;&gt;0,"Amount differs","Matched")))))))</x:f>
      </x:c>
      <x:c r="L827" t="str">
        <x:f>IF(COUNTA(A827:F827)=0,"",LEN(A827)&amp;":"&amp;A827&amp;LEN(B827)&amp;":"&amp;B827&amp;LEN(C827)&amp;":"&amp;C827&amp;LEN(D827)&amp;":"&amp;D827)</x:f>
      </x:c>
      <x:c r="M827" t="str">
        <x:f>IF(COUNTA(A827:F827)=0,"",IF(ISNUMBER(E827),1,0))</x:f>
      </x:c>
    </x:row>
    <x:row r="828">
      <x:c r="A828" s="11"/>
      <x:c r="B828" s="11"/>
      <x:c r="C828" s="11"/>
      <x:c r="D828" s="11"/>
      <x:c r="E828" s="12"/>
      <x:c r="F828" s="10"/>
      <x:c r="G828" s="2" t="str">
        <x:f>IF(COUNTA(A828:F828)=0,"",COUNTIFS('External Data'!$L$2:$L$1001,SUBSTITUTE(SUBSTITUTE(SUBSTITUTE(L828,"~","~~"),"*","~*"),"?","~?")))</x:f>
      </x:c>
      <x:c r="H828" s="2" t="str">
        <x:f>IF(COUNTA(A828:F828)=0,"",COUNTIFS('App Data'!$L$2:$L$1001,SUBSTITUTE(SUBSTITUTE(SUBSTITUTE(L828,"~","~~"),"*","~*"),"?","~?")))</x:f>
      </x:c>
      <x:c r="I828" s="13" t="str">
        <x:f>IF(OR(H828&lt;&gt;1,G828&lt;&gt;1),"",SUMIFS('App Data'!$E$2:$E$1001,'App Data'!$L$2:$L$1001,SUBSTITUTE(SUBSTITUTE(SUBSTITUTE(L828,"~","~~"),"*","~*"),"?","~?")))</x:f>
      </x:c>
      <x:c r="J828" s="13" t="str">
        <x:f>IF(OR(NOT(ISNUMBER(E828)),NOT(ISNUMBER(I828))),"",ROUND(E828-I828,2))</x:f>
      </x:c>
      <x:c r="K828" s="2" t="str">
        <x:f>IF(COUNTA(A828:F828)=0,"",IF(OR(A828="",B828="",C828="",D828="",NOT(ISNUMBER(E828))),"Missing / invalid input",IF(G828&gt;1,"Duplicate key in this source",IF(H828=0,"Missing in other source",IF(H828&gt;1,"Duplicate in other source",IF(SUMIFS('App Data'!$M$2:$M$1001,'App Data'!$L$2:$L$1001,SUBSTITUTE(SUBSTITUTE(SUBSTITUTE(L828,"~","~~"),"*","~*"),"?","~?"))&lt;&gt;1,"Other amount is invalid",IF(J828&lt;&gt;0,"Amount differs","Matched")))))))</x:f>
      </x:c>
      <x:c r="L828" t="str">
        <x:f>IF(COUNTA(A828:F828)=0,"",LEN(A828)&amp;":"&amp;A828&amp;LEN(B828)&amp;":"&amp;B828&amp;LEN(C828)&amp;":"&amp;C828&amp;LEN(D828)&amp;":"&amp;D828)</x:f>
      </x:c>
      <x:c r="M828" t="str">
        <x:f>IF(COUNTA(A828:F828)=0,"",IF(ISNUMBER(E828),1,0))</x:f>
      </x:c>
    </x:row>
    <x:row r="829">
      <x:c r="A829" s="11"/>
      <x:c r="B829" s="11"/>
      <x:c r="C829" s="11"/>
      <x:c r="D829" s="11"/>
      <x:c r="E829" s="12"/>
      <x:c r="F829" s="10"/>
      <x:c r="G829" s="2" t="str">
        <x:f>IF(COUNTA(A829:F829)=0,"",COUNTIFS('External Data'!$L$2:$L$1001,SUBSTITUTE(SUBSTITUTE(SUBSTITUTE(L829,"~","~~"),"*","~*"),"?","~?")))</x:f>
      </x:c>
      <x:c r="H829" s="2" t="str">
        <x:f>IF(COUNTA(A829:F829)=0,"",COUNTIFS('App Data'!$L$2:$L$1001,SUBSTITUTE(SUBSTITUTE(SUBSTITUTE(L829,"~","~~"),"*","~*"),"?","~?")))</x:f>
      </x:c>
      <x:c r="I829" s="13" t="str">
        <x:f>IF(OR(H829&lt;&gt;1,G829&lt;&gt;1),"",SUMIFS('App Data'!$E$2:$E$1001,'App Data'!$L$2:$L$1001,SUBSTITUTE(SUBSTITUTE(SUBSTITUTE(L829,"~","~~"),"*","~*"),"?","~?")))</x:f>
      </x:c>
      <x:c r="J829" s="13" t="str">
        <x:f>IF(OR(NOT(ISNUMBER(E829)),NOT(ISNUMBER(I829))),"",ROUND(E829-I829,2))</x:f>
      </x:c>
      <x:c r="K829" s="2" t="str">
        <x:f>IF(COUNTA(A829:F829)=0,"",IF(OR(A829="",B829="",C829="",D829="",NOT(ISNUMBER(E829))),"Missing / invalid input",IF(G829&gt;1,"Duplicate key in this source",IF(H829=0,"Missing in other source",IF(H829&gt;1,"Duplicate in other source",IF(SUMIFS('App Data'!$M$2:$M$1001,'App Data'!$L$2:$L$1001,SUBSTITUTE(SUBSTITUTE(SUBSTITUTE(L829,"~","~~"),"*","~*"),"?","~?"))&lt;&gt;1,"Other amount is invalid",IF(J829&lt;&gt;0,"Amount differs","Matched")))))))</x:f>
      </x:c>
      <x:c r="L829" t="str">
        <x:f>IF(COUNTA(A829:F829)=0,"",LEN(A829)&amp;":"&amp;A829&amp;LEN(B829)&amp;":"&amp;B829&amp;LEN(C829)&amp;":"&amp;C829&amp;LEN(D829)&amp;":"&amp;D829)</x:f>
      </x:c>
      <x:c r="M829" t="str">
        <x:f>IF(COUNTA(A829:F829)=0,"",IF(ISNUMBER(E829),1,0))</x:f>
      </x:c>
    </x:row>
    <x:row r="830">
      <x:c r="A830" s="11"/>
      <x:c r="B830" s="11"/>
      <x:c r="C830" s="11"/>
      <x:c r="D830" s="11"/>
      <x:c r="E830" s="12"/>
      <x:c r="F830" s="10"/>
      <x:c r="G830" s="2" t="str">
        <x:f>IF(COUNTA(A830:F830)=0,"",COUNTIFS('External Data'!$L$2:$L$1001,SUBSTITUTE(SUBSTITUTE(SUBSTITUTE(L830,"~","~~"),"*","~*"),"?","~?")))</x:f>
      </x:c>
      <x:c r="H830" s="2" t="str">
        <x:f>IF(COUNTA(A830:F830)=0,"",COUNTIFS('App Data'!$L$2:$L$1001,SUBSTITUTE(SUBSTITUTE(SUBSTITUTE(L830,"~","~~"),"*","~*"),"?","~?")))</x:f>
      </x:c>
      <x:c r="I830" s="13" t="str">
        <x:f>IF(OR(H830&lt;&gt;1,G830&lt;&gt;1),"",SUMIFS('App Data'!$E$2:$E$1001,'App Data'!$L$2:$L$1001,SUBSTITUTE(SUBSTITUTE(SUBSTITUTE(L830,"~","~~"),"*","~*"),"?","~?")))</x:f>
      </x:c>
      <x:c r="J830" s="13" t="str">
        <x:f>IF(OR(NOT(ISNUMBER(E830)),NOT(ISNUMBER(I830))),"",ROUND(E830-I830,2))</x:f>
      </x:c>
      <x:c r="K830" s="2" t="str">
        <x:f>IF(COUNTA(A830:F830)=0,"",IF(OR(A830="",B830="",C830="",D830="",NOT(ISNUMBER(E830))),"Missing / invalid input",IF(G830&gt;1,"Duplicate key in this source",IF(H830=0,"Missing in other source",IF(H830&gt;1,"Duplicate in other source",IF(SUMIFS('App Data'!$M$2:$M$1001,'App Data'!$L$2:$L$1001,SUBSTITUTE(SUBSTITUTE(SUBSTITUTE(L830,"~","~~"),"*","~*"),"?","~?"))&lt;&gt;1,"Other amount is invalid",IF(J830&lt;&gt;0,"Amount differs","Matched")))))))</x:f>
      </x:c>
      <x:c r="L830" t="str">
        <x:f>IF(COUNTA(A830:F830)=0,"",LEN(A830)&amp;":"&amp;A830&amp;LEN(B830)&amp;":"&amp;B830&amp;LEN(C830)&amp;":"&amp;C830&amp;LEN(D830)&amp;":"&amp;D830)</x:f>
      </x:c>
      <x:c r="M830" t="str">
        <x:f>IF(COUNTA(A830:F830)=0,"",IF(ISNUMBER(E830),1,0))</x:f>
      </x:c>
    </x:row>
    <x:row r="831">
      <x:c r="A831" s="11"/>
      <x:c r="B831" s="11"/>
      <x:c r="C831" s="11"/>
      <x:c r="D831" s="11"/>
      <x:c r="E831" s="12"/>
      <x:c r="F831" s="10"/>
      <x:c r="G831" s="2" t="str">
        <x:f>IF(COUNTA(A831:F831)=0,"",COUNTIFS('External Data'!$L$2:$L$1001,SUBSTITUTE(SUBSTITUTE(SUBSTITUTE(L831,"~","~~"),"*","~*"),"?","~?")))</x:f>
      </x:c>
      <x:c r="H831" s="2" t="str">
        <x:f>IF(COUNTA(A831:F831)=0,"",COUNTIFS('App Data'!$L$2:$L$1001,SUBSTITUTE(SUBSTITUTE(SUBSTITUTE(L831,"~","~~"),"*","~*"),"?","~?")))</x:f>
      </x:c>
      <x:c r="I831" s="13" t="str">
        <x:f>IF(OR(H831&lt;&gt;1,G831&lt;&gt;1),"",SUMIFS('App Data'!$E$2:$E$1001,'App Data'!$L$2:$L$1001,SUBSTITUTE(SUBSTITUTE(SUBSTITUTE(L831,"~","~~"),"*","~*"),"?","~?")))</x:f>
      </x:c>
      <x:c r="J831" s="13" t="str">
        <x:f>IF(OR(NOT(ISNUMBER(E831)),NOT(ISNUMBER(I831))),"",ROUND(E831-I831,2))</x:f>
      </x:c>
      <x:c r="K831" s="2" t="str">
        <x:f>IF(COUNTA(A831:F831)=0,"",IF(OR(A831="",B831="",C831="",D831="",NOT(ISNUMBER(E831))),"Missing / invalid input",IF(G831&gt;1,"Duplicate key in this source",IF(H831=0,"Missing in other source",IF(H831&gt;1,"Duplicate in other source",IF(SUMIFS('App Data'!$M$2:$M$1001,'App Data'!$L$2:$L$1001,SUBSTITUTE(SUBSTITUTE(SUBSTITUTE(L831,"~","~~"),"*","~*"),"?","~?"))&lt;&gt;1,"Other amount is invalid",IF(J831&lt;&gt;0,"Amount differs","Matched")))))))</x:f>
      </x:c>
      <x:c r="L831" t="str">
        <x:f>IF(COUNTA(A831:F831)=0,"",LEN(A831)&amp;":"&amp;A831&amp;LEN(B831)&amp;":"&amp;B831&amp;LEN(C831)&amp;":"&amp;C831&amp;LEN(D831)&amp;":"&amp;D831)</x:f>
      </x:c>
      <x:c r="M831" t="str">
        <x:f>IF(COUNTA(A831:F831)=0,"",IF(ISNUMBER(E831),1,0))</x:f>
      </x:c>
    </x:row>
    <x:row r="832">
      <x:c r="A832" s="11"/>
      <x:c r="B832" s="11"/>
      <x:c r="C832" s="11"/>
      <x:c r="D832" s="11"/>
      <x:c r="E832" s="12"/>
      <x:c r="F832" s="10"/>
      <x:c r="G832" s="2" t="str">
        <x:f>IF(COUNTA(A832:F832)=0,"",COUNTIFS('External Data'!$L$2:$L$1001,SUBSTITUTE(SUBSTITUTE(SUBSTITUTE(L832,"~","~~"),"*","~*"),"?","~?")))</x:f>
      </x:c>
      <x:c r="H832" s="2" t="str">
        <x:f>IF(COUNTA(A832:F832)=0,"",COUNTIFS('App Data'!$L$2:$L$1001,SUBSTITUTE(SUBSTITUTE(SUBSTITUTE(L832,"~","~~"),"*","~*"),"?","~?")))</x:f>
      </x:c>
      <x:c r="I832" s="13" t="str">
        <x:f>IF(OR(H832&lt;&gt;1,G832&lt;&gt;1),"",SUMIFS('App Data'!$E$2:$E$1001,'App Data'!$L$2:$L$1001,SUBSTITUTE(SUBSTITUTE(SUBSTITUTE(L832,"~","~~"),"*","~*"),"?","~?")))</x:f>
      </x:c>
      <x:c r="J832" s="13" t="str">
        <x:f>IF(OR(NOT(ISNUMBER(E832)),NOT(ISNUMBER(I832))),"",ROUND(E832-I832,2))</x:f>
      </x:c>
      <x:c r="K832" s="2" t="str">
        <x:f>IF(COUNTA(A832:F832)=0,"",IF(OR(A832="",B832="",C832="",D832="",NOT(ISNUMBER(E832))),"Missing / invalid input",IF(G832&gt;1,"Duplicate key in this source",IF(H832=0,"Missing in other source",IF(H832&gt;1,"Duplicate in other source",IF(SUMIFS('App Data'!$M$2:$M$1001,'App Data'!$L$2:$L$1001,SUBSTITUTE(SUBSTITUTE(SUBSTITUTE(L832,"~","~~"),"*","~*"),"?","~?"))&lt;&gt;1,"Other amount is invalid",IF(J832&lt;&gt;0,"Amount differs","Matched")))))))</x:f>
      </x:c>
      <x:c r="L832" t="str">
        <x:f>IF(COUNTA(A832:F832)=0,"",LEN(A832)&amp;":"&amp;A832&amp;LEN(B832)&amp;":"&amp;B832&amp;LEN(C832)&amp;":"&amp;C832&amp;LEN(D832)&amp;":"&amp;D832)</x:f>
      </x:c>
      <x:c r="M832" t="str">
        <x:f>IF(COUNTA(A832:F832)=0,"",IF(ISNUMBER(E832),1,0))</x:f>
      </x:c>
    </x:row>
    <x:row r="833">
      <x:c r="A833" s="11"/>
      <x:c r="B833" s="11"/>
      <x:c r="C833" s="11"/>
      <x:c r="D833" s="11"/>
      <x:c r="E833" s="12"/>
      <x:c r="F833" s="10"/>
      <x:c r="G833" s="2" t="str">
        <x:f>IF(COUNTA(A833:F833)=0,"",COUNTIFS('External Data'!$L$2:$L$1001,SUBSTITUTE(SUBSTITUTE(SUBSTITUTE(L833,"~","~~"),"*","~*"),"?","~?")))</x:f>
      </x:c>
      <x:c r="H833" s="2" t="str">
        <x:f>IF(COUNTA(A833:F833)=0,"",COUNTIFS('App Data'!$L$2:$L$1001,SUBSTITUTE(SUBSTITUTE(SUBSTITUTE(L833,"~","~~"),"*","~*"),"?","~?")))</x:f>
      </x:c>
      <x:c r="I833" s="13" t="str">
        <x:f>IF(OR(H833&lt;&gt;1,G833&lt;&gt;1),"",SUMIFS('App Data'!$E$2:$E$1001,'App Data'!$L$2:$L$1001,SUBSTITUTE(SUBSTITUTE(SUBSTITUTE(L833,"~","~~"),"*","~*"),"?","~?")))</x:f>
      </x:c>
      <x:c r="J833" s="13" t="str">
        <x:f>IF(OR(NOT(ISNUMBER(E833)),NOT(ISNUMBER(I833))),"",ROUND(E833-I833,2))</x:f>
      </x:c>
      <x:c r="K833" s="2" t="str">
        <x:f>IF(COUNTA(A833:F833)=0,"",IF(OR(A833="",B833="",C833="",D833="",NOT(ISNUMBER(E833))),"Missing / invalid input",IF(G833&gt;1,"Duplicate key in this source",IF(H833=0,"Missing in other source",IF(H833&gt;1,"Duplicate in other source",IF(SUMIFS('App Data'!$M$2:$M$1001,'App Data'!$L$2:$L$1001,SUBSTITUTE(SUBSTITUTE(SUBSTITUTE(L833,"~","~~"),"*","~*"),"?","~?"))&lt;&gt;1,"Other amount is invalid",IF(J833&lt;&gt;0,"Amount differs","Matched")))))))</x:f>
      </x:c>
      <x:c r="L833" t="str">
        <x:f>IF(COUNTA(A833:F833)=0,"",LEN(A833)&amp;":"&amp;A833&amp;LEN(B833)&amp;":"&amp;B833&amp;LEN(C833)&amp;":"&amp;C833&amp;LEN(D833)&amp;":"&amp;D833)</x:f>
      </x:c>
      <x:c r="M833" t="str">
        <x:f>IF(COUNTA(A833:F833)=0,"",IF(ISNUMBER(E833),1,0))</x:f>
      </x:c>
    </x:row>
    <x:row r="834">
      <x:c r="A834" s="11"/>
      <x:c r="B834" s="11"/>
      <x:c r="C834" s="11"/>
      <x:c r="D834" s="11"/>
      <x:c r="E834" s="12"/>
      <x:c r="F834" s="10"/>
      <x:c r="G834" s="2" t="str">
        <x:f>IF(COUNTA(A834:F834)=0,"",COUNTIFS('External Data'!$L$2:$L$1001,SUBSTITUTE(SUBSTITUTE(SUBSTITUTE(L834,"~","~~"),"*","~*"),"?","~?")))</x:f>
      </x:c>
      <x:c r="H834" s="2" t="str">
        <x:f>IF(COUNTA(A834:F834)=0,"",COUNTIFS('App Data'!$L$2:$L$1001,SUBSTITUTE(SUBSTITUTE(SUBSTITUTE(L834,"~","~~"),"*","~*"),"?","~?")))</x:f>
      </x:c>
      <x:c r="I834" s="13" t="str">
        <x:f>IF(OR(H834&lt;&gt;1,G834&lt;&gt;1),"",SUMIFS('App Data'!$E$2:$E$1001,'App Data'!$L$2:$L$1001,SUBSTITUTE(SUBSTITUTE(SUBSTITUTE(L834,"~","~~"),"*","~*"),"?","~?")))</x:f>
      </x:c>
      <x:c r="J834" s="13" t="str">
        <x:f>IF(OR(NOT(ISNUMBER(E834)),NOT(ISNUMBER(I834))),"",ROUND(E834-I834,2))</x:f>
      </x:c>
      <x:c r="K834" s="2" t="str">
        <x:f>IF(COUNTA(A834:F834)=0,"",IF(OR(A834="",B834="",C834="",D834="",NOT(ISNUMBER(E834))),"Missing / invalid input",IF(G834&gt;1,"Duplicate key in this source",IF(H834=0,"Missing in other source",IF(H834&gt;1,"Duplicate in other source",IF(SUMIFS('App Data'!$M$2:$M$1001,'App Data'!$L$2:$L$1001,SUBSTITUTE(SUBSTITUTE(SUBSTITUTE(L834,"~","~~"),"*","~*"),"?","~?"))&lt;&gt;1,"Other amount is invalid",IF(J834&lt;&gt;0,"Amount differs","Matched")))))))</x:f>
      </x:c>
      <x:c r="L834" t="str">
        <x:f>IF(COUNTA(A834:F834)=0,"",LEN(A834)&amp;":"&amp;A834&amp;LEN(B834)&amp;":"&amp;B834&amp;LEN(C834)&amp;":"&amp;C834&amp;LEN(D834)&amp;":"&amp;D834)</x:f>
      </x:c>
      <x:c r="M834" t="str">
        <x:f>IF(COUNTA(A834:F834)=0,"",IF(ISNUMBER(E834),1,0))</x:f>
      </x:c>
    </x:row>
    <x:row r="835">
      <x:c r="A835" s="11"/>
      <x:c r="B835" s="11"/>
      <x:c r="C835" s="11"/>
      <x:c r="D835" s="11"/>
      <x:c r="E835" s="12"/>
      <x:c r="F835" s="10"/>
      <x:c r="G835" s="2" t="str">
        <x:f>IF(COUNTA(A835:F835)=0,"",COUNTIFS('External Data'!$L$2:$L$1001,SUBSTITUTE(SUBSTITUTE(SUBSTITUTE(L835,"~","~~"),"*","~*"),"?","~?")))</x:f>
      </x:c>
      <x:c r="H835" s="2" t="str">
        <x:f>IF(COUNTA(A835:F835)=0,"",COUNTIFS('App Data'!$L$2:$L$1001,SUBSTITUTE(SUBSTITUTE(SUBSTITUTE(L835,"~","~~"),"*","~*"),"?","~?")))</x:f>
      </x:c>
      <x:c r="I835" s="13" t="str">
        <x:f>IF(OR(H835&lt;&gt;1,G835&lt;&gt;1),"",SUMIFS('App Data'!$E$2:$E$1001,'App Data'!$L$2:$L$1001,SUBSTITUTE(SUBSTITUTE(SUBSTITUTE(L835,"~","~~"),"*","~*"),"?","~?")))</x:f>
      </x:c>
      <x:c r="J835" s="13" t="str">
        <x:f>IF(OR(NOT(ISNUMBER(E835)),NOT(ISNUMBER(I835))),"",ROUND(E835-I835,2))</x:f>
      </x:c>
      <x:c r="K835" s="2" t="str">
        <x:f>IF(COUNTA(A835:F835)=0,"",IF(OR(A835="",B835="",C835="",D835="",NOT(ISNUMBER(E835))),"Missing / invalid input",IF(G835&gt;1,"Duplicate key in this source",IF(H835=0,"Missing in other source",IF(H835&gt;1,"Duplicate in other source",IF(SUMIFS('App Data'!$M$2:$M$1001,'App Data'!$L$2:$L$1001,SUBSTITUTE(SUBSTITUTE(SUBSTITUTE(L835,"~","~~"),"*","~*"),"?","~?"))&lt;&gt;1,"Other amount is invalid",IF(J835&lt;&gt;0,"Amount differs","Matched")))))))</x:f>
      </x:c>
      <x:c r="L835" t="str">
        <x:f>IF(COUNTA(A835:F835)=0,"",LEN(A835)&amp;":"&amp;A835&amp;LEN(B835)&amp;":"&amp;B835&amp;LEN(C835)&amp;":"&amp;C835&amp;LEN(D835)&amp;":"&amp;D835)</x:f>
      </x:c>
      <x:c r="M835" t="str">
        <x:f>IF(COUNTA(A835:F835)=0,"",IF(ISNUMBER(E835),1,0))</x:f>
      </x:c>
    </x:row>
    <x:row r="836">
      <x:c r="A836" s="11"/>
      <x:c r="B836" s="11"/>
      <x:c r="C836" s="11"/>
      <x:c r="D836" s="11"/>
      <x:c r="E836" s="12"/>
      <x:c r="F836" s="10"/>
      <x:c r="G836" s="2" t="str">
        <x:f>IF(COUNTA(A836:F836)=0,"",COUNTIFS('External Data'!$L$2:$L$1001,SUBSTITUTE(SUBSTITUTE(SUBSTITUTE(L836,"~","~~"),"*","~*"),"?","~?")))</x:f>
      </x:c>
      <x:c r="H836" s="2" t="str">
        <x:f>IF(COUNTA(A836:F836)=0,"",COUNTIFS('App Data'!$L$2:$L$1001,SUBSTITUTE(SUBSTITUTE(SUBSTITUTE(L836,"~","~~"),"*","~*"),"?","~?")))</x:f>
      </x:c>
      <x:c r="I836" s="13" t="str">
        <x:f>IF(OR(H836&lt;&gt;1,G836&lt;&gt;1),"",SUMIFS('App Data'!$E$2:$E$1001,'App Data'!$L$2:$L$1001,SUBSTITUTE(SUBSTITUTE(SUBSTITUTE(L836,"~","~~"),"*","~*"),"?","~?")))</x:f>
      </x:c>
      <x:c r="J836" s="13" t="str">
        <x:f>IF(OR(NOT(ISNUMBER(E836)),NOT(ISNUMBER(I836))),"",ROUND(E836-I836,2))</x:f>
      </x:c>
      <x:c r="K836" s="2" t="str">
        <x:f>IF(COUNTA(A836:F836)=0,"",IF(OR(A836="",B836="",C836="",D836="",NOT(ISNUMBER(E836))),"Missing / invalid input",IF(G836&gt;1,"Duplicate key in this source",IF(H836=0,"Missing in other source",IF(H836&gt;1,"Duplicate in other source",IF(SUMIFS('App Data'!$M$2:$M$1001,'App Data'!$L$2:$L$1001,SUBSTITUTE(SUBSTITUTE(SUBSTITUTE(L836,"~","~~"),"*","~*"),"?","~?"))&lt;&gt;1,"Other amount is invalid",IF(J836&lt;&gt;0,"Amount differs","Matched")))))))</x:f>
      </x:c>
      <x:c r="L836" t="str">
        <x:f>IF(COUNTA(A836:F836)=0,"",LEN(A836)&amp;":"&amp;A836&amp;LEN(B836)&amp;":"&amp;B836&amp;LEN(C836)&amp;":"&amp;C836&amp;LEN(D836)&amp;":"&amp;D836)</x:f>
      </x:c>
      <x:c r="M836" t="str">
        <x:f>IF(COUNTA(A836:F836)=0,"",IF(ISNUMBER(E836),1,0))</x:f>
      </x:c>
    </x:row>
    <x:row r="837">
      <x:c r="A837" s="11"/>
      <x:c r="B837" s="11"/>
      <x:c r="C837" s="11"/>
      <x:c r="D837" s="11"/>
      <x:c r="E837" s="12"/>
      <x:c r="F837" s="10"/>
      <x:c r="G837" s="2" t="str">
        <x:f>IF(COUNTA(A837:F837)=0,"",COUNTIFS('External Data'!$L$2:$L$1001,SUBSTITUTE(SUBSTITUTE(SUBSTITUTE(L837,"~","~~"),"*","~*"),"?","~?")))</x:f>
      </x:c>
      <x:c r="H837" s="2" t="str">
        <x:f>IF(COUNTA(A837:F837)=0,"",COUNTIFS('App Data'!$L$2:$L$1001,SUBSTITUTE(SUBSTITUTE(SUBSTITUTE(L837,"~","~~"),"*","~*"),"?","~?")))</x:f>
      </x:c>
      <x:c r="I837" s="13" t="str">
        <x:f>IF(OR(H837&lt;&gt;1,G837&lt;&gt;1),"",SUMIFS('App Data'!$E$2:$E$1001,'App Data'!$L$2:$L$1001,SUBSTITUTE(SUBSTITUTE(SUBSTITUTE(L837,"~","~~"),"*","~*"),"?","~?")))</x:f>
      </x:c>
      <x:c r="J837" s="13" t="str">
        <x:f>IF(OR(NOT(ISNUMBER(E837)),NOT(ISNUMBER(I837))),"",ROUND(E837-I837,2))</x:f>
      </x:c>
      <x:c r="K837" s="2" t="str">
        <x:f>IF(COUNTA(A837:F837)=0,"",IF(OR(A837="",B837="",C837="",D837="",NOT(ISNUMBER(E837))),"Missing / invalid input",IF(G837&gt;1,"Duplicate key in this source",IF(H837=0,"Missing in other source",IF(H837&gt;1,"Duplicate in other source",IF(SUMIFS('App Data'!$M$2:$M$1001,'App Data'!$L$2:$L$1001,SUBSTITUTE(SUBSTITUTE(SUBSTITUTE(L837,"~","~~"),"*","~*"),"?","~?"))&lt;&gt;1,"Other amount is invalid",IF(J837&lt;&gt;0,"Amount differs","Matched")))))))</x:f>
      </x:c>
      <x:c r="L837" t="str">
        <x:f>IF(COUNTA(A837:F837)=0,"",LEN(A837)&amp;":"&amp;A837&amp;LEN(B837)&amp;":"&amp;B837&amp;LEN(C837)&amp;":"&amp;C837&amp;LEN(D837)&amp;":"&amp;D837)</x:f>
      </x:c>
      <x:c r="M837" t="str">
        <x:f>IF(COUNTA(A837:F837)=0,"",IF(ISNUMBER(E837),1,0))</x:f>
      </x:c>
    </x:row>
    <x:row r="838">
      <x:c r="A838" s="11"/>
      <x:c r="B838" s="11"/>
      <x:c r="C838" s="11"/>
      <x:c r="D838" s="11"/>
      <x:c r="E838" s="12"/>
      <x:c r="F838" s="10"/>
      <x:c r="G838" s="2" t="str">
        <x:f>IF(COUNTA(A838:F838)=0,"",COUNTIFS('External Data'!$L$2:$L$1001,SUBSTITUTE(SUBSTITUTE(SUBSTITUTE(L838,"~","~~"),"*","~*"),"?","~?")))</x:f>
      </x:c>
      <x:c r="H838" s="2" t="str">
        <x:f>IF(COUNTA(A838:F838)=0,"",COUNTIFS('App Data'!$L$2:$L$1001,SUBSTITUTE(SUBSTITUTE(SUBSTITUTE(L838,"~","~~"),"*","~*"),"?","~?")))</x:f>
      </x:c>
      <x:c r="I838" s="13" t="str">
        <x:f>IF(OR(H838&lt;&gt;1,G838&lt;&gt;1),"",SUMIFS('App Data'!$E$2:$E$1001,'App Data'!$L$2:$L$1001,SUBSTITUTE(SUBSTITUTE(SUBSTITUTE(L838,"~","~~"),"*","~*"),"?","~?")))</x:f>
      </x:c>
      <x:c r="J838" s="13" t="str">
        <x:f>IF(OR(NOT(ISNUMBER(E838)),NOT(ISNUMBER(I838))),"",ROUND(E838-I838,2))</x:f>
      </x:c>
      <x:c r="K838" s="2" t="str">
        <x:f>IF(COUNTA(A838:F838)=0,"",IF(OR(A838="",B838="",C838="",D838="",NOT(ISNUMBER(E838))),"Missing / invalid input",IF(G838&gt;1,"Duplicate key in this source",IF(H838=0,"Missing in other source",IF(H838&gt;1,"Duplicate in other source",IF(SUMIFS('App Data'!$M$2:$M$1001,'App Data'!$L$2:$L$1001,SUBSTITUTE(SUBSTITUTE(SUBSTITUTE(L838,"~","~~"),"*","~*"),"?","~?"))&lt;&gt;1,"Other amount is invalid",IF(J838&lt;&gt;0,"Amount differs","Matched")))))))</x:f>
      </x:c>
      <x:c r="L838" t="str">
        <x:f>IF(COUNTA(A838:F838)=0,"",LEN(A838)&amp;":"&amp;A838&amp;LEN(B838)&amp;":"&amp;B838&amp;LEN(C838)&amp;":"&amp;C838&amp;LEN(D838)&amp;":"&amp;D838)</x:f>
      </x:c>
      <x:c r="M838" t="str">
        <x:f>IF(COUNTA(A838:F838)=0,"",IF(ISNUMBER(E838),1,0))</x:f>
      </x:c>
    </x:row>
    <x:row r="839">
      <x:c r="A839" s="11"/>
      <x:c r="B839" s="11"/>
      <x:c r="C839" s="11"/>
      <x:c r="D839" s="11"/>
      <x:c r="E839" s="12"/>
      <x:c r="F839" s="10"/>
      <x:c r="G839" s="2" t="str">
        <x:f>IF(COUNTA(A839:F839)=0,"",COUNTIFS('External Data'!$L$2:$L$1001,SUBSTITUTE(SUBSTITUTE(SUBSTITUTE(L839,"~","~~"),"*","~*"),"?","~?")))</x:f>
      </x:c>
      <x:c r="H839" s="2" t="str">
        <x:f>IF(COUNTA(A839:F839)=0,"",COUNTIFS('App Data'!$L$2:$L$1001,SUBSTITUTE(SUBSTITUTE(SUBSTITUTE(L839,"~","~~"),"*","~*"),"?","~?")))</x:f>
      </x:c>
      <x:c r="I839" s="13" t="str">
        <x:f>IF(OR(H839&lt;&gt;1,G839&lt;&gt;1),"",SUMIFS('App Data'!$E$2:$E$1001,'App Data'!$L$2:$L$1001,SUBSTITUTE(SUBSTITUTE(SUBSTITUTE(L839,"~","~~"),"*","~*"),"?","~?")))</x:f>
      </x:c>
      <x:c r="J839" s="13" t="str">
        <x:f>IF(OR(NOT(ISNUMBER(E839)),NOT(ISNUMBER(I839))),"",ROUND(E839-I839,2))</x:f>
      </x:c>
      <x:c r="K839" s="2" t="str">
        <x:f>IF(COUNTA(A839:F839)=0,"",IF(OR(A839="",B839="",C839="",D839="",NOT(ISNUMBER(E839))),"Missing / invalid input",IF(G839&gt;1,"Duplicate key in this source",IF(H839=0,"Missing in other source",IF(H839&gt;1,"Duplicate in other source",IF(SUMIFS('App Data'!$M$2:$M$1001,'App Data'!$L$2:$L$1001,SUBSTITUTE(SUBSTITUTE(SUBSTITUTE(L839,"~","~~"),"*","~*"),"?","~?"))&lt;&gt;1,"Other amount is invalid",IF(J839&lt;&gt;0,"Amount differs","Matched")))))))</x:f>
      </x:c>
      <x:c r="L839" t="str">
        <x:f>IF(COUNTA(A839:F839)=0,"",LEN(A839)&amp;":"&amp;A839&amp;LEN(B839)&amp;":"&amp;B839&amp;LEN(C839)&amp;":"&amp;C839&amp;LEN(D839)&amp;":"&amp;D839)</x:f>
      </x:c>
      <x:c r="M839" t="str">
        <x:f>IF(COUNTA(A839:F839)=0,"",IF(ISNUMBER(E839),1,0))</x:f>
      </x:c>
    </x:row>
    <x:row r="840">
      <x:c r="A840" s="11"/>
      <x:c r="B840" s="11"/>
      <x:c r="C840" s="11"/>
      <x:c r="D840" s="11"/>
      <x:c r="E840" s="12"/>
      <x:c r="F840" s="10"/>
      <x:c r="G840" s="2" t="str">
        <x:f>IF(COUNTA(A840:F840)=0,"",COUNTIFS('External Data'!$L$2:$L$1001,SUBSTITUTE(SUBSTITUTE(SUBSTITUTE(L840,"~","~~"),"*","~*"),"?","~?")))</x:f>
      </x:c>
      <x:c r="H840" s="2" t="str">
        <x:f>IF(COUNTA(A840:F840)=0,"",COUNTIFS('App Data'!$L$2:$L$1001,SUBSTITUTE(SUBSTITUTE(SUBSTITUTE(L840,"~","~~"),"*","~*"),"?","~?")))</x:f>
      </x:c>
      <x:c r="I840" s="13" t="str">
        <x:f>IF(OR(H840&lt;&gt;1,G840&lt;&gt;1),"",SUMIFS('App Data'!$E$2:$E$1001,'App Data'!$L$2:$L$1001,SUBSTITUTE(SUBSTITUTE(SUBSTITUTE(L840,"~","~~"),"*","~*"),"?","~?")))</x:f>
      </x:c>
      <x:c r="J840" s="13" t="str">
        <x:f>IF(OR(NOT(ISNUMBER(E840)),NOT(ISNUMBER(I840))),"",ROUND(E840-I840,2))</x:f>
      </x:c>
      <x:c r="K840" s="2" t="str">
        <x:f>IF(COUNTA(A840:F840)=0,"",IF(OR(A840="",B840="",C840="",D840="",NOT(ISNUMBER(E840))),"Missing / invalid input",IF(G840&gt;1,"Duplicate key in this source",IF(H840=0,"Missing in other source",IF(H840&gt;1,"Duplicate in other source",IF(SUMIFS('App Data'!$M$2:$M$1001,'App Data'!$L$2:$L$1001,SUBSTITUTE(SUBSTITUTE(SUBSTITUTE(L840,"~","~~"),"*","~*"),"?","~?"))&lt;&gt;1,"Other amount is invalid",IF(J840&lt;&gt;0,"Amount differs","Matched")))))))</x:f>
      </x:c>
      <x:c r="L840" t="str">
        <x:f>IF(COUNTA(A840:F840)=0,"",LEN(A840)&amp;":"&amp;A840&amp;LEN(B840)&amp;":"&amp;B840&amp;LEN(C840)&amp;":"&amp;C840&amp;LEN(D840)&amp;":"&amp;D840)</x:f>
      </x:c>
      <x:c r="M840" t="str">
        <x:f>IF(COUNTA(A840:F840)=0,"",IF(ISNUMBER(E840),1,0))</x:f>
      </x:c>
    </x:row>
    <x:row r="841">
      <x:c r="A841" s="11"/>
      <x:c r="B841" s="11"/>
      <x:c r="C841" s="11"/>
      <x:c r="D841" s="11"/>
      <x:c r="E841" s="12"/>
      <x:c r="F841" s="10"/>
      <x:c r="G841" s="2" t="str">
        <x:f>IF(COUNTA(A841:F841)=0,"",COUNTIFS('External Data'!$L$2:$L$1001,SUBSTITUTE(SUBSTITUTE(SUBSTITUTE(L841,"~","~~"),"*","~*"),"?","~?")))</x:f>
      </x:c>
      <x:c r="H841" s="2" t="str">
        <x:f>IF(COUNTA(A841:F841)=0,"",COUNTIFS('App Data'!$L$2:$L$1001,SUBSTITUTE(SUBSTITUTE(SUBSTITUTE(L841,"~","~~"),"*","~*"),"?","~?")))</x:f>
      </x:c>
      <x:c r="I841" s="13" t="str">
        <x:f>IF(OR(H841&lt;&gt;1,G841&lt;&gt;1),"",SUMIFS('App Data'!$E$2:$E$1001,'App Data'!$L$2:$L$1001,SUBSTITUTE(SUBSTITUTE(SUBSTITUTE(L841,"~","~~"),"*","~*"),"?","~?")))</x:f>
      </x:c>
      <x:c r="J841" s="13" t="str">
        <x:f>IF(OR(NOT(ISNUMBER(E841)),NOT(ISNUMBER(I841))),"",ROUND(E841-I841,2))</x:f>
      </x:c>
      <x:c r="K841" s="2" t="str">
        <x:f>IF(COUNTA(A841:F841)=0,"",IF(OR(A841="",B841="",C841="",D841="",NOT(ISNUMBER(E841))),"Missing / invalid input",IF(G841&gt;1,"Duplicate key in this source",IF(H841=0,"Missing in other source",IF(H841&gt;1,"Duplicate in other source",IF(SUMIFS('App Data'!$M$2:$M$1001,'App Data'!$L$2:$L$1001,SUBSTITUTE(SUBSTITUTE(SUBSTITUTE(L841,"~","~~"),"*","~*"),"?","~?"))&lt;&gt;1,"Other amount is invalid",IF(J841&lt;&gt;0,"Amount differs","Matched")))))))</x:f>
      </x:c>
      <x:c r="L841" t="str">
        <x:f>IF(COUNTA(A841:F841)=0,"",LEN(A841)&amp;":"&amp;A841&amp;LEN(B841)&amp;":"&amp;B841&amp;LEN(C841)&amp;":"&amp;C841&amp;LEN(D841)&amp;":"&amp;D841)</x:f>
      </x:c>
      <x:c r="M841" t="str">
        <x:f>IF(COUNTA(A841:F841)=0,"",IF(ISNUMBER(E841),1,0))</x:f>
      </x:c>
    </x:row>
    <x:row r="842">
      <x:c r="A842" s="11"/>
      <x:c r="B842" s="11"/>
      <x:c r="C842" s="11"/>
      <x:c r="D842" s="11"/>
      <x:c r="E842" s="12"/>
      <x:c r="F842" s="10"/>
      <x:c r="G842" s="2" t="str">
        <x:f>IF(COUNTA(A842:F842)=0,"",COUNTIFS('External Data'!$L$2:$L$1001,SUBSTITUTE(SUBSTITUTE(SUBSTITUTE(L842,"~","~~"),"*","~*"),"?","~?")))</x:f>
      </x:c>
      <x:c r="H842" s="2" t="str">
        <x:f>IF(COUNTA(A842:F842)=0,"",COUNTIFS('App Data'!$L$2:$L$1001,SUBSTITUTE(SUBSTITUTE(SUBSTITUTE(L842,"~","~~"),"*","~*"),"?","~?")))</x:f>
      </x:c>
      <x:c r="I842" s="13" t="str">
        <x:f>IF(OR(H842&lt;&gt;1,G842&lt;&gt;1),"",SUMIFS('App Data'!$E$2:$E$1001,'App Data'!$L$2:$L$1001,SUBSTITUTE(SUBSTITUTE(SUBSTITUTE(L842,"~","~~"),"*","~*"),"?","~?")))</x:f>
      </x:c>
      <x:c r="J842" s="13" t="str">
        <x:f>IF(OR(NOT(ISNUMBER(E842)),NOT(ISNUMBER(I842))),"",ROUND(E842-I842,2))</x:f>
      </x:c>
      <x:c r="K842" s="2" t="str">
        <x:f>IF(COUNTA(A842:F842)=0,"",IF(OR(A842="",B842="",C842="",D842="",NOT(ISNUMBER(E842))),"Missing / invalid input",IF(G842&gt;1,"Duplicate key in this source",IF(H842=0,"Missing in other source",IF(H842&gt;1,"Duplicate in other source",IF(SUMIFS('App Data'!$M$2:$M$1001,'App Data'!$L$2:$L$1001,SUBSTITUTE(SUBSTITUTE(SUBSTITUTE(L842,"~","~~"),"*","~*"),"?","~?"))&lt;&gt;1,"Other amount is invalid",IF(J842&lt;&gt;0,"Amount differs","Matched")))))))</x:f>
      </x:c>
      <x:c r="L842" t="str">
        <x:f>IF(COUNTA(A842:F842)=0,"",LEN(A842)&amp;":"&amp;A842&amp;LEN(B842)&amp;":"&amp;B842&amp;LEN(C842)&amp;":"&amp;C842&amp;LEN(D842)&amp;":"&amp;D842)</x:f>
      </x:c>
      <x:c r="M842" t="str">
        <x:f>IF(COUNTA(A842:F842)=0,"",IF(ISNUMBER(E842),1,0))</x:f>
      </x:c>
    </x:row>
    <x:row r="843">
      <x:c r="A843" s="11"/>
      <x:c r="B843" s="11"/>
      <x:c r="C843" s="11"/>
      <x:c r="D843" s="11"/>
      <x:c r="E843" s="12"/>
      <x:c r="F843" s="10"/>
      <x:c r="G843" s="2" t="str">
        <x:f>IF(COUNTA(A843:F843)=0,"",COUNTIFS('External Data'!$L$2:$L$1001,SUBSTITUTE(SUBSTITUTE(SUBSTITUTE(L843,"~","~~"),"*","~*"),"?","~?")))</x:f>
      </x:c>
      <x:c r="H843" s="2" t="str">
        <x:f>IF(COUNTA(A843:F843)=0,"",COUNTIFS('App Data'!$L$2:$L$1001,SUBSTITUTE(SUBSTITUTE(SUBSTITUTE(L843,"~","~~"),"*","~*"),"?","~?")))</x:f>
      </x:c>
      <x:c r="I843" s="13" t="str">
        <x:f>IF(OR(H843&lt;&gt;1,G843&lt;&gt;1),"",SUMIFS('App Data'!$E$2:$E$1001,'App Data'!$L$2:$L$1001,SUBSTITUTE(SUBSTITUTE(SUBSTITUTE(L843,"~","~~"),"*","~*"),"?","~?")))</x:f>
      </x:c>
      <x:c r="J843" s="13" t="str">
        <x:f>IF(OR(NOT(ISNUMBER(E843)),NOT(ISNUMBER(I843))),"",ROUND(E843-I843,2))</x:f>
      </x:c>
      <x:c r="K843" s="2" t="str">
        <x:f>IF(COUNTA(A843:F843)=0,"",IF(OR(A843="",B843="",C843="",D843="",NOT(ISNUMBER(E843))),"Missing / invalid input",IF(G843&gt;1,"Duplicate key in this source",IF(H843=0,"Missing in other source",IF(H843&gt;1,"Duplicate in other source",IF(SUMIFS('App Data'!$M$2:$M$1001,'App Data'!$L$2:$L$1001,SUBSTITUTE(SUBSTITUTE(SUBSTITUTE(L843,"~","~~"),"*","~*"),"?","~?"))&lt;&gt;1,"Other amount is invalid",IF(J843&lt;&gt;0,"Amount differs","Matched")))))))</x:f>
      </x:c>
      <x:c r="L843" t="str">
        <x:f>IF(COUNTA(A843:F843)=0,"",LEN(A843)&amp;":"&amp;A843&amp;LEN(B843)&amp;":"&amp;B843&amp;LEN(C843)&amp;":"&amp;C843&amp;LEN(D843)&amp;":"&amp;D843)</x:f>
      </x:c>
      <x:c r="M843" t="str">
        <x:f>IF(COUNTA(A843:F843)=0,"",IF(ISNUMBER(E843),1,0))</x:f>
      </x:c>
    </x:row>
    <x:row r="844">
      <x:c r="A844" s="11"/>
      <x:c r="B844" s="11"/>
      <x:c r="C844" s="11"/>
      <x:c r="D844" s="11"/>
      <x:c r="E844" s="12"/>
      <x:c r="F844" s="10"/>
      <x:c r="G844" s="2" t="str">
        <x:f>IF(COUNTA(A844:F844)=0,"",COUNTIFS('External Data'!$L$2:$L$1001,SUBSTITUTE(SUBSTITUTE(SUBSTITUTE(L844,"~","~~"),"*","~*"),"?","~?")))</x:f>
      </x:c>
      <x:c r="H844" s="2" t="str">
        <x:f>IF(COUNTA(A844:F844)=0,"",COUNTIFS('App Data'!$L$2:$L$1001,SUBSTITUTE(SUBSTITUTE(SUBSTITUTE(L844,"~","~~"),"*","~*"),"?","~?")))</x:f>
      </x:c>
      <x:c r="I844" s="13" t="str">
        <x:f>IF(OR(H844&lt;&gt;1,G844&lt;&gt;1),"",SUMIFS('App Data'!$E$2:$E$1001,'App Data'!$L$2:$L$1001,SUBSTITUTE(SUBSTITUTE(SUBSTITUTE(L844,"~","~~"),"*","~*"),"?","~?")))</x:f>
      </x:c>
      <x:c r="J844" s="13" t="str">
        <x:f>IF(OR(NOT(ISNUMBER(E844)),NOT(ISNUMBER(I844))),"",ROUND(E844-I844,2))</x:f>
      </x:c>
      <x:c r="K844" s="2" t="str">
        <x:f>IF(COUNTA(A844:F844)=0,"",IF(OR(A844="",B844="",C844="",D844="",NOT(ISNUMBER(E844))),"Missing / invalid input",IF(G844&gt;1,"Duplicate key in this source",IF(H844=0,"Missing in other source",IF(H844&gt;1,"Duplicate in other source",IF(SUMIFS('App Data'!$M$2:$M$1001,'App Data'!$L$2:$L$1001,SUBSTITUTE(SUBSTITUTE(SUBSTITUTE(L844,"~","~~"),"*","~*"),"?","~?"))&lt;&gt;1,"Other amount is invalid",IF(J844&lt;&gt;0,"Amount differs","Matched")))))))</x:f>
      </x:c>
      <x:c r="L844" t="str">
        <x:f>IF(COUNTA(A844:F844)=0,"",LEN(A844)&amp;":"&amp;A844&amp;LEN(B844)&amp;":"&amp;B844&amp;LEN(C844)&amp;":"&amp;C844&amp;LEN(D844)&amp;":"&amp;D844)</x:f>
      </x:c>
      <x:c r="M844" t="str">
        <x:f>IF(COUNTA(A844:F844)=0,"",IF(ISNUMBER(E844),1,0))</x:f>
      </x:c>
    </x:row>
    <x:row r="845">
      <x:c r="A845" s="11"/>
      <x:c r="B845" s="11"/>
      <x:c r="C845" s="11"/>
      <x:c r="D845" s="11"/>
      <x:c r="E845" s="12"/>
      <x:c r="F845" s="10"/>
      <x:c r="G845" s="2" t="str">
        <x:f>IF(COUNTA(A845:F845)=0,"",COUNTIFS('External Data'!$L$2:$L$1001,SUBSTITUTE(SUBSTITUTE(SUBSTITUTE(L845,"~","~~"),"*","~*"),"?","~?")))</x:f>
      </x:c>
      <x:c r="H845" s="2" t="str">
        <x:f>IF(COUNTA(A845:F845)=0,"",COUNTIFS('App Data'!$L$2:$L$1001,SUBSTITUTE(SUBSTITUTE(SUBSTITUTE(L845,"~","~~"),"*","~*"),"?","~?")))</x:f>
      </x:c>
      <x:c r="I845" s="13" t="str">
        <x:f>IF(OR(H845&lt;&gt;1,G845&lt;&gt;1),"",SUMIFS('App Data'!$E$2:$E$1001,'App Data'!$L$2:$L$1001,SUBSTITUTE(SUBSTITUTE(SUBSTITUTE(L845,"~","~~"),"*","~*"),"?","~?")))</x:f>
      </x:c>
      <x:c r="J845" s="13" t="str">
        <x:f>IF(OR(NOT(ISNUMBER(E845)),NOT(ISNUMBER(I845))),"",ROUND(E845-I845,2))</x:f>
      </x:c>
      <x:c r="K845" s="2" t="str">
        <x:f>IF(COUNTA(A845:F845)=0,"",IF(OR(A845="",B845="",C845="",D845="",NOT(ISNUMBER(E845))),"Missing / invalid input",IF(G845&gt;1,"Duplicate key in this source",IF(H845=0,"Missing in other source",IF(H845&gt;1,"Duplicate in other source",IF(SUMIFS('App Data'!$M$2:$M$1001,'App Data'!$L$2:$L$1001,SUBSTITUTE(SUBSTITUTE(SUBSTITUTE(L845,"~","~~"),"*","~*"),"?","~?"))&lt;&gt;1,"Other amount is invalid",IF(J845&lt;&gt;0,"Amount differs","Matched")))))))</x:f>
      </x:c>
      <x:c r="L845" t="str">
        <x:f>IF(COUNTA(A845:F845)=0,"",LEN(A845)&amp;":"&amp;A845&amp;LEN(B845)&amp;":"&amp;B845&amp;LEN(C845)&amp;":"&amp;C845&amp;LEN(D845)&amp;":"&amp;D845)</x:f>
      </x:c>
      <x:c r="M845" t="str">
        <x:f>IF(COUNTA(A845:F845)=0,"",IF(ISNUMBER(E845),1,0))</x:f>
      </x:c>
    </x:row>
    <x:row r="846">
      <x:c r="A846" s="11"/>
      <x:c r="B846" s="11"/>
      <x:c r="C846" s="11"/>
      <x:c r="D846" s="11"/>
      <x:c r="E846" s="12"/>
      <x:c r="F846" s="10"/>
      <x:c r="G846" s="2" t="str">
        <x:f>IF(COUNTA(A846:F846)=0,"",COUNTIFS('External Data'!$L$2:$L$1001,SUBSTITUTE(SUBSTITUTE(SUBSTITUTE(L846,"~","~~"),"*","~*"),"?","~?")))</x:f>
      </x:c>
      <x:c r="H846" s="2" t="str">
        <x:f>IF(COUNTA(A846:F846)=0,"",COUNTIFS('App Data'!$L$2:$L$1001,SUBSTITUTE(SUBSTITUTE(SUBSTITUTE(L846,"~","~~"),"*","~*"),"?","~?")))</x:f>
      </x:c>
      <x:c r="I846" s="13" t="str">
        <x:f>IF(OR(H846&lt;&gt;1,G846&lt;&gt;1),"",SUMIFS('App Data'!$E$2:$E$1001,'App Data'!$L$2:$L$1001,SUBSTITUTE(SUBSTITUTE(SUBSTITUTE(L846,"~","~~"),"*","~*"),"?","~?")))</x:f>
      </x:c>
      <x:c r="J846" s="13" t="str">
        <x:f>IF(OR(NOT(ISNUMBER(E846)),NOT(ISNUMBER(I846))),"",ROUND(E846-I846,2))</x:f>
      </x:c>
      <x:c r="K846" s="2" t="str">
        <x:f>IF(COUNTA(A846:F846)=0,"",IF(OR(A846="",B846="",C846="",D846="",NOT(ISNUMBER(E846))),"Missing / invalid input",IF(G846&gt;1,"Duplicate key in this source",IF(H846=0,"Missing in other source",IF(H846&gt;1,"Duplicate in other source",IF(SUMIFS('App Data'!$M$2:$M$1001,'App Data'!$L$2:$L$1001,SUBSTITUTE(SUBSTITUTE(SUBSTITUTE(L846,"~","~~"),"*","~*"),"?","~?"))&lt;&gt;1,"Other amount is invalid",IF(J846&lt;&gt;0,"Amount differs","Matched")))))))</x:f>
      </x:c>
      <x:c r="L846" t="str">
        <x:f>IF(COUNTA(A846:F846)=0,"",LEN(A846)&amp;":"&amp;A846&amp;LEN(B846)&amp;":"&amp;B846&amp;LEN(C846)&amp;":"&amp;C846&amp;LEN(D846)&amp;":"&amp;D846)</x:f>
      </x:c>
      <x:c r="M846" t="str">
        <x:f>IF(COUNTA(A846:F846)=0,"",IF(ISNUMBER(E846),1,0))</x:f>
      </x:c>
    </x:row>
    <x:row r="847">
      <x:c r="A847" s="11"/>
      <x:c r="B847" s="11"/>
      <x:c r="C847" s="11"/>
      <x:c r="D847" s="11"/>
      <x:c r="E847" s="12"/>
      <x:c r="F847" s="10"/>
      <x:c r="G847" s="2" t="str">
        <x:f>IF(COUNTA(A847:F847)=0,"",COUNTIFS('External Data'!$L$2:$L$1001,SUBSTITUTE(SUBSTITUTE(SUBSTITUTE(L847,"~","~~"),"*","~*"),"?","~?")))</x:f>
      </x:c>
      <x:c r="H847" s="2" t="str">
        <x:f>IF(COUNTA(A847:F847)=0,"",COUNTIFS('App Data'!$L$2:$L$1001,SUBSTITUTE(SUBSTITUTE(SUBSTITUTE(L847,"~","~~"),"*","~*"),"?","~?")))</x:f>
      </x:c>
      <x:c r="I847" s="13" t="str">
        <x:f>IF(OR(H847&lt;&gt;1,G847&lt;&gt;1),"",SUMIFS('App Data'!$E$2:$E$1001,'App Data'!$L$2:$L$1001,SUBSTITUTE(SUBSTITUTE(SUBSTITUTE(L847,"~","~~"),"*","~*"),"?","~?")))</x:f>
      </x:c>
      <x:c r="J847" s="13" t="str">
        <x:f>IF(OR(NOT(ISNUMBER(E847)),NOT(ISNUMBER(I847))),"",ROUND(E847-I847,2))</x:f>
      </x:c>
      <x:c r="K847" s="2" t="str">
        <x:f>IF(COUNTA(A847:F847)=0,"",IF(OR(A847="",B847="",C847="",D847="",NOT(ISNUMBER(E847))),"Missing / invalid input",IF(G847&gt;1,"Duplicate key in this source",IF(H847=0,"Missing in other source",IF(H847&gt;1,"Duplicate in other source",IF(SUMIFS('App Data'!$M$2:$M$1001,'App Data'!$L$2:$L$1001,SUBSTITUTE(SUBSTITUTE(SUBSTITUTE(L847,"~","~~"),"*","~*"),"?","~?"))&lt;&gt;1,"Other amount is invalid",IF(J847&lt;&gt;0,"Amount differs","Matched")))))))</x:f>
      </x:c>
      <x:c r="L847" t="str">
        <x:f>IF(COUNTA(A847:F847)=0,"",LEN(A847)&amp;":"&amp;A847&amp;LEN(B847)&amp;":"&amp;B847&amp;LEN(C847)&amp;":"&amp;C847&amp;LEN(D847)&amp;":"&amp;D847)</x:f>
      </x:c>
      <x:c r="M847" t="str">
        <x:f>IF(COUNTA(A847:F847)=0,"",IF(ISNUMBER(E847),1,0))</x:f>
      </x:c>
    </x:row>
    <x:row r="848">
      <x:c r="A848" s="11"/>
      <x:c r="B848" s="11"/>
      <x:c r="C848" s="11"/>
      <x:c r="D848" s="11"/>
      <x:c r="E848" s="12"/>
      <x:c r="F848" s="10"/>
      <x:c r="G848" s="2" t="str">
        <x:f>IF(COUNTA(A848:F848)=0,"",COUNTIFS('External Data'!$L$2:$L$1001,SUBSTITUTE(SUBSTITUTE(SUBSTITUTE(L848,"~","~~"),"*","~*"),"?","~?")))</x:f>
      </x:c>
      <x:c r="H848" s="2" t="str">
        <x:f>IF(COUNTA(A848:F848)=0,"",COUNTIFS('App Data'!$L$2:$L$1001,SUBSTITUTE(SUBSTITUTE(SUBSTITUTE(L848,"~","~~"),"*","~*"),"?","~?")))</x:f>
      </x:c>
      <x:c r="I848" s="13" t="str">
        <x:f>IF(OR(H848&lt;&gt;1,G848&lt;&gt;1),"",SUMIFS('App Data'!$E$2:$E$1001,'App Data'!$L$2:$L$1001,SUBSTITUTE(SUBSTITUTE(SUBSTITUTE(L848,"~","~~"),"*","~*"),"?","~?")))</x:f>
      </x:c>
      <x:c r="J848" s="13" t="str">
        <x:f>IF(OR(NOT(ISNUMBER(E848)),NOT(ISNUMBER(I848))),"",ROUND(E848-I848,2))</x:f>
      </x:c>
      <x:c r="K848" s="2" t="str">
        <x:f>IF(COUNTA(A848:F848)=0,"",IF(OR(A848="",B848="",C848="",D848="",NOT(ISNUMBER(E848))),"Missing / invalid input",IF(G848&gt;1,"Duplicate key in this source",IF(H848=0,"Missing in other source",IF(H848&gt;1,"Duplicate in other source",IF(SUMIFS('App Data'!$M$2:$M$1001,'App Data'!$L$2:$L$1001,SUBSTITUTE(SUBSTITUTE(SUBSTITUTE(L848,"~","~~"),"*","~*"),"?","~?"))&lt;&gt;1,"Other amount is invalid",IF(J848&lt;&gt;0,"Amount differs","Matched")))))))</x:f>
      </x:c>
      <x:c r="L848" t="str">
        <x:f>IF(COUNTA(A848:F848)=0,"",LEN(A848)&amp;":"&amp;A848&amp;LEN(B848)&amp;":"&amp;B848&amp;LEN(C848)&amp;":"&amp;C848&amp;LEN(D848)&amp;":"&amp;D848)</x:f>
      </x:c>
      <x:c r="M848" t="str">
        <x:f>IF(COUNTA(A848:F848)=0,"",IF(ISNUMBER(E848),1,0))</x:f>
      </x:c>
    </x:row>
    <x:row r="849">
      <x:c r="A849" s="11"/>
      <x:c r="B849" s="11"/>
      <x:c r="C849" s="11"/>
      <x:c r="D849" s="11"/>
      <x:c r="E849" s="12"/>
      <x:c r="F849" s="10"/>
      <x:c r="G849" s="2" t="str">
        <x:f>IF(COUNTA(A849:F849)=0,"",COUNTIFS('External Data'!$L$2:$L$1001,SUBSTITUTE(SUBSTITUTE(SUBSTITUTE(L849,"~","~~"),"*","~*"),"?","~?")))</x:f>
      </x:c>
      <x:c r="H849" s="2" t="str">
        <x:f>IF(COUNTA(A849:F849)=0,"",COUNTIFS('App Data'!$L$2:$L$1001,SUBSTITUTE(SUBSTITUTE(SUBSTITUTE(L849,"~","~~"),"*","~*"),"?","~?")))</x:f>
      </x:c>
      <x:c r="I849" s="13" t="str">
        <x:f>IF(OR(H849&lt;&gt;1,G849&lt;&gt;1),"",SUMIFS('App Data'!$E$2:$E$1001,'App Data'!$L$2:$L$1001,SUBSTITUTE(SUBSTITUTE(SUBSTITUTE(L849,"~","~~"),"*","~*"),"?","~?")))</x:f>
      </x:c>
      <x:c r="J849" s="13" t="str">
        <x:f>IF(OR(NOT(ISNUMBER(E849)),NOT(ISNUMBER(I849))),"",ROUND(E849-I849,2))</x:f>
      </x:c>
      <x:c r="K849" s="2" t="str">
        <x:f>IF(COUNTA(A849:F849)=0,"",IF(OR(A849="",B849="",C849="",D849="",NOT(ISNUMBER(E849))),"Missing / invalid input",IF(G849&gt;1,"Duplicate key in this source",IF(H849=0,"Missing in other source",IF(H849&gt;1,"Duplicate in other source",IF(SUMIFS('App Data'!$M$2:$M$1001,'App Data'!$L$2:$L$1001,SUBSTITUTE(SUBSTITUTE(SUBSTITUTE(L849,"~","~~"),"*","~*"),"?","~?"))&lt;&gt;1,"Other amount is invalid",IF(J849&lt;&gt;0,"Amount differs","Matched")))))))</x:f>
      </x:c>
      <x:c r="L849" t="str">
        <x:f>IF(COUNTA(A849:F849)=0,"",LEN(A849)&amp;":"&amp;A849&amp;LEN(B849)&amp;":"&amp;B849&amp;LEN(C849)&amp;":"&amp;C849&amp;LEN(D849)&amp;":"&amp;D849)</x:f>
      </x:c>
      <x:c r="M849" t="str">
        <x:f>IF(COUNTA(A849:F849)=0,"",IF(ISNUMBER(E849),1,0))</x:f>
      </x:c>
    </x:row>
    <x:row r="850">
      <x:c r="A850" s="11"/>
      <x:c r="B850" s="11"/>
      <x:c r="C850" s="11"/>
      <x:c r="D850" s="11"/>
      <x:c r="E850" s="12"/>
      <x:c r="F850" s="10"/>
      <x:c r="G850" s="2" t="str">
        <x:f>IF(COUNTA(A850:F850)=0,"",COUNTIFS('External Data'!$L$2:$L$1001,SUBSTITUTE(SUBSTITUTE(SUBSTITUTE(L850,"~","~~"),"*","~*"),"?","~?")))</x:f>
      </x:c>
      <x:c r="H850" s="2" t="str">
        <x:f>IF(COUNTA(A850:F850)=0,"",COUNTIFS('App Data'!$L$2:$L$1001,SUBSTITUTE(SUBSTITUTE(SUBSTITUTE(L850,"~","~~"),"*","~*"),"?","~?")))</x:f>
      </x:c>
      <x:c r="I850" s="13" t="str">
        <x:f>IF(OR(H850&lt;&gt;1,G850&lt;&gt;1),"",SUMIFS('App Data'!$E$2:$E$1001,'App Data'!$L$2:$L$1001,SUBSTITUTE(SUBSTITUTE(SUBSTITUTE(L850,"~","~~"),"*","~*"),"?","~?")))</x:f>
      </x:c>
      <x:c r="J850" s="13" t="str">
        <x:f>IF(OR(NOT(ISNUMBER(E850)),NOT(ISNUMBER(I850))),"",ROUND(E850-I850,2))</x:f>
      </x:c>
      <x:c r="K850" s="2" t="str">
        <x:f>IF(COUNTA(A850:F850)=0,"",IF(OR(A850="",B850="",C850="",D850="",NOT(ISNUMBER(E850))),"Missing / invalid input",IF(G850&gt;1,"Duplicate key in this source",IF(H850=0,"Missing in other source",IF(H850&gt;1,"Duplicate in other source",IF(SUMIFS('App Data'!$M$2:$M$1001,'App Data'!$L$2:$L$1001,SUBSTITUTE(SUBSTITUTE(SUBSTITUTE(L850,"~","~~"),"*","~*"),"?","~?"))&lt;&gt;1,"Other amount is invalid",IF(J850&lt;&gt;0,"Amount differs","Matched")))))))</x:f>
      </x:c>
      <x:c r="L850" t="str">
        <x:f>IF(COUNTA(A850:F850)=0,"",LEN(A850)&amp;":"&amp;A850&amp;LEN(B850)&amp;":"&amp;B850&amp;LEN(C850)&amp;":"&amp;C850&amp;LEN(D850)&amp;":"&amp;D850)</x:f>
      </x:c>
      <x:c r="M850" t="str">
        <x:f>IF(COUNTA(A850:F850)=0,"",IF(ISNUMBER(E850),1,0))</x:f>
      </x:c>
    </x:row>
    <x:row r="851">
      <x:c r="A851" s="11"/>
      <x:c r="B851" s="11"/>
      <x:c r="C851" s="11"/>
      <x:c r="D851" s="11"/>
      <x:c r="E851" s="12"/>
      <x:c r="F851" s="10"/>
      <x:c r="G851" s="2" t="str">
        <x:f>IF(COUNTA(A851:F851)=0,"",COUNTIFS('External Data'!$L$2:$L$1001,SUBSTITUTE(SUBSTITUTE(SUBSTITUTE(L851,"~","~~"),"*","~*"),"?","~?")))</x:f>
      </x:c>
      <x:c r="H851" s="2" t="str">
        <x:f>IF(COUNTA(A851:F851)=0,"",COUNTIFS('App Data'!$L$2:$L$1001,SUBSTITUTE(SUBSTITUTE(SUBSTITUTE(L851,"~","~~"),"*","~*"),"?","~?")))</x:f>
      </x:c>
      <x:c r="I851" s="13" t="str">
        <x:f>IF(OR(H851&lt;&gt;1,G851&lt;&gt;1),"",SUMIFS('App Data'!$E$2:$E$1001,'App Data'!$L$2:$L$1001,SUBSTITUTE(SUBSTITUTE(SUBSTITUTE(L851,"~","~~"),"*","~*"),"?","~?")))</x:f>
      </x:c>
      <x:c r="J851" s="13" t="str">
        <x:f>IF(OR(NOT(ISNUMBER(E851)),NOT(ISNUMBER(I851))),"",ROUND(E851-I851,2))</x:f>
      </x:c>
      <x:c r="K851" s="2" t="str">
        <x:f>IF(COUNTA(A851:F851)=0,"",IF(OR(A851="",B851="",C851="",D851="",NOT(ISNUMBER(E851))),"Missing / invalid input",IF(G851&gt;1,"Duplicate key in this source",IF(H851=0,"Missing in other source",IF(H851&gt;1,"Duplicate in other source",IF(SUMIFS('App Data'!$M$2:$M$1001,'App Data'!$L$2:$L$1001,SUBSTITUTE(SUBSTITUTE(SUBSTITUTE(L851,"~","~~"),"*","~*"),"?","~?"))&lt;&gt;1,"Other amount is invalid",IF(J851&lt;&gt;0,"Amount differs","Matched")))))))</x:f>
      </x:c>
      <x:c r="L851" t="str">
        <x:f>IF(COUNTA(A851:F851)=0,"",LEN(A851)&amp;":"&amp;A851&amp;LEN(B851)&amp;":"&amp;B851&amp;LEN(C851)&amp;":"&amp;C851&amp;LEN(D851)&amp;":"&amp;D851)</x:f>
      </x:c>
      <x:c r="M851" t="str">
        <x:f>IF(COUNTA(A851:F851)=0,"",IF(ISNUMBER(E851),1,0))</x:f>
      </x:c>
    </x:row>
    <x:row r="852">
      <x:c r="A852" s="11"/>
      <x:c r="B852" s="11"/>
      <x:c r="C852" s="11"/>
      <x:c r="D852" s="11"/>
      <x:c r="E852" s="12"/>
      <x:c r="F852" s="10"/>
      <x:c r="G852" s="2" t="str">
        <x:f>IF(COUNTA(A852:F852)=0,"",COUNTIFS('External Data'!$L$2:$L$1001,SUBSTITUTE(SUBSTITUTE(SUBSTITUTE(L852,"~","~~"),"*","~*"),"?","~?")))</x:f>
      </x:c>
      <x:c r="H852" s="2" t="str">
        <x:f>IF(COUNTA(A852:F852)=0,"",COUNTIFS('App Data'!$L$2:$L$1001,SUBSTITUTE(SUBSTITUTE(SUBSTITUTE(L852,"~","~~"),"*","~*"),"?","~?")))</x:f>
      </x:c>
      <x:c r="I852" s="13" t="str">
        <x:f>IF(OR(H852&lt;&gt;1,G852&lt;&gt;1),"",SUMIFS('App Data'!$E$2:$E$1001,'App Data'!$L$2:$L$1001,SUBSTITUTE(SUBSTITUTE(SUBSTITUTE(L852,"~","~~"),"*","~*"),"?","~?")))</x:f>
      </x:c>
      <x:c r="J852" s="13" t="str">
        <x:f>IF(OR(NOT(ISNUMBER(E852)),NOT(ISNUMBER(I852))),"",ROUND(E852-I852,2))</x:f>
      </x:c>
      <x:c r="K852" s="2" t="str">
        <x:f>IF(COUNTA(A852:F852)=0,"",IF(OR(A852="",B852="",C852="",D852="",NOT(ISNUMBER(E852))),"Missing / invalid input",IF(G852&gt;1,"Duplicate key in this source",IF(H852=0,"Missing in other source",IF(H852&gt;1,"Duplicate in other source",IF(SUMIFS('App Data'!$M$2:$M$1001,'App Data'!$L$2:$L$1001,SUBSTITUTE(SUBSTITUTE(SUBSTITUTE(L852,"~","~~"),"*","~*"),"?","~?"))&lt;&gt;1,"Other amount is invalid",IF(J852&lt;&gt;0,"Amount differs","Matched")))))))</x:f>
      </x:c>
      <x:c r="L852" t="str">
        <x:f>IF(COUNTA(A852:F852)=0,"",LEN(A852)&amp;":"&amp;A852&amp;LEN(B852)&amp;":"&amp;B852&amp;LEN(C852)&amp;":"&amp;C852&amp;LEN(D852)&amp;":"&amp;D852)</x:f>
      </x:c>
      <x:c r="M852" t="str">
        <x:f>IF(COUNTA(A852:F852)=0,"",IF(ISNUMBER(E852),1,0))</x:f>
      </x:c>
    </x:row>
    <x:row r="853">
      <x:c r="A853" s="11"/>
      <x:c r="B853" s="11"/>
      <x:c r="C853" s="11"/>
      <x:c r="D853" s="11"/>
      <x:c r="E853" s="12"/>
      <x:c r="F853" s="10"/>
      <x:c r="G853" s="2" t="str">
        <x:f>IF(COUNTA(A853:F853)=0,"",COUNTIFS('External Data'!$L$2:$L$1001,SUBSTITUTE(SUBSTITUTE(SUBSTITUTE(L853,"~","~~"),"*","~*"),"?","~?")))</x:f>
      </x:c>
      <x:c r="H853" s="2" t="str">
        <x:f>IF(COUNTA(A853:F853)=0,"",COUNTIFS('App Data'!$L$2:$L$1001,SUBSTITUTE(SUBSTITUTE(SUBSTITUTE(L853,"~","~~"),"*","~*"),"?","~?")))</x:f>
      </x:c>
      <x:c r="I853" s="13" t="str">
        <x:f>IF(OR(H853&lt;&gt;1,G853&lt;&gt;1),"",SUMIFS('App Data'!$E$2:$E$1001,'App Data'!$L$2:$L$1001,SUBSTITUTE(SUBSTITUTE(SUBSTITUTE(L853,"~","~~"),"*","~*"),"?","~?")))</x:f>
      </x:c>
      <x:c r="J853" s="13" t="str">
        <x:f>IF(OR(NOT(ISNUMBER(E853)),NOT(ISNUMBER(I853))),"",ROUND(E853-I853,2))</x:f>
      </x:c>
      <x:c r="K853" s="2" t="str">
        <x:f>IF(COUNTA(A853:F853)=0,"",IF(OR(A853="",B853="",C853="",D853="",NOT(ISNUMBER(E853))),"Missing / invalid input",IF(G853&gt;1,"Duplicate key in this source",IF(H853=0,"Missing in other source",IF(H853&gt;1,"Duplicate in other source",IF(SUMIFS('App Data'!$M$2:$M$1001,'App Data'!$L$2:$L$1001,SUBSTITUTE(SUBSTITUTE(SUBSTITUTE(L853,"~","~~"),"*","~*"),"?","~?"))&lt;&gt;1,"Other amount is invalid",IF(J853&lt;&gt;0,"Amount differs","Matched")))))))</x:f>
      </x:c>
      <x:c r="L853" t="str">
        <x:f>IF(COUNTA(A853:F853)=0,"",LEN(A853)&amp;":"&amp;A853&amp;LEN(B853)&amp;":"&amp;B853&amp;LEN(C853)&amp;":"&amp;C853&amp;LEN(D853)&amp;":"&amp;D853)</x:f>
      </x:c>
      <x:c r="M853" t="str">
        <x:f>IF(COUNTA(A853:F853)=0,"",IF(ISNUMBER(E853),1,0))</x:f>
      </x:c>
    </x:row>
    <x:row r="854">
      <x:c r="A854" s="11"/>
      <x:c r="B854" s="11"/>
      <x:c r="C854" s="11"/>
      <x:c r="D854" s="11"/>
      <x:c r="E854" s="12"/>
      <x:c r="F854" s="10"/>
      <x:c r="G854" s="2" t="str">
        <x:f>IF(COUNTA(A854:F854)=0,"",COUNTIFS('External Data'!$L$2:$L$1001,SUBSTITUTE(SUBSTITUTE(SUBSTITUTE(L854,"~","~~"),"*","~*"),"?","~?")))</x:f>
      </x:c>
      <x:c r="H854" s="2" t="str">
        <x:f>IF(COUNTA(A854:F854)=0,"",COUNTIFS('App Data'!$L$2:$L$1001,SUBSTITUTE(SUBSTITUTE(SUBSTITUTE(L854,"~","~~"),"*","~*"),"?","~?")))</x:f>
      </x:c>
      <x:c r="I854" s="13" t="str">
        <x:f>IF(OR(H854&lt;&gt;1,G854&lt;&gt;1),"",SUMIFS('App Data'!$E$2:$E$1001,'App Data'!$L$2:$L$1001,SUBSTITUTE(SUBSTITUTE(SUBSTITUTE(L854,"~","~~"),"*","~*"),"?","~?")))</x:f>
      </x:c>
      <x:c r="J854" s="13" t="str">
        <x:f>IF(OR(NOT(ISNUMBER(E854)),NOT(ISNUMBER(I854))),"",ROUND(E854-I854,2))</x:f>
      </x:c>
      <x:c r="K854" s="2" t="str">
        <x:f>IF(COUNTA(A854:F854)=0,"",IF(OR(A854="",B854="",C854="",D854="",NOT(ISNUMBER(E854))),"Missing / invalid input",IF(G854&gt;1,"Duplicate key in this source",IF(H854=0,"Missing in other source",IF(H854&gt;1,"Duplicate in other source",IF(SUMIFS('App Data'!$M$2:$M$1001,'App Data'!$L$2:$L$1001,SUBSTITUTE(SUBSTITUTE(SUBSTITUTE(L854,"~","~~"),"*","~*"),"?","~?"))&lt;&gt;1,"Other amount is invalid",IF(J854&lt;&gt;0,"Amount differs","Matched")))))))</x:f>
      </x:c>
      <x:c r="L854" t="str">
        <x:f>IF(COUNTA(A854:F854)=0,"",LEN(A854)&amp;":"&amp;A854&amp;LEN(B854)&amp;":"&amp;B854&amp;LEN(C854)&amp;":"&amp;C854&amp;LEN(D854)&amp;":"&amp;D854)</x:f>
      </x:c>
      <x:c r="M854" t="str">
        <x:f>IF(COUNTA(A854:F854)=0,"",IF(ISNUMBER(E854),1,0))</x:f>
      </x:c>
    </x:row>
    <x:row r="855">
      <x:c r="A855" s="11"/>
      <x:c r="B855" s="11"/>
      <x:c r="C855" s="11"/>
      <x:c r="D855" s="11"/>
      <x:c r="E855" s="12"/>
      <x:c r="F855" s="10"/>
      <x:c r="G855" s="2" t="str">
        <x:f>IF(COUNTA(A855:F855)=0,"",COUNTIFS('External Data'!$L$2:$L$1001,SUBSTITUTE(SUBSTITUTE(SUBSTITUTE(L855,"~","~~"),"*","~*"),"?","~?")))</x:f>
      </x:c>
      <x:c r="H855" s="2" t="str">
        <x:f>IF(COUNTA(A855:F855)=0,"",COUNTIFS('App Data'!$L$2:$L$1001,SUBSTITUTE(SUBSTITUTE(SUBSTITUTE(L855,"~","~~"),"*","~*"),"?","~?")))</x:f>
      </x:c>
      <x:c r="I855" s="13" t="str">
        <x:f>IF(OR(H855&lt;&gt;1,G855&lt;&gt;1),"",SUMIFS('App Data'!$E$2:$E$1001,'App Data'!$L$2:$L$1001,SUBSTITUTE(SUBSTITUTE(SUBSTITUTE(L855,"~","~~"),"*","~*"),"?","~?")))</x:f>
      </x:c>
      <x:c r="J855" s="13" t="str">
        <x:f>IF(OR(NOT(ISNUMBER(E855)),NOT(ISNUMBER(I855))),"",ROUND(E855-I855,2))</x:f>
      </x:c>
      <x:c r="K855" s="2" t="str">
        <x:f>IF(COUNTA(A855:F855)=0,"",IF(OR(A855="",B855="",C855="",D855="",NOT(ISNUMBER(E855))),"Missing / invalid input",IF(G855&gt;1,"Duplicate key in this source",IF(H855=0,"Missing in other source",IF(H855&gt;1,"Duplicate in other source",IF(SUMIFS('App Data'!$M$2:$M$1001,'App Data'!$L$2:$L$1001,SUBSTITUTE(SUBSTITUTE(SUBSTITUTE(L855,"~","~~"),"*","~*"),"?","~?"))&lt;&gt;1,"Other amount is invalid",IF(J855&lt;&gt;0,"Amount differs","Matched")))))))</x:f>
      </x:c>
      <x:c r="L855" t="str">
        <x:f>IF(COUNTA(A855:F855)=0,"",LEN(A855)&amp;":"&amp;A855&amp;LEN(B855)&amp;":"&amp;B855&amp;LEN(C855)&amp;":"&amp;C855&amp;LEN(D855)&amp;":"&amp;D855)</x:f>
      </x:c>
      <x:c r="M855" t="str">
        <x:f>IF(COUNTA(A855:F855)=0,"",IF(ISNUMBER(E855),1,0))</x:f>
      </x:c>
    </x:row>
    <x:row r="856">
      <x:c r="A856" s="11"/>
      <x:c r="B856" s="11"/>
      <x:c r="C856" s="11"/>
      <x:c r="D856" s="11"/>
      <x:c r="E856" s="12"/>
      <x:c r="F856" s="10"/>
      <x:c r="G856" s="2" t="str">
        <x:f>IF(COUNTA(A856:F856)=0,"",COUNTIFS('External Data'!$L$2:$L$1001,SUBSTITUTE(SUBSTITUTE(SUBSTITUTE(L856,"~","~~"),"*","~*"),"?","~?")))</x:f>
      </x:c>
      <x:c r="H856" s="2" t="str">
        <x:f>IF(COUNTA(A856:F856)=0,"",COUNTIFS('App Data'!$L$2:$L$1001,SUBSTITUTE(SUBSTITUTE(SUBSTITUTE(L856,"~","~~"),"*","~*"),"?","~?")))</x:f>
      </x:c>
      <x:c r="I856" s="13" t="str">
        <x:f>IF(OR(H856&lt;&gt;1,G856&lt;&gt;1),"",SUMIFS('App Data'!$E$2:$E$1001,'App Data'!$L$2:$L$1001,SUBSTITUTE(SUBSTITUTE(SUBSTITUTE(L856,"~","~~"),"*","~*"),"?","~?")))</x:f>
      </x:c>
      <x:c r="J856" s="13" t="str">
        <x:f>IF(OR(NOT(ISNUMBER(E856)),NOT(ISNUMBER(I856))),"",ROUND(E856-I856,2))</x:f>
      </x:c>
      <x:c r="K856" s="2" t="str">
        <x:f>IF(COUNTA(A856:F856)=0,"",IF(OR(A856="",B856="",C856="",D856="",NOT(ISNUMBER(E856))),"Missing / invalid input",IF(G856&gt;1,"Duplicate key in this source",IF(H856=0,"Missing in other source",IF(H856&gt;1,"Duplicate in other source",IF(SUMIFS('App Data'!$M$2:$M$1001,'App Data'!$L$2:$L$1001,SUBSTITUTE(SUBSTITUTE(SUBSTITUTE(L856,"~","~~"),"*","~*"),"?","~?"))&lt;&gt;1,"Other amount is invalid",IF(J856&lt;&gt;0,"Amount differs","Matched")))))))</x:f>
      </x:c>
      <x:c r="L856" t="str">
        <x:f>IF(COUNTA(A856:F856)=0,"",LEN(A856)&amp;":"&amp;A856&amp;LEN(B856)&amp;":"&amp;B856&amp;LEN(C856)&amp;":"&amp;C856&amp;LEN(D856)&amp;":"&amp;D856)</x:f>
      </x:c>
      <x:c r="M856" t="str">
        <x:f>IF(COUNTA(A856:F856)=0,"",IF(ISNUMBER(E856),1,0))</x:f>
      </x:c>
    </x:row>
    <x:row r="857">
      <x:c r="A857" s="11"/>
      <x:c r="B857" s="11"/>
      <x:c r="C857" s="11"/>
      <x:c r="D857" s="11"/>
      <x:c r="E857" s="12"/>
      <x:c r="F857" s="10"/>
      <x:c r="G857" s="2" t="str">
        <x:f>IF(COUNTA(A857:F857)=0,"",COUNTIFS('External Data'!$L$2:$L$1001,SUBSTITUTE(SUBSTITUTE(SUBSTITUTE(L857,"~","~~"),"*","~*"),"?","~?")))</x:f>
      </x:c>
      <x:c r="H857" s="2" t="str">
        <x:f>IF(COUNTA(A857:F857)=0,"",COUNTIFS('App Data'!$L$2:$L$1001,SUBSTITUTE(SUBSTITUTE(SUBSTITUTE(L857,"~","~~"),"*","~*"),"?","~?")))</x:f>
      </x:c>
      <x:c r="I857" s="13" t="str">
        <x:f>IF(OR(H857&lt;&gt;1,G857&lt;&gt;1),"",SUMIFS('App Data'!$E$2:$E$1001,'App Data'!$L$2:$L$1001,SUBSTITUTE(SUBSTITUTE(SUBSTITUTE(L857,"~","~~"),"*","~*"),"?","~?")))</x:f>
      </x:c>
      <x:c r="J857" s="13" t="str">
        <x:f>IF(OR(NOT(ISNUMBER(E857)),NOT(ISNUMBER(I857))),"",ROUND(E857-I857,2))</x:f>
      </x:c>
      <x:c r="K857" s="2" t="str">
        <x:f>IF(COUNTA(A857:F857)=0,"",IF(OR(A857="",B857="",C857="",D857="",NOT(ISNUMBER(E857))),"Missing / invalid input",IF(G857&gt;1,"Duplicate key in this source",IF(H857=0,"Missing in other source",IF(H857&gt;1,"Duplicate in other source",IF(SUMIFS('App Data'!$M$2:$M$1001,'App Data'!$L$2:$L$1001,SUBSTITUTE(SUBSTITUTE(SUBSTITUTE(L857,"~","~~"),"*","~*"),"?","~?"))&lt;&gt;1,"Other amount is invalid",IF(J857&lt;&gt;0,"Amount differs","Matched")))))))</x:f>
      </x:c>
      <x:c r="L857" t="str">
        <x:f>IF(COUNTA(A857:F857)=0,"",LEN(A857)&amp;":"&amp;A857&amp;LEN(B857)&amp;":"&amp;B857&amp;LEN(C857)&amp;":"&amp;C857&amp;LEN(D857)&amp;":"&amp;D857)</x:f>
      </x:c>
      <x:c r="M857" t="str">
        <x:f>IF(COUNTA(A857:F857)=0,"",IF(ISNUMBER(E857),1,0))</x:f>
      </x:c>
    </x:row>
    <x:row r="858">
      <x:c r="A858" s="11"/>
      <x:c r="B858" s="11"/>
      <x:c r="C858" s="11"/>
      <x:c r="D858" s="11"/>
      <x:c r="E858" s="12"/>
      <x:c r="F858" s="10"/>
      <x:c r="G858" s="2" t="str">
        <x:f>IF(COUNTA(A858:F858)=0,"",COUNTIFS('External Data'!$L$2:$L$1001,SUBSTITUTE(SUBSTITUTE(SUBSTITUTE(L858,"~","~~"),"*","~*"),"?","~?")))</x:f>
      </x:c>
      <x:c r="H858" s="2" t="str">
        <x:f>IF(COUNTA(A858:F858)=0,"",COUNTIFS('App Data'!$L$2:$L$1001,SUBSTITUTE(SUBSTITUTE(SUBSTITUTE(L858,"~","~~"),"*","~*"),"?","~?")))</x:f>
      </x:c>
      <x:c r="I858" s="13" t="str">
        <x:f>IF(OR(H858&lt;&gt;1,G858&lt;&gt;1),"",SUMIFS('App Data'!$E$2:$E$1001,'App Data'!$L$2:$L$1001,SUBSTITUTE(SUBSTITUTE(SUBSTITUTE(L858,"~","~~"),"*","~*"),"?","~?")))</x:f>
      </x:c>
      <x:c r="J858" s="13" t="str">
        <x:f>IF(OR(NOT(ISNUMBER(E858)),NOT(ISNUMBER(I858))),"",ROUND(E858-I858,2))</x:f>
      </x:c>
      <x:c r="K858" s="2" t="str">
        <x:f>IF(COUNTA(A858:F858)=0,"",IF(OR(A858="",B858="",C858="",D858="",NOT(ISNUMBER(E858))),"Missing / invalid input",IF(G858&gt;1,"Duplicate key in this source",IF(H858=0,"Missing in other source",IF(H858&gt;1,"Duplicate in other source",IF(SUMIFS('App Data'!$M$2:$M$1001,'App Data'!$L$2:$L$1001,SUBSTITUTE(SUBSTITUTE(SUBSTITUTE(L858,"~","~~"),"*","~*"),"?","~?"))&lt;&gt;1,"Other amount is invalid",IF(J858&lt;&gt;0,"Amount differs","Matched")))))))</x:f>
      </x:c>
      <x:c r="L858" t="str">
        <x:f>IF(COUNTA(A858:F858)=0,"",LEN(A858)&amp;":"&amp;A858&amp;LEN(B858)&amp;":"&amp;B858&amp;LEN(C858)&amp;":"&amp;C858&amp;LEN(D858)&amp;":"&amp;D858)</x:f>
      </x:c>
      <x:c r="M858" t="str">
        <x:f>IF(COUNTA(A858:F858)=0,"",IF(ISNUMBER(E858),1,0))</x:f>
      </x:c>
    </x:row>
    <x:row r="859">
      <x:c r="A859" s="11"/>
      <x:c r="B859" s="11"/>
      <x:c r="C859" s="11"/>
      <x:c r="D859" s="11"/>
      <x:c r="E859" s="12"/>
      <x:c r="F859" s="10"/>
      <x:c r="G859" s="2" t="str">
        <x:f>IF(COUNTA(A859:F859)=0,"",COUNTIFS('External Data'!$L$2:$L$1001,SUBSTITUTE(SUBSTITUTE(SUBSTITUTE(L859,"~","~~"),"*","~*"),"?","~?")))</x:f>
      </x:c>
      <x:c r="H859" s="2" t="str">
        <x:f>IF(COUNTA(A859:F859)=0,"",COUNTIFS('App Data'!$L$2:$L$1001,SUBSTITUTE(SUBSTITUTE(SUBSTITUTE(L859,"~","~~"),"*","~*"),"?","~?")))</x:f>
      </x:c>
      <x:c r="I859" s="13" t="str">
        <x:f>IF(OR(H859&lt;&gt;1,G859&lt;&gt;1),"",SUMIFS('App Data'!$E$2:$E$1001,'App Data'!$L$2:$L$1001,SUBSTITUTE(SUBSTITUTE(SUBSTITUTE(L859,"~","~~"),"*","~*"),"?","~?")))</x:f>
      </x:c>
      <x:c r="J859" s="13" t="str">
        <x:f>IF(OR(NOT(ISNUMBER(E859)),NOT(ISNUMBER(I859))),"",ROUND(E859-I859,2))</x:f>
      </x:c>
      <x:c r="K859" s="2" t="str">
        <x:f>IF(COUNTA(A859:F859)=0,"",IF(OR(A859="",B859="",C859="",D859="",NOT(ISNUMBER(E859))),"Missing / invalid input",IF(G859&gt;1,"Duplicate key in this source",IF(H859=0,"Missing in other source",IF(H859&gt;1,"Duplicate in other source",IF(SUMIFS('App Data'!$M$2:$M$1001,'App Data'!$L$2:$L$1001,SUBSTITUTE(SUBSTITUTE(SUBSTITUTE(L859,"~","~~"),"*","~*"),"?","~?"))&lt;&gt;1,"Other amount is invalid",IF(J859&lt;&gt;0,"Amount differs","Matched")))))))</x:f>
      </x:c>
      <x:c r="L859" t="str">
        <x:f>IF(COUNTA(A859:F859)=0,"",LEN(A859)&amp;":"&amp;A859&amp;LEN(B859)&amp;":"&amp;B859&amp;LEN(C859)&amp;":"&amp;C859&amp;LEN(D859)&amp;":"&amp;D859)</x:f>
      </x:c>
      <x:c r="M859" t="str">
        <x:f>IF(COUNTA(A859:F859)=0,"",IF(ISNUMBER(E859),1,0))</x:f>
      </x:c>
    </x:row>
    <x:row r="860">
      <x:c r="A860" s="11"/>
      <x:c r="B860" s="11"/>
      <x:c r="C860" s="11"/>
      <x:c r="D860" s="11"/>
      <x:c r="E860" s="12"/>
      <x:c r="F860" s="10"/>
      <x:c r="G860" s="2" t="str">
        <x:f>IF(COUNTA(A860:F860)=0,"",COUNTIFS('External Data'!$L$2:$L$1001,SUBSTITUTE(SUBSTITUTE(SUBSTITUTE(L860,"~","~~"),"*","~*"),"?","~?")))</x:f>
      </x:c>
      <x:c r="H860" s="2" t="str">
        <x:f>IF(COUNTA(A860:F860)=0,"",COUNTIFS('App Data'!$L$2:$L$1001,SUBSTITUTE(SUBSTITUTE(SUBSTITUTE(L860,"~","~~"),"*","~*"),"?","~?")))</x:f>
      </x:c>
      <x:c r="I860" s="13" t="str">
        <x:f>IF(OR(H860&lt;&gt;1,G860&lt;&gt;1),"",SUMIFS('App Data'!$E$2:$E$1001,'App Data'!$L$2:$L$1001,SUBSTITUTE(SUBSTITUTE(SUBSTITUTE(L860,"~","~~"),"*","~*"),"?","~?")))</x:f>
      </x:c>
      <x:c r="J860" s="13" t="str">
        <x:f>IF(OR(NOT(ISNUMBER(E860)),NOT(ISNUMBER(I860))),"",ROUND(E860-I860,2))</x:f>
      </x:c>
      <x:c r="K860" s="2" t="str">
        <x:f>IF(COUNTA(A860:F860)=0,"",IF(OR(A860="",B860="",C860="",D860="",NOT(ISNUMBER(E860))),"Missing / invalid input",IF(G860&gt;1,"Duplicate key in this source",IF(H860=0,"Missing in other source",IF(H860&gt;1,"Duplicate in other source",IF(SUMIFS('App Data'!$M$2:$M$1001,'App Data'!$L$2:$L$1001,SUBSTITUTE(SUBSTITUTE(SUBSTITUTE(L860,"~","~~"),"*","~*"),"?","~?"))&lt;&gt;1,"Other amount is invalid",IF(J860&lt;&gt;0,"Amount differs","Matched")))))))</x:f>
      </x:c>
      <x:c r="L860" t="str">
        <x:f>IF(COUNTA(A860:F860)=0,"",LEN(A860)&amp;":"&amp;A860&amp;LEN(B860)&amp;":"&amp;B860&amp;LEN(C860)&amp;":"&amp;C860&amp;LEN(D860)&amp;":"&amp;D860)</x:f>
      </x:c>
      <x:c r="M860" t="str">
        <x:f>IF(COUNTA(A860:F860)=0,"",IF(ISNUMBER(E860),1,0))</x:f>
      </x:c>
    </x:row>
    <x:row r="861">
      <x:c r="A861" s="11"/>
      <x:c r="B861" s="11"/>
      <x:c r="C861" s="11"/>
      <x:c r="D861" s="11"/>
      <x:c r="E861" s="12"/>
      <x:c r="F861" s="10"/>
      <x:c r="G861" s="2" t="str">
        <x:f>IF(COUNTA(A861:F861)=0,"",COUNTIFS('External Data'!$L$2:$L$1001,SUBSTITUTE(SUBSTITUTE(SUBSTITUTE(L861,"~","~~"),"*","~*"),"?","~?")))</x:f>
      </x:c>
      <x:c r="H861" s="2" t="str">
        <x:f>IF(COUNTA(A861:F861)=0,"",COUNTIFS('App Data'!$L$2:$L$1001,SUBSTITUTE(SUBSTITUTE(SUBSTITUTE(L861,"~","~~"),"*","~*"),"?","~?")))</x:f>
      </x:c>
      <x:c r="I861" s="13" t="str">
        <x:f>IF(OR(H861&lt;&gt;1,G861&lt;&gt;1),"",SUMIFS('App Data'!$E$2:$E$1001,'App Data'!$L$2:$L$1001,SUBSTITUTE(SUBSTITUTE(SUBSTITUTE(L861,"~","~~"),"*","~*"),"?","~?")))</x:f>
      </x:c>
      <x:c r="J861" s="13" t="str">
        <x:f>IF(OR(NOT(ISNUMBER(E861)),NOT(ISNUMBER(I861))),"",ROUND(E861-I861,2))</x:f>
      </x:c>
      <x:c r="K861" s="2" t="str">
        <x:f>IF(COUNTA(A861:F861)=0,"",IF(OR(A861="",B861="",C861="",D861="",NOT(ISNUMBER(E861))),"Missing / invalid input",IF(G861&gt;1,"Duplicate key in this source",IF(H861=0,"Missing in other source",IF(H861&gt;1,"Duplicate in other source",IF(SUMIFS('App Data'!$M$2:$M$1001,'App Data'!$L$2:$L$1001,SUBSTITUTE(SUBSTITUTE(SUBSTITUTE(L861,"~","~~"),"*","~*"),"?","~?"))&lt;&gt;1,"Other amount is invalid",IF(J861&lt;&gt;0,"Amount differs","Matched")))))))</x:f>
      </x:c>
      <x:c r="L861" t="str">
        <x:f>IF(COUNTA(A861:F861)=0,"",LEN(A861)&amp;":"&amp;A861&amp;LEN(B861)&amp;":"&amp;B861&amp;LEN(C861)&amp;":"&amp;C861&amp;LEN(D861)&amp;":"&amp;D861)</x:f>
      </x:c>
      <x:c r="M861" t="str">
        <x:f>IF(COUNTA(A861:F861)=0,"",IF(ISNUMBER(E861),1,0))</x:f>
      </x:c>
    </x:row>
    <x:row r="862">
      <x:c r="A862" s="11"/>
      <x:c r="B862" s="11"/>
      <x:c r="C862" s="11"/>
      <x:c r="D862" s="11"/>
      <x:c r="E862" s="12"/>
      <x:c r="F862" s="10"/>
      <x:c r="G862" s="2" t="str">
        <x:f>IF(COUNTA(A862:F862)=0,"",COUNTIFS('External Data'!$L$2:$L$1001,SUBSTITUTE(SUBSTITUTE(SUBSTITUTE(L862,"~","~~"),"*","~*"),"?","~?")))</x:f>
      </x:c>
      <x:c r="H862" s="2" t="str">
        <x:f>IF(COUNTA(A862:F862)=0,"",COUNTIFS('App Data'!$L$2:$L$1001,SUBSTITUTE(SUBSTITUTE(SUBSTITUTE(L862,"~","~~"),"*","~*"),"?","~?")))</x:f>
      </x:c>
      <x:c r="I862" s="13" t="str">
        <x:f>IF(OR(H862&lt;&gt;1,G862&lt;&gt;1),"",SUMIFS('App Data'!$E$2:$E$1001,'App Data'!$L$2:$L$1001,SUBSTITUTE(SUBSTITUTE(SUBSTITUTE(L862,"~","~~"),"*","~*"),"?","~?")))</x:f>
      </x:c>
      <x:c r="J862" s="13" t="str">
        <x:f>IF(OR(NOT(ISNUMBER(E862)),NOT(ISNUMBER(I862))),"",ROUND(E862-I862,2))</x:f>
      </x:c>
      <x:c r="K862" s="2" t="str">
        <x:f>IF(COUNTA(A862:F862)=0,"",IF(OR(A862="",B862="",C862="",D862="",NOT(ISNUMBER(E862))),"Missing / invalid input",IF(G862&gt;1,"Duplicate key in this source",IF(H862=0,"Missing in other source",IF(H862&gt;1,"Duplicate in other source",IF(SUMIFS('App Data'!$M$2:$M$1001,'App Data'!$L$2:$L$1001,SUBSTITUTE(SUBSTITUTE(SUBSTITUTE(L862,"~","~~"),"*","~*"),"?","~?"))&lt;&gt;1,"Other amount is invalid",IF(J862&lt;&gt;0,"Amount differs","Matched")))))))</x:f>
      </x:c>
      <x:c r="L862" t="str">
        <x:f>IF(COUNTA(A862:F862)=0,"",LEN(A862)&amp;":"&amp;A862&amp;LEN(B862)&amp;":"&amp;B862&amp;LEN(C862)&amp;":"&amp;C862&amp;LEN(D862)&amp;":"&amp;D862)</x:f>
      </x:c>
      <x:c r="M862" t="str">
        <x:f>IF(COUNTA(A862:F862)=0,"",IF(ISNUMBER(E862),1,0))</x:f>
      </x:c>
    </x:row>
    <x:row r="863">
      <x:c r="A863" s="11"/>
      <x:c r="B863" s="11"/>
      <x:c r="C863" s="11"/>
      <x:c r="D863" s="11"/>
      <x:c r="E863" s="12"/>
      <x:c r="F863" s="10"/>
      <x:c r="G863" s="2" t="str">
        <x:f>IF(COUNTA(A863:F863)=0,"",COUNTIFS('External Data'!$L$2:$L$1001,SUBSTITUTE(SUBSTITUTE(SUBSTITUTE(L863,"~","~~"),"*","~*"),"?","~?")))</x:f>
      </x:c>
      <x:c r="H863" s="2" t="str">
        <x:f>IF(COUNTA(A863:F863)=0,"",COUNTIFS('App Data'!$L$2:$L$1001,SUBSTITUTE(SUBSTITUTE(SUBSTITUTE(L863,"~","~~"),"*","~*"),"?","~?")))</x:f>
      </x:c>
      <x:c r="I863" s="13" t="str">
        <x:f>IF(OR(H863&lt;&gt;1,G863&lt;&gt;1),"",SUMIFS('App Data'!$E$2:$E$1001,'App Data'!$L$2:$L$1001,SUBSTITUTE(SUBSTITUTE(SUBSTITUTE(L863,"~","~~"),"*","~*"),"?","~?")))</x:f>
      </x:c>
      <x:c r="J863" s="13" t="str">
        <x:f>IF(OR(NOT(ISNUMBER(E863)),NOT(ISNUMBER(I863))),"",ROUND(E863-I863,2))</x:f>
      </x:c>
      <x:c r="K863" s="2" t="str">
        <x:f>IF(COUNTA(A863:F863)=0,"",IF(OR(A863="",B863="",C863="",D863="",NOT(ISNUMBER(E863))),"Missing / invalid input",IF(G863&gt;1,"Duplicate key in this source",IF(H863=0,"Missing in other source",IF(H863&gt;1,"Duplicate in other source",IF(SUMIFS('App Data'!$M$2:$M$1001,'App Data'!$L$2:$L$1001,SUBSTITUTE(SUBSTITUTE(SUBSTITUTE(L863,"~","~~"),"*","~*"),"?","~?"))&lt;&gt;1,"Other amount is invalid",IF(J863&lt;&gt;0,"Amount differs","Matched")))))))</x:f>
      </x:c>
      <x:c r="L863" t="str">
        <x:f>IF(COUNTA(A863:F863)=0,"",LEN(A863)&amp;":"&amp;A863&amp;LEN(B863)&amp;":"&amp;B863&amp;LEN(C863)&amp;":"&amp;C863&amp;LEN(D863)&amp;":"&amp;D863)</x:f>
      </x:c>
      <x:c r="M863" t="str">
        <x:f>IF(COUNTA(A863:F863)=0,"",IF(ISNUMBER(E863),1,0))</x:f>
      </x:c>
    </x:row>
    <x:row r="864">
      <x:c r="A864" s="11"/>
      <x:c r="B864" s="11"/>
      <x:c r="C864" s="11"/>
      <x:c r="D864" s="11"/>
      <x:c r="E864" s="12"/>
      <x:c r="F864" s="10"/>
      <x:c r="G864" s="2" t="str">
        <x:f>IF(COUNTA(A864:F864)=0,"",COUNTIFS('External Data'!$L$2:$L$1001,SUBSTITUTE(SUBSTITUTE(SUBSTITUTE(L864,"~","~~"),"*","~*"),"?","~?")))</x:f>
      </x:c>
      <x:c r="H864" s="2" t="str">
        <x:f>IF(COUNTA(A864:F864)=0,"",COUNTIFS('App Data'!$L$2:$L$1001,SUBSTITUTE(SUBSTITUTE(SUBSTITUTE(L864,"~","~~"),"*","~*"),"?","~?")))</x:f>
      </x:c>
      <x:c r="I864" s="13" t="str">
        <x:f>IF(OR(H864&lt;&gt;1,G864&lt;&gt;1),"",SUMIFS('App Data'!$E$2:$E$1001,'App Data'!$L$2:$L$1001,SUBSTITUTE(SUBSTITUTE(SUBSTITUTE(L864,"~","~~"),"*","~*"),"?","~?")))</x:f>
      </x:c>
      <x:c r="J864" s="13" t="str">
        <x:f>IF(OR(NOT(ISNUMBER(E864)),NOT(ISNUMBER(I864))),"",ROUND(E864-I864,2))</x:f>
      </x:c>
      <x:c r="K864" s="2" t="str">
        <x:f>IF(COUNTA(A864:F864)=0,"",IF(OR(A864="",B864="",C864="",D864="",NOT(ISNUMBER(E864))),"Missing / invalid input",IF(G864&gt;1,"Duplicate key in this source",IF(H864=0,"Missing in other source",IF(H864&gt;1,"Duplicate in other source",IF(SUMIFS('App Data'!$M$2:$M$1001,'App Data'!$L$2:$L$1001,SUBSTITUTE(SUBSTITUTE(SUBSTITUTE(L864,"~","~~"),"*","~*"),"?","~?"))&lt;&gt;1,"Other amount is invalid",IF(J864&lt;&gt;0,"Amount differs","Matched")))))))</x:f>
      </x:c>
      <x:c r="L864" t="str">
        <x:f>IF(COUNTA(A864:F864)=0,"",LEN(A864)&amp;":"&amp;A864&amp;LEN(B864)&amp;":"&amp;B864&amp;LEN(C864)&amp;":"&amp;C864&amp;LEN(D864)&amp;":"&amp;D864)</x:f>
      </x:c>
      <x:c r="M864" t="str">
        <x:f>IF(COUNTA(A864:F864)=0,"",IF(ISNUMBER(E864),1,0))</x:f>
      </x:c>
    </x:row>
    <x:row r="865">
      <x:c r="A865" s="11"/>
      <x:c r="B865" s="11"/>
      <x:c r="C865" s="11"/>
      <x:c r="D865" s="11"/>
      <x:c r="E865" s="12"/>
      <x:c r="F865" s="10"/>
      <x:c r="G865" s="2" t="str">
        <x:f>IF(COUNTA(A865:F865)=0,"",COUNTIFS('External Data'!$L$2:$L$1001,SUBSTITUTE(SUBSTITUTE(SUBSTITUTE(L865,"~","~~"),"*","~*"),"?","~?")))</x:f>
      </x:c>
      <x:c r="H865" s="2" t="str">
        <x:f>IF(COUNTA(A865:F865)=0,"",COUNTIFS('App Data'!$L$2:$L$1001,SUBSTITUTE(SUBSTITUTE(SUBSTITUTE(L865,"~","~~"),"*","~*"),"?","~?")))</x:f>
      </x:c>
      <x:c r="I865" s="13" t="str">
        <x:f>IF(OR(H865&lt;&gt;1,G865&lt;&gt;1),"",SUMIFS('App Data'!$E$2:$E$1001,'App Data'!$L$2:$L$1001,SUBSTITUTE(SUBSTITUTE(SUBSTITUTE(L865,"~","~~"),"*","~*"),"?","~?")))</x:f>
      </x:c>
      <x:c r="J865" s="13" t="str">
        <x:f>IF(OR(NOT(ISNUMBER(E865)),NOT(ISNUMBER(I865))),"",ROUND(E865-I865,2))</x:f>
      </x:c>
      <x:c r="K865" s="2" t="str">
        <x:f>IF(COUNTA(A865:F865)=0,"",IF(OR(A865="",B865="",C865="",D865="",NOT(ISNUMBER(E865))),"Missing / invalid input",IF(G865&gt;1,"Duplicate key in this source",IF(H865=0,"Missing in other source",IF(H865&gt;1,"Duplicate in other source",IF(SUMIFS('App Data'!$M$2:$M$1001,'App Data'!$L$2:$L$1001,SUBSTITUTE(SUBSTITUTE(SUBSTITUTE(L865,"~","~~"),"*","~*"),"?","~?"))&lt;&gt;1,"Other amount is invalid",IF(J865&lt;&gt;0,"Amount differs","Matched")))))))</x:f>
      </x:c>
      <x:c r="L865" t="str">
        <x:f>IF(COUNTA(A865:F865)=0,"",LEN(A865)&amp;":"&amp;A865&amp;LEN(B865)&amp;":"&amp;B865&amp;LEN(C865)&amp;":"&amp;C865&amp;LEN(D865)&amp;":"&amp;D865)</x:f>
      </x:c>
      <x:c r="M865" t="str">
        <x:f>IF(COUNTA(A865:F865)=0,"",IF(ISNUMBER(E865),1,0))</x:f>
      </x:c>
    </x:row>
    <x:row r="866">
      <x:c r="A866" s="11"/>
      <x:c r="B866" s="11"/>
      <x:c r="C866" s="11"/>
      <x:c r="D866" s="11"/>
      <x:c r="E866" s="12"/>
      <x:c r="F866" s="10"/>
      <x:c r="G866" s="2" t="str">
        <x:f>IF(COUNTA(A866:F866)=0,"",COUNTIFS('External Data'!$L$2:$L$1001,SUBSTITUTE(SUBSTITUTE(SUBSTITUTE(L866,"~","~~"),"*","~*"),"?","~?")))</x:f>
      </x:c>
      <x:c r="H866" s="2" t="str">
        <x:f>IF(COUNTA(A866:F866)=0,"",COUNTIFS('App Data'!$L$2:$L$1001,SUBSTITUTE(SUBSTITUTE(SUBSTITUTE(L866,"~","~~"),"*","~*"),"?","~?")))</x:f>
      </x:c>
      <x:c r="I866" s="13" t="str">
        <x:f>IF(OR(H866&lt;&gt;1,G866&lt;&gt;1),"",SUMIFS('App Data'!$E$2:$E$1001,'App Data'!$L$2:$L$1001,SUBSTITUTE(SUBSTITUTE(SUBSTITUTE(L866,"~","~~"),"*","~*"),"?","~?")))</x:f>
      </x:c>
      <x:c r="J866" s="13" t="str">
        <x:f>IF(OR(NOT(ISNUMBER(E866)),NOT(ISNUMBER(I866))),"",ROUND(E866-I866,2))</x:f>
      </x:c>
      <x:c r="K866" s="2" t="str">
        <x:f>IF(COUNTA(A866:F866)=0,"",IF(OR(A866="",B866="",C866="",D866="",NOT(ISNUMBER(E866))),"Missing / invalid input",IF(G866&gt;1,"Duplicate key in this source",IF(H866=0,"Missing in other source",IF(H866&gt;1,"Duplicate in other source",IF(SUMIFS('App Data'!$M$2:$M$1001,'App Data'!$L$2:$L$1001,SUBSTITUTE(SUBSTITUTE(SUBSTITUTE(L866,"~","~~"),"*","~*"),"?","~?"))&lt;&gt;1,"Other amount is invalid",IF(J866&lt;&gt;0,"Amount differs","Matched")))))))</x:f>
      </x:c>
      <x:c r="L866" t="str">
        <x:f>IF(COUNTA(A866:F866)=0,"",LEN(A866)&amp;":"&amp;A866&amp;LEN(B866)&amp;":"&amp;B866&amp;LEN(C866)&amp;":"&amp;C866&amp;LEN(D866)&amp;":"&amp;D866)</x:f>
      </x:c>
      <x:c r="M866" t="str">
        <x:f>IF(COUNTA(A866:F866)=0,"",IF(ISNUMBER(E866),1,0))</x:f>
      </x:c>
    </x:row>
    <x:row r="867">
      <x:c r="A867" s="11"/>
      <x:c r="B867" s="11"/>
      <x:c r="C867" s="11"/>
      <x:c r="D867" s="11"/>
      <x:c r="E867" s="12"/>
      <x:c r="F867" s="10"/>
      <x:c r="G867" s="2" t="str">
        <x:f>IF(COUNTA(A867:F867)=0,"",COUNTIFS('External Data'!$L$2:$L$1001,SUBSTITUTE(SUBSTITUTE(SUBSTITUTE(L867,"~","~~"),"*","~*"),"?","~?")))</x:f>
      </x:c>
      <x:c r="H867" s="2" t="str">
        <x:f>IF(COUNTA(A867:F867)=0,"",COUNTIFS('App Data'!$L$2:$L$1001,SUBSTITUTE(SUBSTITUTE(SUBSTITUTE(L867,"~","~~"),"*","~*"),"?","~?")))</x:f>
      </x:c>
      <x:c r="I867" s="13" t="str">
        <x:f>IF(OR(H867&lt;&gt;1,G867&lt;&gt;1),"",SUMIFS('App Data'!$E$2:$E$1001,'App Data'!$L$2:$L$1001,SUBSTITUTE(SUBSTITUTE(SUBSTITUTE(L867,"~","~~"),"*","~*"),"?","~?")))</x:f>
      </x:c>
      <x:c r="J867" s="13" t="str">
        <x:f>IF(OR(NOT(ISNUMBER(E867)),NOT(ISNUMBER(I867))),"",ROUND(E867-I867,2))</x:f>
      </x:c>
      <x:c r="K867" s="2" t="str">
        <x:f>IF(COUNTA(A867:F867)=0,"",IF(OR(A867="",B867="",C867="",D867="",NOT(ISNUMBER(E867))),"Missing / invalid input",IF(G867&gt;1,"Duplicate key in this source",IF(H867=0,"Missing in other source",IF(H867&gt;1,"Duplicate in other source",IF(SUMIFS('App Data'!$M$2:$M$1001,'App Data'!$L$2:$L$1001,SUBSTITUTE(SUBSTITUTE(SUBSTITUTE(L867,"~","~~"),"*","~*"),"?","~?"))&lt;&gt;1,"Other amount is invalid",IF(J867&lt;&gt;0,"Amount differs","Matched")))))))</x:f>
      </x:c>
      <x:c r="L867" t="str">
        <x:f>IF(COUNTA(A867:F867)=0,"",LEN(A867)&amp;":"&amp;A867&amp;LEN(B867)&amp;":"&amp;B867&amp;LEN(C867)&amp;":"&amp;C867&amp;LEN(D867)&amp;":"&amp;D867)</x:f>
      </x:c>
      <x:c r="M867" t="str">
        <x:f>IF(COUNTA(A867:F867)=0,"",IF(ISNUMBER(E867),1,0))</x:f>
      </x:c>
    </x:row>
    <x:row r="868">
      <x:c r="A868" s="11"/>
      <x:c r="B868" s="11"/>
      <x:c r="C868" s="11"/>
      <x:c r="D868" s="11"/>
      <x:c r="E868" s="12"/>
      <x:c r="F868" s="10"/>
      <x:c r="G868" s="2" t="str">
        <x:f>IF(COUNTA(A868:F868)=0,"",COUNTIFS('External Data'!$L$2:$L$1001,SUBSTITUTE(SUBSTITUTE(SUBSTITUTE(L868,"~","~~"),"*","~*"),"?","~?")))</x:f>
      </x:c>
      <x:c r="H868" s="2" t="str">
        <x:f>IF(COUNTA(A868:F868)=0,"",COUNTIFS('App Data'!$L$2:$L$1001,SUBSTITUTE(SUBSTITUTE(SUBSTITUTE(L868,"~","~~"),"*","~*"),"?","~?")))</x:f>
      </x:c>
      <x:c r="I868" s="13" t="str">
        <x:f>IF(OR(H868&lt;&gt;1,G868&lt;&gt;1),"",SUMIFS('App Data'!$E$2:$E$1001,'App Data'!$L$2:$L$1001,SUBSTITUTE(SUBSTITUTE(SUBSTITUTE(L868,"~","~~"),"*","~*"),"?","~?")))</x:f>
      </x:c>
      <x:c r="J868" s="13" t="str">
        <x:f>IF(OR(NOT(ISNUMBER(E868)),NOT(ISNUMBER(I868))),"",ROUND(E868-I868,2))</x:f>
      </x:c>
      <x:c r="K868" s="2" t="str">
        <x:f>IF(COUNTA(A868:F868)=0,"",IF(OR(A868="",B868="",C868="",D868="",NOT(ISNUMBER(E868))),"Missing / invalid input",IF(G868&gt;1,"Duplicate key in this source",IF(H868=0,"Missing in other source",IF(H868&gt;1,"Duplicate in other source",IF(SUMIFS('App Data'!$M$2:$M$1001,'App Data'!$L$2:$L$1001,SUBSTITUTE(SUBSTITUTE(SUBSTITUTE(L868,"~","~~"),"*","~*"),"?","~?"))&lt;&gt;1,"Other amount is invalid",IF(J868&lt;&gt;0,"Amount differs","Matched")))))))</x:f>
      </x:c>
      <x:c r="L868" t="str">
        <x:f>IF(COUNTA(A868:F868)=0,"",LEN(A868)&amp;":"&amp;A868&amp;LEN(B868)&amp;":"&amp;B868&amp;LEN(C868)&amp;":"&amp;C868&amp;LEN(D868)&amp;":"&amp;D868)</x:f>
      </x:c>
      <x:c r="M868" t="str">
        <x:f>IF(COUNTA(A868:F868)=0,"",IF(ISNUMBER(E868),1,0))</x:f>
      </x:c>
    </x:row>
    <x:row r="869">
      <x:c r="A869" s="11"/>
      <x:c r="B869" s="11"/>
      <x:c r="C869" s="11"/>
      <x:c r="D869" s="11"/>
      <x:c r="E869" s="12"/>
      <x:c r="F869" s="10"/>
      <x:c r="G869" s="2" t="str">
        <x:f>IF(COUNTA(A869:F869)=0,"",COUNTIFS('External Data'!$L$2:$L$1001,SUBSTITUTE(SUBSTITUTE(SUBSTITUTE(L869,"~","~~"),"*","~*"),"?","~?")))</x:f>
      </x:c>
      <x:c r="H869" s="2" t="str">
        <x:f>IF(COUNTA(A869:F869)=0,"",COUNTIFS('App Data'!$L$2:$L$1001,SUBSTITUTE(SUBSTITUTE(SUBSTITUTE(L869,"~","~~"),"*","~*"),"?","~?")))</x:f>
      </x:c>
      <x:c r="I869" s="13" t="str">
        <x:f>IF(OR(H869&lt;&gt;1,G869&lt;&gt;1),"",SUMIFS('App Data'!$E$2:$E$1001,'App Data'!$L$2:$L$1001,SUBSTITUTE(SUBSTITUTE(SUBSTITUTE(L869,"~","~~"),"*","~*"),"?","~?")))</x:f>
      </x:c>
      <x:c r="J869" s="13" t="str">
        <x:f>IF(OR(NOT(ISNUMBER(E869)),NOT(ISNUMBER(I869))),"",ROUND(E869-I869,2))</x:f>
      </x:c>
      <x:c r="K869" s="2" t="str">
        <x:f>IF(COUNTA(A869:F869)=0,"",IF(OR(A869="",B869="",C869="",D869="",NOT(ISNUMBER(E869))),"Missing / invalid input",IF(G869&gt;1,"Duplicate key in this source",IF(H869=0,"Missing in other source",IF(H869&gt;1,"Duplicate in other source",IF(SUMIFS('App Data'!$M$2:$M$1001,'App Data'!$L$2:$L$1001,SUBSTITUTE(SUBSTITUTE(SUBSTITUTE(L869,"~","~~"),"*","~*"),"?","~?"))&lt;&gt;1,"Other amount is invalid",IF(J869&lt;&gt;0,"Amount differs","Matched")))))))</x:f>
      </x:c>
      <x:c r="L869" t="str">
        <x:f>IF(COUNTA(A869:F869)=0,"",LEN(A869)&amp;":"&amp;A869&amp;LEN(B869)&amp;":"&amp;B869&amp;LEN(C869)&amp;":"&amp;C869&amp;LEN(D869)&amp;":"&amp;D869)</x:f>
      </x:c>
      <x:c r="M869" t="str">
        <x:f>IF(COUNTA(A869:F869)=0,"",IF(ISNUMBER(E869),1,0))</x:f>
      </x:c>
    </x:row>
    <x:row r="870">
      <x:c r="A870" s="11"/>
      <x:c r="B870" s="11"/>
      <x:c r="C870" s="11"/>
      <x:c r="D870" s="11"/>
      <x:c r="E870" s="12"/>
      <x:c r="F870" s="10"/>
      <x:c r="G870" s="2" t="str">
        <x:f>IF(COUNTA(A870:F870)=0,"",COUNTIFS('External Data'!$L$2:$L$1001,SUBSTITUTE(SUBSTITUTE(SUBSTITUTE(L870,"~","~~"),"*","~*"),"?","~?")))</x:f>
      </x:c>
      <x:c r="H870" s="2" t="str">
        <x:f>IF(COUNTA(A870:F870)=0,"",COUNTIFS('App Data'!$L$2:$L$1001,SUBSTITUTE(SUBSTITUTE(SUBSTITUTE(L870,"~","~~"),"*","~*"),"?","~?")))</x:f>
      </x:c>
      <x:c r="I870" s="13" t="str">
        <x:f>IF(OR(H870&lt;&gt;1,G870&lt;&gt;1),"",SUMIFS('App Data'!$E$2:$E$1001,'App Data'!$L$2:$L$1001,SUBSTITUTE(SUBSTITUTE(SUBSTITUTE(L870,"~","~~"),"*","~*"),"?","~?")))</x:f>
      </x:c>
      <x:c r="J870" s="13" t="str">
        <x:f>IF(OR(NOT(ISNUMBER(E870)),NOT(ISNUMBER(I870))),"",ROUND(E870-I870,2))</x:f>
      </x:c>
      <x:c r="K870" s="2" t="str">
        <x:f>IF(COUNTA(A870:F870)=0,"",IF(OR(A870="",B870="",C870="",D870="",NOT(ISNUMBER(E870))),"Missing / invalid input",IF(G870&gt;1,"Duplicate key in this source",IF(H870=0,"Missing in other source",IF(H870&gt;1,"Duplicate in other source",IF(SUMIFS('App Data'!$M$2:$M$1001,'App Data'!$L$2:$L$1001,SUBSTITUTE(SUBSTITUTE(SUBSTITUTE(L870,"~","~~"),"*","~*"),"?","~?"))&lt;&gt;1,"Other amount is invalid",IF(J870&lt;&gt;0,"Amount differs","Matched")))))))</x:f>
      </x:c>
      <x:c r="L870" t="str">
        <x:f>IF(COUNTA(A870:F870)=0,"",LEN(A870)&amp;":"&amp;A870&amp;LEN(B870)&amp;":"&amp;B870&amp;LEN(C870)&amp;":"&amp;C870&amp;LEN(D870)&amp;":"&amp;D870)</x:f>
      </x:c>
      <x:c r="M870" t="str">
        <x:f>IF(COUNTA(A870:F870)=0,"",IF(ISNUMBER(E870),1,0))</x:f>
      </x:c>
    </x:row>
    <x:row r="871">
      <x:c r="A871" s="11"/>
      <x:c r="B871" s="11"/>
      <x:c r="C871" s="11"/>
      <x:c r="D871" s="11"/>
      <x:c r="E871" s="12"/>
      <x:c r="F871" s="10"/>
      <x:c r="G871" s="2" t="str">
        <x:f>IF(COUNTA(A871:F871)=0,"",COUNTIFS('External Data'!$L$2:$L$1001,SUBSTITUTE(SUBSTITUTE(SUBSTITUTE(L871,"~","~~"),"*","~*"),"?","~?")))</x:f>
      </x:c>
      <x:c r="H871" s="2" t="str">
        <x:f>IF(COUNTA(A871:F871)=0,"",COUNTIFS('App Data'!$L$2:$L$1001,SUBSTITUTE(SUBSTITUTE(SUBSTITUTE(L871,"~","~~"),"*","~*"),"?","~?")))</x:f>
      </x:c>
      <x:c r="I871" s="13" t="str">
        <x:f>IF(OR(H871&lt;&gt;1,G871&lt;&gt;1),"",SUMIFS('App Data'!$E$2:$E$1001,'App Data'!$L$2:$L$1001,SUBSTITUTE(SUBSTITUTE(SUBSTITUTE(L871,"~","~~"),"*","~*"),"?","~?")))</x:f>
      </x:c>
      <x:c r="J871" s="13" t="str">
        <x:f>IF(OR(NOT(ISNUMBER(E871)),NOT(ISNUMBER(I871))),"",ROUND(E871-I871,2))</x:f>
      </x:c>
      <x:c r="K871" s="2" t="str">
        <x:f>IF(COUNTA(A871:F871)=0,"",IF(OR(A871="",B871="",C871="",D871="",NOT(ISNUMBER(E871))),"Missing / invalid input",IF(G871&gt;1,"Duplicate key in this source",IF(H871=0,"Missing in other source",IF(H871&gt;1,"Duplicate in other source",IF(SUMIFS('App Data'!$M$2:$M$1001,'App Data'!$L$2:$L$1001,SUBSTITUTE(SUBSTITUTE(SUBSTITUTE(L871,"~","~~"),"*","~*"),"?","~?"))&lt;&gt;1,"Other amount is invalid",IF(J871&lt;&gt;0,"Amount differs","Matched")))))))</x:f>
      </x:c>
      <x:c r="L871" t="str">
        <x:f>IF(COUNTA(A871:F871)=0,"",LEN(A871)&amp;":"&amp;A871&amp;LEN(B871)&amp;":"&amp;B871&amp;LEN(C871)&amp;":"&amp;C871&amp;LEN(D871)&amp;":"&amp;D871)</x:f>
      </x:c>
      <x:c r="M871" t="str">
        <x:f>IF(COUNTA(A871:F871)=0,"",IF(ISNUMBER(E871),1,0))</x:f>
      </x:c>
    </x:row>
    <x:row r="872">
      <x:c r="A872" s="11"/>
      <x:c r="B872" s="11"/>
      <x:c r="C872" s="11"/>
      <x:c r="D872" s="11"/>
      <x:c r="E872" s="12"/>
      <x:c r="F872" s="10"/>
      <x:c r="G872" s="2" t="str">
        <x:f>IF(COUNTA(A872:F872)=0,"",COUNTIFS('External Data'!$L$2:$L$1001,SUBSTITUTE(SUBSTITUTE(SUBSTITUTE(L872,"~","~~"),"*","~*"),"?","~?")))</x:f>
      </x:c>
      <x:c r="H872" s="2" t="str">
        <x:f>IF(COUNTA(A872:F872)=0,"",COUNTIFS('App Data'!$L$2:$L$1001,SUBSTITUTE(SUBSTITUTE(SUBSTITUTE(L872,"~","~~"),"*","~*"),"?","~?")))</x:f>
      </x:c>
      <x:c r="I872" s="13" t="str">
        <x:f>IF(OR(H872&lt;&gt;1,G872&lt;&gt;1),"",SUMIFS('App Data'!$E$2:$E$1001,'App Data'!$L$2:$L$1001,SUBSTITUTE(SUBSTITUTE(SUBSTITUTE(L872,"~","~~"),"*","~*"),"?","~?")))</x:f>
      </x:c>
      <x:c r="J872" s="13" t="str">
        <x:f>IF(OR(NOT(ISNUMBER(E872)),NOT(ISNUMBER(I872))),"",ROUND(E872-I872,2))</x:f>
      </x:c>
      <x:c r="K872" s="2" t="str">
        <x:f>IF(COUNTA(A872:F872)=0,"",IF(OR(A872="",B872="",C872="",D872="",NOT(ISNUMBER(E872))),"Missing / invalid input",IF(G872&gt;1,"Duplicate key in this source",IF(H872=0,"Missing in other source",IF(H872&gt;1,"Duplicate in other source",IF(SUMIFS('App Data'!$M$2:$M$1001,'App Data'!$L$2:$L$1001,SUBSTITUTE(SUBSTITUTE(SUBSTITUTE(L872,"~","~~"),"*","~*"),"?","~?"))&lt;&gt;1,"Other amount is invalid",IF(J872&lt;&gt;0,"Amount differs","Matched")))))))</x:f>
      </x:c>
      <x:c r="L872" t="str">
        <x:f>IF(COUNTA(A872:F872)=0,"",LEN(A872)&amp;":"&amp;A872&amp;LEN(B872)&amp;":"&amp;B872&amp;LEN(C872)&amp;":"&amp;C872&amp;LEN(D872)&amp;":"&amp;D872)</x:f>
      </x:c>
      <x:c r="M872" t="str">
        <x:f>IF(COUNTA(A872:F872)=0,"",IF(ISNUMBER(E872),1,0))</x:f>
      </x:c>
    </x:row>
    <x:row r="873">
      <x:c r="A873" s="11"/>
      <x:c r="B873" s="11"/>
      <x:c r="C873" s="11"/>
      <x:c r="D873" s="11"/>
      <x:c r="E873" s="12"/>
      <x:c r="F873" s="10"/>
      <x:c r="G873" s="2" t="str">
        <x:f>IF(COUNTA(A873:F873)=0,"",COUNTIFS('External Data'!$L$2:$L$1001,SUBSTITUTE(SUBSTITUTE(SUBSTITUTE(L873,"~","~~"),"*","~*"),"?","~?")))</x:f>
      </x:c>
      <x:c r="H873" s="2" t="str">
        <x:f>IF(COUNTA(A873:F873)=0,"",COUNTIFS('App Data'!$L$2:$L$1001,SUBSTITUTE(SUBSTITUTE(SUBSTITUTE(L873,"~","~~"),"*","~*"),"?","~?")))</x:f>
      </x:c>
      <x:c r="I873" s="13" t="str">
        <x:f>IF(OR(H873&lt;&gt;1,G873&lt;&gt;1),"",SUMIFS('App Data'!$E$2:$E$1001,'App Data'!$L$2:$L$1001,SUBSTITUTE(SUBSTITUTE(SUBSTITUTE(L873,"~","~~"),"*","~*"),"?","~?")))</x:f>
      </x:c>
      <x:c r="J873" s="13" t="str">
        <x:f>IF(OR(NOT(ISNUMBER(E873)),NOT(ISNUMBER(I873))),"",ROUND(E873-I873,2))</x:f>
      </x:c>
      <x:c r="K873" s="2" t="str">
        <x:f>IF(COUNTA(A873:F873)=0,"",IF(OR(A873="",B873="",C873="",D873="",NOT(ISNUMBER(E873))),"Missing / invalid input",IF(G873&gt;1,"Duplicate key in this source",IF(H873=0,"Missing in other source",IF(H873&gt;1,"Duplicate in other source",IF(SUMIFS('App Data'!$M$2:$M$1001,'App Data'!$L$2:$L$1001,SUBSTITUTE(SUBSTITUTE(SUBSTITUTE(L873,"~","~~"),"*","~*"),"?","~?"))&lt;&gt;1,"Other amount is invalid",IF(J873&lt;&gt;0,"Amount differs","Matched")))))))</x:f>
      </x:c>
      <x:c r="L873" t="str">
        <x:f>IF(COUNTA(A873:F873)=0,"",LEN(A873)&amp;":"&amp;A873&amp;LEN(B873)&amp;":"&amp;B873&amp;LEN(C873)&amp;":"&amp;C873&amp;LEN(D873)&amp;":"&amp;D873)</x:f>
      </x:c>
      <x:c r="M873" t="str">
        <x:f>IF(COUNTA(A873:F873)=0,"",IF(ISNUMBER(E873),1,0))</x:f>
      </x:c>
    </x:row>
    <x:row r="874">
      <x:c r="A874" s="11"/>
      <x:c r="B874" s="11"/>
      <x:c r="C874" s="11"/>
      <x:c r="D874" s="11"/>
      <x:c r="E874" s="12"/>
      <x:c r="F874" s="10"/>
      <x:c r="G874" s="2" t="str">
        <x:f>IF(COUNTA(A874:F874)=0,"",COUNTIFS('External Data'!$L$2:$L$1001,SUBSTITUTE(SUBSTITUTE(SUBSTITUTE(L874,"~","~~"),"*","~*"),"?","~?")))</x:f>
      </x:c>
      <x:c r="H874" s="2" t="str">
        <x:f>IF(COUNTA(A874:F874)=0,"",COUNTIFS('App Data'!$L$2:$L$1001,SUBSTITUTE(SUBSTITUTE(SUBSTITUTE(L874,"~","~~"),"*","~*"),"?","~?")))</x:f>
      </x:c>
      <x:c r="I874" s="13" t="str">
        <x:f>IF(OR(H874&lt;&gt;1,G874&lt;&gt;1),"",SUMIFS('App Data'!$E$2:$E$1001,'App Data'!$L$2:$L$1001,SUBSTITUTE(SUBSTITUTE(SUBSTITUTE(L874,"~","~~"),"*","~*"),"?","~?")))</x:f>
      </x:c>
      <x:c r="J874" s="13" t="str">
        <x:f>IF(OR(NOT(ISNUMBER(E874)),NOT(ISNUMBER(I874))),"",ROUND(E874-I874,2))</x:f>
      </x:c>
      <x:c r="K874" s="2" t="str">
        <x:f>IF(COUNTA(A874:F874)=0,"",IF(OR(A874="",B874="",C874="",D874="",NOT(ISNUMBER(E874))),"Missing / invalid input",IF(G874&gt;1,"Duplicate key in this source",IF(H874=0,"Missing in other source",IF(H874&gt;1,"Duplicate in other source",IF(SUMIFS('App Data'!$M$2:$M$1001,'App Data'!$L$2:$L$1001,SUBSTITUTE(SUBSTITUTE(SUBSTITUTE(L874,"~","~~"),"*","~*"),"?","~?"))&lt;&gt;1,"Other amount is invalid",IF(J874&lt;&gt;0,"Amount differs","Matched")))))))</x:f>
      </x:c>
      <x:c r="L874" t="str">
        <x:f>IF(COUNTA(A874:F874)=0,"",LEN(A874)&amp;":"&amp;A874&amp;LEN(B874)&amp;":"&amp;B874&amp;LEN(C874)&amp;":"&amp;C874&amp;LEN(D874)&amp;":"&amp;D874)</x:f>
      </x:c>
      <x:c r="M874" t="str">
        <x:f>IF(COUNTA(A874:F874)=0,"",IF(ISNUMBER(E874),1,0))</x:f>
      </x:c>
    </x:row>
    <x:row r="875">
      <x:c r="A875" s="11"/>
      <x:c r="B875" s="11"/>
      <x:c r="C875" s="11"/>
      <x:c r="D875" s="11"/>
      <x:c r="E875" s="12"/>
      <x:c r="F875" s="10"/>
      <x:c r="G875" s="2" t="str">
        <x:f>IF(COUNTA(A875:F875)=0,"",COUNTIFS('External Data'!$L$2:$L$1001,SUBSTITUTE(SUBSTITUTE(SUBSTITUTE(L875,"~","~~"),"*","~*"),"?","~?")))</x:f>
      </x:c>
      <x:c r="H875" s="2" t="str">
        <x:f>IF(COUNTA(A875:F875)=0,"",COUNTIFS('App Data'!$L$2:$L$1001,SUBSTITUTE(SUBSTITUTE(SUBSTITUTE(L875,"~","~~"),"*","~*"),"?","~?")))</x:f>
      </x:c>
      <x:c r="I875" s="13" t="str">
        <x:f>IF(OR(H875&lt;&gt;1,G875&lt;&gt;1),"",SUMIFS('App Data'!$E$2:$E$1001,'App Data'!$L$2:$L$1001,SUBSTITUTE(SUBSTITUTE(SUBSTITUTE(L875,"~","~~"),"*","~*"),"?","~?")))</x:f>
      </x:c>
      <x:c r="J875" s="13" t="str">
        <x:f>IF(OR(NOT(ISNUMBER(E875)),NOT(ISNUMBER(I875))),"",ROUND(E875-I875,2))</x:f>
      </x:c>
      <x:c r="K875" s="2" t="str">
        <x:f>IF(COUNTA(A875:F875)=0,"",IF(OR(A875="",B875="",C875="",D875="",NOT(ISNUMBER(E875))),"Missing / invalid input",IF(G875&gt;1,"Duplicate key in this source",IF(H875=0,"Missing in other source",IF(H875&gt;1,"Duplicate in other source",IF(SUMIFS('App Data'!$M$2:$M$1001,'App Data'!$L$2:$L$1001,SUBSTITUTE(SUBSTITUTE(SUBSTITUTE(L875,"~","~~"),"*","~*"),"?","~?"))&lt;&gt;1,"Other amount is invalid",IF(J875&lt;&gt;0,"Amount differs","Matched")))))))</x:f>
      </x:c>
      <x:c r="L875" t="str">
        <x:f>IF(COUNTA(A875:F875)=0,"",LEN(A875)&amp;":"&amp;A875&amp;LEN(B875)&amp;":"&amp;B875&amp;LEN(C875)&amp;":"&amp;C875&amp;LEN(D875)&amp;":"&amp;D875)</x:f>
      </x:c>
      <x:c r="M875" t="str">
        <x:f>IF(COUNTA(A875:F875)=0,"",IF(ISNUMBER(E875),1,0))</x:f>
      </x:c>
    </x:row>
    <x:row r="876">
      <x:c r="A876" s="11"/>
      <x:c r="B876" s="11"/>
      <x:c r="C876" s="11"/>
      <x:c r="D876" s="11"/>
      <x:c r="E876" s="12"/>
      <x:c r="F876" s="10"/>
      <x:c r="G876" s="2" t="str">
        <x:f>IF(COUNTA(A876:F876)=0,"",COUNTIFS('External Data'!$L$2:$L$1001,SUBSTITUTE(SUBSTITUTE(SUBSTITUTE(L876,"~","~~"),"*","~*"),"?","~?")))</x:f>
      </x:c>
      <x:c r="H876" s="2" t="str">
        <x:f>IF(COUNTA(A876:F876)=0,"",COUNTIFS('App Data'!$L$2:$L$1001,SUBSTITUTE(SUBSTITUTE(SUBSTITUTE(L876,"~","~~"),"*","~*"),"?","~?")))</x:f>
      </x:c>
      <x:c r="I876" s="13" t="str">
        <x:f>IF(OR(H876&lt;&gt;1,G876&lt;&gt;1),"",SUMIFS('App Data'!$E$2:$E$1001,'App Data'!$L$2:$L$1001,SUBSTITUTE(SUBSTITUTE(SUBSTITUTE(L876,"~","~~"),"*","~*"),"?","~?")))</x:f>
      </x:c>
      <x:c r="J876" s="13" t="str">
        <x:f>IF(OR(NOT(ISNUMBER(E876)),NOT(ISNUMBER(I876))),"",ROUND(E876-I876,2))</x:f>
      </x:c>
      <x:c r="K876" s="2" t="str">
        <x:f>IF(COUNTA(A876:F876)=0,"",IF(OR(A876="",B876="",C876="",D876="",NOT(ISNUMBER(E876))),"Missing / invalid input",IF(G876&gt;1,"Duplicate key in this source",IF(H876=0,"Missing in other source",IF(H876&gt;1,"Duplicate in other source",IF(SUMIFS('App Data'!$M$2:$M$1001,'App Data'!$L$2:$L$1001,SUBSTITUTE(SUBSTITUTE(SUBSTITUTE(L876,"~","~~"),"*","~*"),"?","~?"))&lt;&gt;1,"Other amount is invalid",IF(J876&lt;&gt;0,"Amount differs","Matched")))))))</x:f>
      </x:c>
      <x:c r="L876" t="str">
        <x:f>IF(COUNTA(A876:F876)=0,"",LEN(A876)&amp;":"&amp;A876&amp;LEN(B876)&amp;":"&amp;B876&amp;LEN(C876)&amp;":"&amp;C876&amp;LEN(D876)&amp;":"&amp;D876)</x:f>
      </x:c>
      <x:c r="M876" t="str">
        <x:f>IF(COUNTA(A876:F876)=0,"",IF(ISNUMBER(E876),1,0))</x:f>
      </x:c>
    </x:row>
    <x:row r="877">
      <x:c r="A877" s="11"/>
      <x:c r="B877" s="11"/>
      <x:c r="C877" s="11"/>
      <x:c r="D877" s="11"/>
      <x:c r="E877" s="12"/>
      <x:c r="F877" s="10"/>
      <x:c r="G877" s="2" t="str">
        <x:f>IF(COUNTA(A877:F877)=0,"",COUNTIFS('External Data'!$L$2:$L$1001,SUBSTITUTE(SUBSTITUTE(SUBSTITUTE(L877,"~","~~"),"*","~*"),"?","~?")))</x:f>
      </x:c>
      <x:c r="H877" s="2" t="str">
        <x:f>IF(COUNTA(A877:F877)=0,"",COUNTIFS('App Data'!$L$2:$L$1001,SUBSTITUTE(SUBSTITUTE(SUBSTITUTE(L877,"~","~~"),"*","~*"),"?","~?")))</x:f>
      </x:c>
      <x:c r="I877" s="13" t="str">
        <x:f>IF(OR(H877&lt;&gt;1,G877&lt;&gt;1),"",SUMIFS('App Data'!$E$2:$E$1001,'App Data'!$L$2:$L$1001,SUBSTITUTE(SUBSTITUTE(SUBSTITUTE(L877,"~","~~"),"*","~*"),"?","~?")))</x:f>
      </x:c>
      <x:c r="J877" s="13" t="str">
        <x:f>IF(OR(NOT(ISNUMBER(E877)),NOT(ISNUMBER(I877))),"",ROUND(E877-I877,2))</x:f>
      </x:c>
      <x:c r="K877" s="2" t="str">
        <x:f>IF(COUNTA(A877:F877)=0,"",IF(OR(A877="",B877="",C877="",D877="",NOT(ISNUMBER(E877))),"Missing / invalid input",IF(G877&gt;1,"Duplicate key in this source",IF(H877=0,"Missing in other source",IF(H877&gt;1,"Duplicate in other source",IF(SUMIFS('App Data'!$M$2:$M$1001,'App Data'!$L$2:$L$1001,SUBSTITUTE(SUBSTITUTE(SUBSTITUTE(L877,"~","~~"),"*","~*"),"?","~?"))&lt;&gt;1,"Other amount is invalid",IF(J877&lt;&gt;0,"Amount differs","Matched")))))))</x:f>
      </x:c>
      <x:c r="L877" t="str">
        <x:f>IF(COUNTA(A877:F877)=0,"",LEN(A877)&amp;":"&amp;A877&amp;LEN(B877)&amp;":"&amp;B877&amp;LEN(C877)&amp;":"&amp;C877&amp;LEN(D877)&amp;":"&amp;D877)</x:f>
      </x:c>
      <x:c r="M877" t="str">
        <x:f>IF(COUNTA(A877:F877)=0,"",IF(ISNUMBER(E877),1,0))</x:f>
      </x:c>
    </x:row>
    <x:row r="878">
      <x:c r="A878" s="11"/>
      <x:c r="B878" s="11"/>
      <x:c r="C878" s="11"/>
      <x:c r="D878" s="11"/>
      <x:c r="E878" s="12"/>
      <x:c r="F878" s="10"/>
      <x:c r="G878" s="2" t="str">
        <x:f>IF(COUNTA(A878:F878)=0,"",COUNTIFS('External Data'!$L$2:$L$1001,SUBSTITUTE(SUBSTITUTE(SUBSTITUTE(L878,"~","~~"),"*","~*"),"?","~?")))</x:f>
      </x:c>
      <x:c r="H878" s="2" t="str">
        <x:f>IF(COUNTA(A878:F878)=0,"",COUNTIFS('App Data'!$L$2:$L$1001,SUBSTITUTE(SUBSTITUTE(SUBSTITUTE(L878,"~","~~"),"*","~*"),"?","~?")))</x:f>
      </x:c>
      <x:c r="I878" s="13" t="str">
        <x:f>IF(OR(H878&lt;&gt;1,G878&lt;&gt;1),"",SUMIFS('App Data'!$E$2:$E$1001,'App Data'!$L$2:$L$1001,SUBSTITUTE(SUBSTITUTE(SUBSTITUTE(L878,"~","~~"),"*","~*"),"?","~?")))</x:f>
      </x:c>
      <x:c r="J878" s="13" t="str">
        <x:f>IF(OR(NOT(ISNUMBER(E878)),NOT(ISNUMBER(I878))),"",ROUND(E878-I878,2))</x:f>
      </x:c>
      <x:c r="K878" s="2" t="str">
        <x:f>IF(COUNTA(A878:F878)=0,"",IF(OR(A878="",B878="",C878="",D878="",NOT(ISNUMBER(E878))),"Missing / invalid input",IF(G878&gt;1,"Duplicate key in this source",IF(H878=0,"Missing in other source",IF(H878&gt;1,"Duplicate in other source",IF(SUMIFS('App Data'!$M$2:$M$1001,'App Data'!$L$2:$L$1001,SUBSTITUTE(SUBSTITUTE(SUBSTITUTE(L878,"~","~~"),"*","~*"),"?","~?"))&lt;&gt;1,"Other amount is invalid",IF(J878&lt;&gt;0,"Amount differs","Matched")))))))</x:f>
      </x:c>
      <x:c r="L878" t="str">
        <x:f>IF(COUNTA(A878:F878)=0,"",LEN(A878)&amp;":"&amp;A878&amp;LEN(B878)&amp;":"&amp;B878&amp;LEN(C878)&amp;":"&amp;C878&amp;LEN(D878)&amp;":"&amp;D878)</x:f>
      </x:c>
      <x:c r="M878" t="str">
        <x:f>IF(COUNTA(A878:F878)=0,"",IF(ISNUMBER(E878),1,0))</x:f>
      </x:c>
    </x:row>
    <x:row r="879">
      <x:c r="A879" s="11"/>
      <x:c r="B879" s="11"/>
      <x:c r="C879" s="11"/>
      <x:c r="D879" s="11"/>
      <x:c r="E879" s="12"/>
      <x:c r="F879" s="10"/>
      <x:c r="G879" s="2" t="str">
        <x:f>IF(COUNTA(A879:F879)=0,"",COUNTIFS('External Data'!$L$2:$L$1001,SUBSTITUTE(SUBSTITUTE(SUBSTITUTE(L879,"~","~~"),"*","~*"),"?","~?")))</x:f>
      </x:c>
      <x:c r="H879" s="2" t="str">
        <x:f>IF(COUNTA(A879:F879)=0,"",COUNTIFS('App Data'!$L$2:$L$1001,SUBSTITUTE(SUBSTITUTE(SUBSTITUTE(L879,"~","~~"),"*","~*"),"?","~?")))</x:f>
      </x:c>
      <x:c r="I879" s="13" t="str">
        <x:f>IF(OR(H879&lt;&gt;1,G879&lt;&gt;1),"",SUMIFS('App Data'!$E$2:$E$1001,'App Data'!$L$2:$L$1001,SUBSTITUTE(SUBSTITUTE(SUBSTITUTE(L879,"~","~~"),"*","~*"),"?","~?")))</x:f>
      </x:c>
      <x:c r="J879" s="13" t="str">
        <x:f>IF(OR(NOT(ISNUMBER(E879)),NOT(ISNUMBER(I879))),"",ROUND(E879-I879,2))</x:f>
      </x:c>
      <x:c r="K879" s="2" t="str">
        <x:f>IF(COUNTA(A879:F879)=0,"",IF(OR(A879="",B879="",C879="",D879="",NOT(ISNUMBER(E879))),"Missing / invalid input",IF(G879&gt;1,"Duplicate key in this source",IF(H879=0,"Missing in other source",IF(H879&gt;1,"Duplicate in other source",IF(SUMIFS('App Data'!$M$2:$M$1001,'App Data'!$L$2:$L$1001,SUBSTITUTE(SUBSTITUTE(SUBSTITUTE(L879,"~","~~"),"*","~*"),"?","~?"))&lt;&gt;1,"Other amount is invalid",IF(J879&lt;&gt;0,"Amount differs","Matched")))))))</x:f>
      </x:c>
      <x:c r="L879" t="str">
        <x:f>IF(COUNTA(A879:F879)=0,"",LEN(A879)&amp;":"&amp;A879&amp;LEN(B879)&amp;":"&amp;B879&amp;LEN(C879)&amp;":"&amp;C879&amp;LEN(D879)&amp;":"&amp;D879)</x:f>
      </x:c>
      <x:c r="M879" t="str">
        <x:f>IF(COUNTA(A879:F879)=0,"",IF(ISNUMBER(E879),1,0))</x:f>
      </x:c>
    </x:row>
    <x:row r="880">
      <x:c r="A880" s="11"/>
      <x:c r="B880" s="11"/>
      <x:c r="C880" s="11"/>
      <x:c r="D880" s="11"/>
      <x:c r="E880" s="12"/>
      <x:c r="F880" s="10"/>
      <x:c r="G880" s="2" t="str">
        <x:f>IF(COUNTA(A880:F880)=0,"",COUNTIFS('External Data'!$L$2:$L$1001,SUBSTITUTE(SUBSTITUTE(SUBSTITUTE(L880,"~","~~"),"*","~*"),"?","~?")))</x:f>
      </x:c>
      <x:c r="H880" s="2" t="str">
        <x:f>IF(COUNTA(A880:F880)=0,"",COUNTIFS('App Data'!$L$2:$L$1001,SUBSTITUTE(SUBSTITUTE(SUBSTITUTE(L880,"~","~~"),"*","~*"),"?","~?")))</x:f>
      </x:c>
      <x:c r="I880" s="13" t="str">
        <x:f>IF(OR(H880&lt;&gt;1,G880&lt;&gt;1),"",SUMIFS('App Data'!$E$2:$E$1001,'App Data'!$L$2:$L$1001,SUBSTITUTE(SUBSTITUTE(SUBSTITUTE(L880,"~","~~"),"*","~*"),"?","~?")))</x:f>
      </x:c>
      <x:c r="J880" s="13" t="str">
        <x:f>IF(OR(NOT(ISNUMBER(E880)),NOT(ISNUMBER(I880))),"",ROUND(E880-I880,2))</x:f>
      </x:c>
      <x:c r="K880" s="2" t="str">
        <x:f>IF(COUNTA(A880:F880)=0,"",IF(OR(A880="",B880="",C880="",D880="",NOT(ISNUMBER(E880))),"Missing / invalid input",IF(G880&gt;1,"Duplicate key in this source",IF(H880=0,"Missing in other source",IF(H880&gt;1,"Duplicate in other source",IF(SUMIFS('App Data'!$M$2:$M$1001,'App Data'!$L$2:$L$1001,SUBSTITUTE(SUBSTITUTE(SUBSTITUTE(L880,"~","~~"),"*","~*"),"?","~?"))&lt;&gt;1,"Other amount is invalid",IF(J880&lt;&gt;0,"Amount differs","Matched")))))))</x:f>
      </x:c>
      <x:c r="L880" t="str">
        <x:f>IF(COUNTA(A880:F880)=0,"",LEN(A880)&amp;":"&amp;A880&amp;LEN(B880)&amp;":"&amp;B880&amp;LEN(C880)&amp;":"&amp;C880&amp;LEN(D880)&amp;":"&amp;D880)</x:f>
      </x:c>
      <x:c r="M880" t="str">
        <x:f>IF(COUNTA(A880:F880)=0,"",IF(ISNUMBER(E880),1,0))</x:f>
      </x:c>
    </x:row>
    <x:row r="881">
      <x:c r="A881" s="11"/>
      <x:c r="B881" s="11"/>
      <x:c r="C881" s="11"/>
      <x:c r="D881" s="11"/>
      <x:c r="E881" s="12"/>
      <x:c r="F881" s="10"/>
      <x:c r="G881" s="2" t="str">
        <x:f>IF(COUNTA(A881:F881)=0,"",COUNTIFS('External Data'!$L$2:$L$1001,SUBSTITUTE(SUBSTITUTE(SUBSTITUTE(L881,"~","~~"),"*","~*"),"?","~?")))</x:f>
      </x:c>
      <x:c r="H881" s="2" t="str">
        <x:f>IF(COUNTA(A881:F881)=0,"",COUNTIFS('App Data'!$L$2:$L$1001,SUBSTITUTE(SUBSTITUTE(SUBSTITUTE(L881,"~","~~"),"*","~*"),"?","~?")))</x:f>
      </x:c>
      <x:c r="I881" s="13" t="str">
        <x:f>IF(OR(H881&lt;&gt;1,G881&lt;&gt;1),"",SUMIFS('App Data'!$E$2:$E$1001,'App Data'!$L$2:$L$1001,SUBSTITUTE(SUBSTITUTE(SUBSTITUTE(L881,"~","~~"),"*","~*"),"?","~?")))</x:f>
      </x:c>
      <x:c r="J881" s="13" t="str">
        <x:f>IF(OR(NOT(ISNUMBER(E881)),NOT(ISNUMBER(I881))),"",ROUND(E881-I881,2))</x:f>
      </x:c>
      <x:c r="K881" s="2" t="str">
        <x:f>IF(COUNTA(A881:F881)=0,"",IF(OR(A881="",B881="",C881="",D881="",NOT(ISNUMBER(E881))),"Missing / invalid input",IF(G881&gt;1,"Duplicate key in this source",IF(H881=0,"Missing in other source",IF(H881&gt;1,"Duplicate in other source",IF(SUMIFS('App Data'!$M$2:$M$1001,'App Data'!$L$2:$L$1001,SUBSTITUTE(SUBSTITUTE(SUBSTITUTE(L881,"~","~~"),"*","~*"),"?","~?"))&lt;&gt;1,"Other amount is invalid",IF(J881&lt;&gt;0,"Amount differs","Matched")))))))</x:f>
      </x:c>
      <x:c r="L881" t="str">
        <x:f>IF(COUNTA(A881:F881)=0,"",LEN(A881)&amp;":"&amp;A881&amp;LEN(B881)&amp;":"&amp;B881&amp;LEN(C881)&amp;":"&amp;C881&amp;LEN(D881)&amp;":"&amp;D881)</x:f>
      </x:c>
      <x:c r="M881" t="str">
        <x:f>IF(COUNTA(A881:F881)=0,"",IF(ISNUMBER(E881),1,0))</x:f>
      </x:c>
    </x:row>
    <x:row r="882">
      <x:c r="A882" s="11"/>
      <x:c r="B882" s="11"/>
      <x:c r="C882" s="11"/>
      <x:c r="D882" s="11"/>
      <x:c r="E882" s="12"/>
      <x:c r="F882" s="10"/>
      <x:c r="G882" s="2" t="str">
        <x:f>IF(COUNTA(A882:F882)=0,"",COUNTIFS('External Data'!$L$2:$L$1001,SUBSTITUTE(SUBSTITUTE(SUBSTITUTE(L882,"~","~~"),"*","~*"),"?","~?")))</x:f>
      </x:c>
      <x:c r="H882" s="2" t="str">
        <x:f>IF(COUNTA(A882:F882)=0,"",COUNTIFS('App Data'!$L$2:$L$1001,SUBSTITUTE(SUBSTITUTE(SUBSTITUTE(L882,"~","~~"),"*","~*"),"?","~?")))</x:f>
      </x:c>
      <x:c r="I882" s="13" t="str">
        <x:f>IF(OR(H882&lt;&gt;1,G882&lt;&gt;1),"",SUMIFS('App Data'!$E$2:$E$1001,'App Data'!$L$2:$L$1001,SUBSTITUTE(SUBSTITUTE(SUBSTITUTE(L882,"~","~~"),"*","~*"),"?","~?")))</x:f>
      </x:c>
      <x:c r="J882" s="13" t="str">
        <x:f>IF(OR(NOT(ISNUMBER(E882)),NOT(ISNUMBER(I882))),"",ROUND(E882-I882,2))</x:f>
      </x:c>
      <x:c r="K882" s="2" t="str">
        <x:f>IF(COUNTA(A882:F882)=0,"",IF(OR(A882="",B882="",C882="",D882="",NOT(ISNUMBER(E882))),"Missing / invalid input",IF(G882&gt;1,"Duplicate key in this source",IF(H882=0,"Missing in other source",IF(H882&gt;1,"Duplicate in other source",IF(SUMIFS('App Data'!$M$2:$M$1001,'App Data'!$L$2:$L$1001,SUBSTITUTE(SUBSTITUTE(SUBSTITUTE(L882,"~","~~"),"*","~*"),"?","~?"))&lt;&gt;1,"Other amount is invalid",IF(J882&lt;&gt;0,"Amount differs","Matched")))))))</x:f>
      </x:c>
      <x:c r="L882" t="str">
        <x:f>IF(COUNTA(A882:F882)=0,"",LEN(A882)&amp;":"&amp;A882&amp;LEN(B882)&amp;":"&amp;B882&amp;LEN(C882)&amp;":"&amp;C882&amp;LEN(D882)&amp;":"&amp;D882)</x:f>
      </x:c>
      <x:c r="M882" t="str">
        <x:f>IF(COUNTA(A882:F882)=0,"",IF(ISNUMBER(E882),1,0))</x:f>
      </x:c>
    </x:row>
    <x:row r="883">
      <x:c r="A883" s="11"/>
      <x:c r="B883" s="11"/>
      <x:c r="C883" s="11"/>
      <x:c r="D883" s="11"/>
      <x:c r="E883" s="12"/>
      <x:c r="F883" s="10"/>
      <x:c r="G883" s="2" t="str">
        <x:f>IF(COUNTA(A883:F883)=0,"",COUNTIFS('External Data'!$L$2:$L$1001,SUBSTITUTE(SUBSTITUTE(SUBSTITUTE(L883,"~","~~"),"*","~*"),"?","~?")))</x:f>
      </x:c>
      <x:c r="H883" s="2" t="str">
        <x:f>IF(COUNTA(A883:F883)=0,"",COUNTIFS('App Data'!$L$2:$L$1001,SUBSTITUTE(SUBSTITUTE(SUBSTITUTE(L883,"~","~~"),"*","~*"),"?","~?")))</x:f>
      </x:c>
      <x:c r="I883" s="13" t="str">
        <x:f>IF(OR(H883&lt;&gt;1,G883&lt;&gt;1),"",SUMIFS('App Data'!$E$2:$E$1001,'App Data'!$L$2:$L$1001,SUBSTITUTE(SUBSTITUTE(SUBSTITUTE(L883,"~","~~"),"*","~*"),"?","~?")))</x:f>
      </x:c>
      <x:c r="J883" s="13" t="str">
        <x:f>IF(OR(NOT(ISNUMBER(E883)),NOT(ISNUMBER(I883))),"",ROUND(E883-I883,2))</x:f>
      </x:c>
      <x:c r="K883" s="2" t="str">
        <x:f>IF(COUNTA(A883:F883)=0,"",IF(OR(A883="",B883="",C883="",D883="",NOT(ISNUMBER(E883))),"Missing / invalid input",IF(G883&gt;1,"Duplicate key in this source",IF(H883=0,"Missing in other source",IF(H883&gt;1,"Duplicate in other source",IF(SUMIFS('App Data'!$M$2:$M$1001,'App Data'!$L$2:$L$1001,SUBSTITUTE(SUBSTITUTE(SUBSTITUTE(L883,"~","~~"),"*","~*"),"?","~?"))&lt;&gt;1,"Other amount is invalid",IF(J883&lt;&gt;0,"Amount differs","Matched")))))))</x:f>
      </x:c>
      <x:c r="L883" t="str">
        <x:f>IF(COUNTA(A883:F883)=0,"",LEN(A883)&amp;":"&amp;A883&amp;LEN(B883)&amp;":"&amp;B883&amp;LEN(C883)&amp;":"&amp;C883&amp;LEN(D883)&amp;":"&amp;D883)</x:f>
      </x:c>
      <x:c r="M883" t="str">
        <x:f>IF(COUNTA(A883:F883)=0,"",IF(ISNUMBER(E883),1,0))</x:f>
      </x:c>
    </x:row>
    <x:row r="884">
      <x:c r="A884" s="11"/>
      <x:c r="B884" s="11"/>
      <x:c r="C884" s="11"/>
      <x:c r="D884" s="11"/>
      <x:c r="E884" s="12"/>
      <x:c r="F884" s="10"/>
      <x:c r="G884" s="2" t="str">
        <x:f>IF(COUNTA(A884:F884)=0,"",COUNTIFS('External Data'!$L$2:$L$1001,SUBSTITUTE(SUBSTITUTE(SUBSTITUTE(L884,"~","~~"),"*","~*"),"?","~?")))</x:f>
      </x:c>
      <x:c r="H884" s="2" t="str">
        <x:f>IF(COUNTA(A884:F884)=0,"",COUNTIFS('App Data'!$L$2:$L$1001,SUBSTITUTE(SUBSTITUTE(SUBSTITUTE(L884,"~","~~"),"*","~*"),"?","~?")))</x:f>
      </x:c>
      <x:c r="I884" s="13" t="str">
        <x:f>IF(OR(H884&lt;&gt;1,G884&lt;&gt;1),"",SUMIFS('App Data'!$E$2:$E$1001,'App Data'!$L$2:$L$1001,SUBSTITUTE(SUBSTITUTE(SUBSTITUTE(L884,"~","~~"),"*","~*"),"?","~?")))</x:f>
      </x:c>
      <x:c r="J884" s="13" t="str">
        <x:f>IF(OR(NOT(ISNUMBER(E884)),NOT(ISNUMBER(I884))),"",ROUND(E884-I884,2))</x:f>
      </x:c>
      <x:c r="K884" s="2" t="str">
        <x:f>IF(COUNTA(A884:F884)=0,"",IF(OR(A884="",B884="",C884="",D884="",NOT(ISNUMBER(E884))),"Missing / invalid input",IF(G884&gt;1,"Duplicate key in this source",IF(H884=0,"Missing in other source",IF(H884&gt;1,"Duplicate in other source",IF(SUMIFS('App Data'!$M$2:$M$1001,'App Data'!$L$2:$L$1001,SUBSTITUTE(SUBSTITUTE(SUBSTITUTE(L884,"~","~~"),"*","~*"),"?","~?"))&lt;&gt;1,"Other amount is invalid",IF(J884&lt;&gt;0,"Amount differs","Matched")))))))</x:f>
      </x:c>
      <x:c r="L884" t="str">
        <x:f>IF(COUNTA(A884:F884)=0,"",LEN(A884)&amp;":"&amp;A884&amp;LEN(B884)&amp;":"&amp;B884&amp;LEN(C884)&amp;":"&amp;C884&amp;LEN(D884)&amp;":"&amp;D884)</x:f>
      </x:c>
      <x:c r="M884" t="str">
        <x:f>IF(COUNTA(A884:F884)=0,"",IF(ISNUMBER(E884),1,0))</x:f>
      </x:c>
    </x:row>
    <x:row r="885">
      <x:c r="A885" s="11"/>
      <x:c r="B885" s="11"/>
      <x:c r="C885" s="11"/>
      <x:c r="D885" s="11"/>
      <x:c r="E885" s="12"/>
      <x:c r="F885" s="10"/>
      <x:c r="G885" s="2" t="str">
        <x:f>IF(COUNTA(A885:F885)=0,"",COUNTIFS('External Data'!$L$2:$L$1001,SUBSTITUTE(SUBSTITUTE(SUBSTITUTE(L885,"~","~~"),"*","~*"),"?","~?")))</x:f>
      </x:c>
      <x:c r="H885" s="2" t="str">
        <x:f>IF(COUNTA(A885:F885)=0,"",COUNTIFS('App Data'!$L$2:$L$1001,SUBSTITUTE(SUBSTITUTE(SUBSTITUTE(L885,"~","~~"),"*","~*"),"?","~?")))</x:f>
      </x:c>
      <x:c r="I885" s="13" t="str">
        <x:f>IF(OR(H885&lt;&gt;1,G885&lt;&gt;1),"",SUMIFS('App Data'!$E$2:$E$1001,'App Data'!$L$2:$L$1001,SUBSTITUTE(SUBSTITUTE(SUBSTITUTE(L885,"~","~~"),"*","~*"),"?","~?")))</x:f>
      </x:c>
      <x:c r="J885" s="13" t="str">
        <x:f>IF(OR(NOT(ISNUMBER(E885)),NOT(ISNUMBER(I885))),"",ROUND(E885-I885,2))</x:f>
      </x:c>
      <x:c r="K885" s="2" t="str">
        <x:f>IF(COUNTA(A885:F885)=0,"",IF(OR(A885="",B885="",C885="",D885="",NOT(ISNUMBER(E885))),"Missing / invalid input",IF(G885&gt;1,"Duplicate key in this source",IF(H885=0,"Missing in other source",IF(H885&gt;1,"Duplicate in other source",IF(SUMIFS('App Data'!$M$2:$M$1001,'App Data'!$L$2:$L$1001,SUBSTITUTE(SUBSTITUTE(SUBSTITUTE(L885,"~","~~"),"*","~*"),"?","~?"))&lt;&gt;1,"Other amount is invalid",IF(J885&lt;&gt;0,"Amount differs","Matched")))))))</x:f>
      </x:c>
      <x:c r="L885" t="str">
        <x:f>IF(COUNTA(A885:F885)=0,"",LEN(A885)&amp;":"&amp;A885&amp;LEN(B885)&amp;":"&amp;B885&amp;LEN(C885)&amp;":"&amp;C885&amp;LEN(D885)&amp;":"&amp;D885)</x:f>
      </x:c>
      <x:c r="M885" t="str">
        <x:f>IF(COUNTA(A885:F885)=0,"",IF(ISNUMBER(E885),1,0))</x:f>
      </x:c>
    </x:row>
    <x:row r="886">
      <x:c r="A886" s="11"/>
      <x:c r="B886" s="11"/>
      <x:c r="C886" s="11"/>
      <x:c r="D886" s="11"/>
      <x:c r="E886" s="12"/>
      <x:c r="F886" s="10"/>
      <x:c r="G886" s="2" t="str">
        <x:f>IF(COUNTA(A886:F886)=0,"",COUNTIFS('External Data'!$L$2:$L$1001,SUBSTITUTE(SUBSTITUTE(SUBSTITUTE(L886,"~","~~"),"*","~*"),"?","~?")))</x:f>
      </x:c>
      <x:c r="H886" s="2" t="str">
        <x:f>IF(COUNTA(A886:F886)=0,"",COUNTIFS('App Data'!$L$2:$L$1001,SUBSTITUTE(SUBSTITUTE(SUBSTITUTE(L886,"~","~~"),"*","~*"),"?","~?")))</x:f>
      </x:c>
      <x:c r="I886" s="13" t="str">
        <x:f>IF(OR(H886&lt;&gt;1,G886&lt;&gt;1),"",SUMIFS('App Data'!$E$2:$E$1001,'App Data'!$L$2:$L$1001,SUBSTITUTE(SUBSTITUTE(SUBSTITUTE(L886,"~","~~"),"*","~*"),"?","~?")))</x:f>
      </x:c>
      <x:c r="J886" s="13" t="str">
        <x:f>IF(OR(NOT(ISNUMBER(E886)),NOT(ISNUMBER(I886))),"",ROUND(E886-I886,2))</x:f>
      </x:c>
      <x:c r="K886" s="2" t="str">
        <x:f>IF(COUNTA(A886:F886)=0,"",IF(OR(A886="",B886="",C886="",D886="",NOT(ISNUMBER(E886))),"Missing / invalid input",IF(G886&gt;1,"Duplicate key in this source",IF(H886=0,"Missing in other source",IF(H886&gt;1,"Duplicate in other source",IF(SUMIFS('App Data'!$M$2:$M$1001,'App Data'!$L$2:$L$1001,SUBSTITUTE(SUBSTITUTE(SUBSTITUTE(L886,"~","~~"),"*","~*"),"?","~?"))&lt;&gt;1,"Other amount is invalid",IF(J886&lt;&gt;0,"Amount differs","Matched")))))))</x:f>
      </x:c>
      <x:c r="L886" t="str">
        <x:f>IF(COUNTA(A886:F886)=0,"",LEN(A886)&amp;":"&amp;A886&amp;LEN(B886)&amp;":"&amp;B886&amp;LEN(C886)&amp;":"&amp;C886&amp;LEN(D886)&amp;":"&amp;D886)</x:f>
      </x:c>
      <x:c r="M886" t="str">
        <x:f>IF(COUNTA(A886:F886)=0,"",IF(ISNUMBER(E886),1,0))</x:f>
      </x:c>
    </x:row>
    <x:row r="887">
      <x:c r="A887" s="11"/>
      <x:c r="B887" s="11"/>
      <x:c r="C887" s="11"/>
      <x:c r="D887" s="11"/>
      <x:c r="E887" s="12"/>
      <x:c r="F887" s="10"/>
      <x:c r="G887" s="2" t="str">
        <x:f>IF(COUNTA(A887:F887)=0,"",COUNTIFS('External Data'!$L$2:$L$1001,SUBSTITUTE(SUBSTITUTE(SUBSTITUTE(L887,"~","~~"),"*","~*"),"?","~?")))</x:f>
      </x:c>
      <x:c r="H887" s="2" t="str">
        <x:f>IF(COUNTA(A887:F887)=0,"",COUNTIFS('App Data'!$L$2:$L$1001,SUBSTITUTE(SUBSTITUTE(SUBSTITUTE(L887,"~","~~"),"*","~*"),"?","~?")))</x:f>
      </x:c>
      <x:c r="I887" s="13" t="str">
        <x:f>IF(OR(H887&lt;&gt;1,G887&lt;&gt;1),"",SUMIFS('App Data'!$E$2:$E$1001,'App Data'!$L$2:$L$1001,SUBSTITUTE(SUBSTITUTE(SUBSTITUTE(L887,"~","~~"),"*","~*"),"?","~?")))</x:f>
      </x:c>
      <x:c r="J887" s="13" t="str">
        <x:f>IF(OR(NOT(ISNUMBER(E887)),NOT(ISNUMBER(I887))),"",ROUND(E887-I887,2))</x:f>
      </x:c>
      <x:c r="K887" s="2" t="str">
        <x:f>IF(COUNTA(A887:F887)=0,"",IF(OR(A887="",B887="",C887="",D887="",NOT(ISNUMBER(E887))),"Missing / invalid input",IF(G887&gt;1,"Duplicate key in this source",IF(H887=0,"Missing in other source",IF(H887&gt;1,"Duplicate in other source",IF(SUMIFS('App Data'!$M$2:$M$1001,'App Data'!$L$2:$L$1001,SUBSTITUTE(SUBSTITUTE(SUBSTITUTE(L887,"~","~~"),"*","~*"),"?","~?"))&lt;&gt;1,"Other amount is invalid",IF(J887&lt;&gt;0,"Amount differs","Matched")))))))</x:f>
      </x:c>
      <x:c r="L887" t="str">
        <x:f>IF(COUNTA(A887:F887)=0,"",LEN(A887)&amp;":"&amp;A887&amp;LEN(B887)&amp;":"&amp;B887&amp;LEN(C887)&amp;":"&amp;C887&amp;LEN(D887)&amp;":"&amp;D887)</x:f>
      </x:c>
      <x:c r="M887" t="str">
        <x:f>IF(COUNTA(A887:F887)=0,"",IF(ISNUMBER(E887),1,0))</x:f>
      </x:c>
    </x:row>
    <x:row r="888">
      <x:c r="A888" s="11"/>
      <x:c r="B888" s="11"/>
      <x:c r="C888" s="11"/>
      <x:c r="D888" s="11"/>
      <x:c r="E888" s="12"/>
      <x:c r="F888" s="10"/>
      <x:c r="G888" s="2" t="str">
        <x:f>IF(COUNTA(A888:F888)=0,"",COUNTIFS('External Data'!$L$2:$L$1001,SUBSTITUTE(SUBSTITUTE(SUBSTITUTE(L888,"~","~~"),"*","~*"),"?","~?")))</x:f>
      </x:c>
      <x:c r="H888" s="2" t="str">
        <x:f>IF(COUNTA(A888:F888)=0,"",COUNTIFS('App Data'!$L$2:$L$1001,SUBSTITUTE(SUBSTITUTE(SUBSTITUTE(L888,"~","~~"),"*","~*"),"?","~?")))</x:f>
      </x:c>
      <x:c r="I888" s="13" t="str">
        <x:f>IF(OR(H888&lt;&gt;1,G888&lt;&gt;1),"",SUMIFS('App Data'!$E$2:$E$1001,'App Data'!$L$2:$L$1001,SUBSTITUTE(SUBSTITUTE(SUBSTITUTE(L888,"~","~~"),"*","~*"),"?","~?")))</x:f>
      </x:c>
      <x:c r="J888" s="13" t="str">
        <x:f>IF(OR(NOT(ISNUMBER(E888)),NOT(ISNUMBER(I888))),"",ROUND(E888-I888,2))</x:f>
      </x:c>
      <x:c r="K888" s="2" t="str">
        <x:f>IF(COUNTA(A888:F888)=0,"",IF(OR(A888="",B888="",C888="",D888="",NOT(ISNUMBER(E888))),"Missing / invalid input",IF(G888&gt;1,"Duplicate key in this source",IF(H888=0,"Missing in other source",IF(H888&gt;1,"Duplicate in other source",IF(SUMIFS('App Data'!$M$2:$M$1001,'App Data'!$L$2:$L$1001,SUBSTITUTE(SUBSTITUTE(SUBSTITUTE(L888,"~","~~"),"*","~*"),"?","~?"))&lt;&gt;1,"Other amount is invalid",IF(J888&lt;&gt;0,"Amount differs","Matched")))))))</x:f>
      </x:c>
      <x:c r="L888" t="str">
        <x:f>IF(COUNTA(A888:F888)=0,"",LEN(A888)&amp;":"&amp;A888&amp;LEN(B888)&amp;":"&amp;B888&amp;LEN(C888)&amp;":"&amp;C888&amp;LEN(D888)&amp;":"&amp;D888)</x:f>
      </x:c>
      <x:c r="M888" t="str">
        <x:f>IF(COUNTA(A888:F888)=0,"",IF(ISNUMBER(E888),1,0))</x:f>
      </x:c>
    </x:row>
    <x:row r="889">
      <x:c r="A889" s="11"/>
      <x:c r="B889" s="11"/>
      <x:c r="C889" s="11"/>
      <x:c r="D889" s="11"/>
      <x:c r="E889" s="12"/>
      <x:c r="F889" s="10"/>
      <x:c r="G889" s="2" t="str">
        <x:f>IF(COUNTA(A889:F889)=0,"",COUNTIFS('External Data'!$L$2:$L$1001,SUBSTITUTE(SUBSTITUTE(SUBSTITUTE(L889,"~","~~"),"*","~*"),"?","~?")))</x:f>
      </x:c>
      <x:c r="H889" s="2" t="str">
        <x:f>IF(COUNTA(A889:F889)=0,"",COUNTIFS('App Data'!$L$2:$L$1001,SUBSTITUTE(SUBSTITUTE(SUBSTITUTE(L889,"~","~~"),"*","~*"),"?","~?")))</x:f>
      </x:c>
      <x:c r="I889" s="13" t="str">
        <x:f>IF(OR(H889&lt;&gt;1,G889&lt;&gt;1),"",SUMIFS('App Data'!$E$2:$E$1001,'App Data'!$L$2:$L$1001,SUBSTITUTE(SUBSTITUTE(SUBSTITUTE(L889,"~","~~"),"*","~*"),"?","~?")))</x:f>
      </x:c>
      <x:c r="J889" s="13" t="str">
        <x:f>IF(OR(NOT(ISNUMBER(E889)),NOT(ISNUMBER(I889))),"",ROUND(E889-I889,2))</x:f>
      </x:c>
      <x:c r="K889" s="2" t="str">
        <x:f>IF(COUNTA(A889:F889)=0,"",IF(OR(A889="",B889="",C889="",D889="",NOT(ISNUMBER(E889))),"Missing / invalid input",IF(G889&gt;1,"Duplicate key in this source",IF(H889=0,"Missing in other source",IF(H889&gt;1,"Duplicate in other source",IF(SUMIFS('App Data'!$M$2:$M$1001,'App Data'!$L$2:$L$1001,SUBSTITUTE(SUBSTITUTE(SUBSTITUTE(L889,"~","~~"),"*","~*"),"?","~?"))&lt;&gt;1,"Other amount is invalid",IF(J889&lt;&gt;0,"Amount differs","Matched")))))))</x:f>
      </x:c>
      <x:c r="L889" t="str">
        <x:f>IF(COUNTA(A889:F889)=0,"",LEN(A889)&amp;":"&amp;A889&amp;LEN(B889)&amp;":"&amp;B889&amp;LEN(C889)&amp;":"&amp;C889&amp;LEN(D889)&amp;":"&amp;D889)</x:f>
      </x:c>
      <x:c r="M889" t="str">
        <x:f>IF(COUNTA(A889:F889)=0,"",IF(ISNUMBER(E889),1,0))</x:f>
      </x:c>
    </x:row>
    <x:row r="890">
      <x:c r="A890" s="11"/>
      <x:c r="B890" s="11"/>
      <x:c r="C890" s="11"/>
      <x:c r="D890" s="11"/>
      <x:c r="E890" s="12"/>
      <x:c r="F890" s="10"/>
      <x:c r="G890" s="2" t="str">
        <x:f>IF(COUNTA(A890:F890)=0,"",COUNTIFS('External Data'!$L$2:$L$1001,SUBSTITUTE(SUBSTITUTE(SUBSTITUTE(L890,"~","~~"),"*","~*"),"?","~?")))</x:f>
      </x:c>
      <x:c r="H890" s="2" t="str">
        <x:f>IF(COUNTA(A890:F890)=0,"",COUNTIFS('App Data'!$L$2:$L$1001,SUBSTITUTE(SUBSTITUTE(SUBSTITUTE(L890,"~","~~"),"*","~*"),"?","~?")))</x:f>
      </x:c>
      <x:c r="I890" s="13" t="str">
        <x:f>IF(OR(H890&lt;&gt;1,G890&lt;&gt;1),"",SUMIFS('App Data'!$E$2:$E$1001,'App Data'!$L$2:$L$1001,SUBSTITUTE(SUBSTITUTE(SUBSTITUTE(L890,"~","~~"),"*","~*"),"?","~?")))</x:f>
      </x:c>
      <x:c r="J890" s="13" t="str">
        <x:f>IF(OR(NOT(ISNUMBER(E890)),NOT(ISNUMBER(I890))),"",ROUND(E890-I890,2))</x:f>
      </x:c>
      <x:c r="K890" s="2" t="str">
        <x:f>IF(COUNTA(A890:F890)=0,"",IF(OR(A890="",B890="",C890="",D890="",NOT(ISNUMBER(E890))),"Missing / invalid input",IF(G890&gt;1,"Duplicate key in this source",IF(H890=0,"Missing in other source",IF(H890&gt;1,"Duplicate in other source",IF(SUMIFS('App Data'!$M$2:$M$1001,'App Data'!$L$2:$L$1001,SUBSTITUTE(SUBSTITUTE(SUBSTITUTE(L890,"~","~~"),"*","~*"),"?","~?"))&lt;&gt;1,"Other amount is invalid",IF(J890&lt;&gt;0,"Amount differs","Matched")))))))</x:f>
      </x:c>
      <x:c r="L890" t="str">
        <x:f>IF(COUNTA(A890:F890)=0,"",LEN(A890)&amp;":"&amp;A890&amp;LEN(B890)&amp;":"&amp;B890&amp;LEN(C890)&amp;":"&amp;C890&amp;LEN(D890)&amp;":"&amp;D890)</x:f>
      </x:c>
      <x:c r="M890" t="str">
        <x:f>IF(COUNTA(A890:F890)=0,"",IF(ISNUMBER(E890),1,0))</x:f>
      </x:c>
    </x:row>
    <x:row r="891">
      <x:c r="A891" s="11"/>
      <x:c r="B891" s="11"/>
      <x:c r="C891" s="11"/>
      <x:c r="D891" s="11"/>
      <x:c r="E891" s="12"/>
      <x:c r="F891" s="10"/>
      <x:c r="G891" s="2" t="str">
        <x:f>IF(COUNTA(A891:F891)=0,"",COUNTIFS('External Data'!$L$2:$L$1001,SUBSTITUTE(SUBSTITUTE(SUBSTITUTE(L891,"~","~~"),"*","~*"),"?","~?")))</x:f>
      </x:c>
      <x:c r="H891" s="2" t="str">
        <x:f>IF(COUNTA(A891:F891)=0,"",COUNTIFS('App Data'!$L$2:$L$1001,SUBSTITUTE(SUBSTITUTE(SUBSTITUTE(L891,"~","~~"),"*","~*"),"?","~?")))</x:f>
      </x:c>
      <x:c r="I891" s="13" t="str">
        <x:f>IF(OR(H891&lt;&gt;1,G891&lt;&gt;1),"",SUMIFS('App Data'!$E$2:$E$1001,'App Data'!$L$2:$L$1001,SUBSTITUTE(SUBSTITUTE(SUBSTITUTE(L891,"~","~~"),"*","~*"),"?","~?")))</x:f>
      </x:c>
      <x:c r="J891" s="13" t="str">
        <x:f>IF(OR(NOT(ISNUMBER(E891)),NOT(ISNUMBER(I891))),"",ROUND(E891-I891,2))</x:f>
      </x:c>
      <x:c r="K891" s="2" t="str">
        <x:f>IF(COUNTA(A891:F891)=0,"",IF(OR(A891="",B891="",C891="",D891="",NOT(ISNUMBER(E891))),"Missing / invalid input",IF(G891&gt;1,"Duplicate key in this source",IF(H891=0,"Missing in other source",IF(H891&gt;1,"Duplicate in other source",IF(SUMIFS('App Data'!$M$2:$M$1001,'App Data'!$L$2:$L$1001,SUBSTITUTE(SUBSTITUTE(SUBSTITUTE(L891,"~","~~"),"*","~*"),"?","~?"))&lt;&gt;1,"Other amount is invalid",IF(J891&lt;&gt;0,"Amount differs","Matched")))))))</x:f>
      </x:c>
      <x:c r="L891" t="str">
        <x:f>IF(COUNTA(A891:F891)=0,"",LEN(A891)&amp;":"&amp;A891&amp;LEN(B891)&amp;":"&amp;B891&amp;LEN(C891)&amp;":"&amp;C891&amp;LEN(D891)&amp;":"&amp;D891)</x:f>
      </x:c>
      <x:c r="M891" t="str">
        <x:f>IF(COUNTA(A891:F891)=0,"",IF(ISNUMBER(E891),1,0))</x:f>
      </x:c>
    </x:row>
    <x:row r="892">
      <x:c r="A892" s="11"/>
      <x:c r="B892" s="11"/>
      <x:c r="C892" s="11"/>
      <x:c r="D892" s="11"/>
      <x:c r="E892" s="12"/>
      <x:c r="F892" s="10"/>
      <x:c r="G892" s="2" t="str">
        <x:f>IF(COUNTA(A892:F892)=0,"",COUNTIFS('External Data'!$L$2:$L$1001,SUBSTITUTE(SUBSTITUTE(SUBSTITUTE(L892,"~","~~"),"*","~*"),"?","~?")))</x:f>
      </x:c>
      <x:c r="H892" s="2" t="str">
        <x:f>IF(COUNTA(A892:F892)=0,"",COUNTIFS('App Data'!$L$2:$L$1001,SUBSTITUTE(SUBSTITUTE(SUBSTITUTE(L892,"~","~~"),"*","~*"),"?","~?")))</x:f>
      </x:c>
      <x:c r="I892" s="13" t="str">
        <x:f>IF(OR(H892&lt;&gt;1,G892&lt;&gt;1),"",SUMIFS('App Data'!$E$2:$E$1001,'App Data'!$L$2:$L$1001,SUBSTITUTE(SUBSTITUTE(SUBSTITUTE(L892,"~","~~"),"*","~*"),"?","~?")))</x:f>
      </x:c>
      <x:c r="J892" s="13" t="str">
        <x:f>IF(OR(NOT(ISNUMBER(E892)),NOT(ISNUMBER(I892))),"",ROUND(E892-I892,2))</x:f>
      </x:c>
      <x:c r="K892" s="2" t="str">
        <x:f>IF(COUNTA(A892:F892)=0,"",IF(OR(A892="",B892="",C892="",D892="",NOT(ISNUMBER(E892))),"Missing / invalid input",IF(G892&gt;1,"Duplicate key in this source",IF(H892=0,"Missing in other source",IF(H892&gt;1,"Duplicate in other source",IF(SUMIFS('App Data'!$M$2:$M$1001,'App Data'!$L$2:$L$1001,SUBSTITUTE(SUBSTITUTE(SUBSTITUTE(L892,"~","~~"),"*","~*"),"?","~?"))&lt;&gt;1,"Other amount is invalid",IF(J892&lt;&gt;0,"Amount differs","Matched")))))))</x:f>
      </x:c>
      <x:c r="L892" t="str">
        <x:f>IF(COUNTA(A892:F892)=0,"",LEN(A892)&amp;":"&amp;A892&amp;LEN(B892)&amp;":"&amp;B892&amp;LEN(C892)&amp;":"&amp;C892&amp;LEN(D892)&amp;":"&amp;D892)</x:f>
      </x:c>
      <x:c r="M892" t="str">
        <x:f>IF(COUNTA(A892:F892)=0,"",IF(ISNUMBER(E892),1,0))</x:f>
      </x:c>
    </x:row>
    <x:row r="893">
      <x:c r="A893" s="11"/>
      <x:c r="B893" s="11"/>
      <x:c r="C893" s="11"/>
      <x:c r="D893" s="11"/>
      <x:c r="E893" s="12"/>
      <x:c r="F893" s="10"/>
      <x:c r="G893" s="2" t="str">
        <x:f>IF(COUNTA(A893:F893)=0,"",COUNTIFS('External Data'!$L$2:$L$1001,SUBSTITUTE(SUBSTITUTE(SUBSTITUTE(L893,"~","~~"),"*","~*"),"?","~?")))</x:f>
      </x:c>
      <x:c r="H893" s="2" t="str">
        <x:f>IF(COUNTA(A893:F893)=0,"",COUNTIFS('App Data'!$L$2:$L$1001,SUBSTITUTE(SUBSTITUTE(SUBSTITUTE(L893,"~","~~"),"*","~*"),"?","~?")))</x:f>
      </x:c>
      <x:c r="I893" s="13" t="str">
        <x:f>IF(OR(H893&lt;&gt;1,G893&lt;&gt;1),"",SUMIFS('App Data'!$E$2:$E$1001,'App Data'!$L$2:$L$1001,SUBSTITUTE(SUBSTITUTE(SUBSTITUTE(L893,"~","~~"),"*","~*"),"?","~?")))</x:f>
      </x:c>
      <x:c r="J893" s="13" t="str">
        <x:f>IF(OR(NOT(ISNUMBER(E893)),NOT(ISNUMBER(I893))),"",ROUND(E893-I893,2))</x:f>
      </x:c>
      <x:c r="K893" s="2" t="str">
        <x:f>IF(COUNTA(A893:F893)=0,"",IF(OR(A893="",B893="",C893="",D893="",NOT(ISNUMBER(E893))),"Missing / invalid input",IF(G893&gt;1,"Duplicate key in this source",IF(H893=0,"Missing in other source",IF(H893&gt;1,"Duplicate in other source",IF(SUMIFS('App Data'!$M$2:$M$1001,'App Data'!$L$2:$L$1001,SUBSTITUTE(SUBSTITUTE(SUBSTITUTE(L893,"~","~~"),"*","~*"),"?","~?"))&lt;&gt;1,"Other amount is invalid",IF(J893&lt;&gt;0,"Amount differs","Matched")))))))</x:f>
      </x:c>
      <x:c r="L893" t="str">
        <x:f>IF(COUNTA(A893:F893)=0,"",LEN(A893)&amp;":"&amp;A893&amp;LEN(B893)&amp;":"&amp;B893&amp;LEN(C893)&amp;":"&amp;C893&amp;LEN(D893)&amp;":"&amp;D893)</x:f>
      </x:c>
      <x:c r="M893" t="str">
        <x:f>IF(COUNTA(A893:F893)=0,"",IF(ISNUMBER(E893),1,0))</x:f>
      </x:c>
    </x:row>
    <x:row r="894">
      <x:c r="A894" s="11"/>
      <x:c r="B894" s="11"/>
      <x:c r="C894" s="11"/>
      <x:c r="D894" s="11"/>
      <x:c r="E894" s="12"/>
      <x:c r="F894" s="10"/>
      <x:c r="G894" s="2" t="str">
        <x:f>IF(COUNTA(A894:F894)=0,"",COUNTIFS('External Data'!$L$2:$L$1001,SUBSTITUTE(SUBSTITUTE(SUBSTITUTE(L894,"~","~~"),"*","~*"),"?","~?")))</x:f>
      </x:c>
      <x:c r="H894" s="2" t="str">
        <x:f>IF(COUNTA(A894:F894)=0,"",COUNTIFS('App Data'!$L$2:$L$1001,SUBSTITUTE(SUBSTITUTE(SUBSTITUTE(L894,"~","~~"),"*","~*"),"?","~?")))</x:f>
      </x:c>
      <x:c r="I894" s="13" t="str">
        <x:f>IF(OR(H894&lt;&gt;1,G894&lt;&gt;1),"",SUMIFS('App Data'!$E$2:$E$1001,'App Data'!$L$2:$L$1001,SUBSTITUTE(SUBSTITUTE(SUBSTITUTE(L894,"~","~~"),"*","~*"),"?","~?")))</x:f>
      </x:c>
      <x:c r="J894" s="13" t="str">
        <x:f>IF(OR(NOT(ISNUMBER(E894)),NOT(ISNUMBER(I894))),"",ROUND(E894-I894,2))</x:f>
      </x:c>
      <x:c r="K894" s="2" t="str">
        <x:f>IF(COUNTA(A894:F894)=0,"",IF(OR(A894="",B894="",C894="",D894="",NOT(ISNUMBER(E894))),"Missing / invalid input",IF(G894&gt;1,"Duplicate key in this source",IF(H894=0,"Missing in other source",IF(H894&gt;1,"Duplicate in other source",IF(SUMIFS('App Data'!$M$2:$M$1001,'App Data'!$L$2:$L$1001,SUBSTITUTE(SUBSTITUTE(SUBSTITUTE(L894,"~","~~"),"*","~*"),"?","~?"))&lt;&gt;1,"Other amount is invalid",IF(J894&lt;&gt;0,"Amount differs","Matched")))))))</x:f>
      </x:c>
      <x:c r="L894" t="str">
        <x:f>IF(COUNTA(A894:F894)=0,"",LEN(A894)&amp;":"&amp;A894&amp;LEN(B894)&amp;":"&amp;B894&amp;LEN(C894)&amp;":"&amp;C894&amp;LEN(D894)&amp;":"&amp;D894)</x:f>
      </x:c>
      <x:c r="M894" t="str">
        <x:f>IF(COUNTA(A894:F894)=0,"",IF(ISNUMBER(E894),1,0))</x:f>
      </x:c>
    </x:row>
    <x:row r="895">
      <x:c r="A895" s="11"/>
      <x:c r="B895" s="11"/>
      <x:c r="C895" s="11"/>
      <x:c r="D895" s="11"/>
      <x:c r="E895" s="12"/>
      <x:c r="F895" s="10"/>
      <x:c r="G895" s="2" t="str">
        <x:f>IF(COUNTA(A895:F895)=0,"",COUNTIFS('External Data'!$L$2:$L$1001,SUBSTITUTE(SUBSTITUTE(SUBSTITUTE(L895,"~","~~"),"*","~*"),"?","~?")))</x:f>
      </x:c>
      <x:c r="H895" s="2" t="str">
        <x:f>IF(COUNTA(A895:F895)=0,"",COUNTIFS('App Data'!$L$2:$L$1001,SUBSTITUTE(SUBSTITUTE(SUBSTITUTE(L895,"~","~~"),"*","~*"),"?","~?")))</x:f>
      </x:c>
      <x:c r="I895" s="13" t="str">
        <x:f>IF(OR(H895&lt;&gt;1,G895&lt;&gt;1),"",SUMIFS('App Data'!$E$2:$E$1001,'App Data'!$L$2:$L$1001,SUBSTITUTE(SUBSTITUTE(SUBSTITUTE(L895,"~","~~"),"*","~*"),"?","~?")))</x:f>
      </x:c>
      <x:c r="J895" s="13" t="str">
        <x:f>IF(OR(NOT(ISNUMBER(E895)),NOT(ISNUMBER(I895))),"",ROUND(E895-I895,2))</x:f>
      </x:c>
      <x:c r="K895" s="2" t="str">
        <x:f>IF(COUNTA(A895:F895)=0,"",IF(OR(A895="",B895="",C895="",D895="",NOT(ISNUMBER(E895))),"Missing / invalid input",IF(G895&gt;1,"Duplicate key in this source",IF(H895=0,"Missing in other source",IF(H895&gt;1,"Duplicate in other source",IF(SUMIFS('App Data'!$M$2:$M$1001,'App Data'!$L$2:$L$1001,SUBSTITUTE(SUBSTITUTE(SUBSTITUTE(L895,"~","~~"),"*","~*"),"?","~?"))&lt;&gt;1,"Other amount is invalid",IF(J895&lt;&gt;0,"Amount differs","Matched")))))))</x:f>
      </x:c>
      <x:c r="L895" t="str">
        <x:f>IF(COUNTA(A895:F895)=0,"",LEN(A895)&amp;":"&amp;A895&amp;LEN(B895)&amp;":"&amp;B895&amp;LEN(C895)&amp;":"&amp;C895&amp;LEN(D895)&amp;":"&amp;D895)</x:f>
      </x:c>
      <x:c r="M895" t="str">
        <x:f>IF(COUNTA(A895:F895)=0,"",IF(ISNUMBER(E895),1,0))</x:f>
      </x:c>
    </x:row>
    <x:row r="896">
      <x:c r="A896" s="11"/>
      <x:c r="B896" s="11"/>
      <x:c r="C896" s="11"/>
      <x:c r="D896" s="11"/>
      <x:c r="E896" s="12"/>
      <x:c r="F896" s="10"/>
      <x:c r="G896" s="2" t="str">
        <x:f>IF(COUNTA(A896:F896)=0,"",COUNTIFS('External Data'!$L$2:$L$1001,SUBSTITUTE(SUBSTITUTE(SUBSTITUTE(L896,"~","~~"),"*","~*"),"?","~?")))</x:f>
      </x:c>
      <x:c r="H896" s="2" t="str">
        <x:f>IF(COUNTA(A896:F896)=0,"",COUNTIFS('App Data'!$L$2:$L$1001,SUBSTITUTE(SUBSTITUTE(SUBSTITUTE(L896,"~","~~"),"*","~*"),"?","~?")))</x:f>
      </x:c>
      <x:c r="I896" s="13" t="str">
        <x:f>IF(OR(H896&lt;&gt;1,G896&lt;&gt;1),"",SUMIFS('App Data'!$E$2:$E$1001,'App Data'!$L$2:$L$1001,SUBSTITUTE(SUBSTITUTE(SUBSTITUTE(L896,"~","~~"),"*","~*"),"?","~?")))</x:f>
      </x:c>
      <x:c r="J896" s="13" t="str">
        <x:f>IF(OR(NOT(ISNUMBER(E896)),NOT(ISNUMBER(I896))),"",ROUND(E896-I896,2))</x:f>
      </x:c>
      <x:c r="K896" s="2" t="str">
        <x:f>IF(COUNTA(A896:F896)=0,"",IF(OR(A896="",B896="",C896="",D896="",NOT(ISNUMBER(E896))),"Missing / invalid input",IF(G896&gt;1,"Duplicate key in this source",IF(H896=0,"Missing in other source",IF(H896&gt;1,"Duplicate in other source",IF(SUMIFS('App Data'!$M$2:$M$1001,'App Data'!$L$2:$L$1001,SUBSTITUTE(SUBSTITUTE(SUBSTITUTE(L896,"~","~~"),"*","~*"),"?","~?"))&lt;&gt;1,"Other amount is invalid",IF(J896&lt;&gt;0,"Amount differs","Matched")))))))</x:f>
      </x:c>
      <x:c r="L896" t="str">
        <x:f>IF(COUNTA(A896:F896)=0,"",LEN(A896)&amp;":"&amp;A896&amp;LEN(B896)&amp;":"&amp;B896&amp;LEN(C896)&amp;":"&amp;C896&amp;LEN(D896)&amp;":"&amp;D896)</x:f>
      </x:c>
      <x:c r="M896" t="str">
        <x:f>IF(COUNTA(A896:F896)=0,"",IF(ISNUMBER(E896),1,0))</x:f>
      </x:c>
    </x:row>
    <x:row r="897">
      <x:c r="A897" s="11"/>
      <x:c r="B897" s="11"/>
      <x:c r="C897" s="11"/>
      <x:c r="D897" s="11"/>
      <x:c r="E897" s="12"/>
      <x:c r="F897" s="10"/>
      <x:c r="G897" s="2" t="str">
        <x:f>IF(COUNTA(A897:F897)=0,"",COUNTIFS('External Data'!$L$2:$L$1001,SUBSTITUTE(SUBSTITUTE(SUBSTITUTE(L897,"~","~~"),"*","~*"),"?","~?")))</x:f>
      </x:c>
      <x:c r="H897" s="2" t="str">
        <x:f>IF(COUNTA(A897:F897)=0,"",COUNTIFS('App Data'!$L$2:$L$1001,SUBSTITUTE(SUBSTITUTE(SUBSTITUTE(L897,"~","~~"),"*","~*"),"?","~?")))</x:f>
      </x:c>
      <x:c r="I897" s="13" t="str">
        <x:f>IF(OR(H897&lt;&gt;1,G897&lt;&gt;1),"",SUMIFS('App Data'!$E$2:$E$1001,'App Data'!$L$2:$L$1001,SUBSTITUTE(SUBSTITUTE(SUBSTITUTE(L897,"~","~~"),"*","~*"),"?","~?")))</x:f>
      </x:c>
      <x:c r="J897" s="13" t="str">
        <x:f>IF(OR(NOT(ISNUMBER(E897)),NOT(ISNUMBER(I897))),"",ROUND(E897-I897,2))</x:f>
      </x:c>
      <x:c r="K897" s="2" t="str">
        <x:f>IF(COUNTA(A897:F897)=0,"",IF(OR(A897="",B897="",C897="",D897="",NOT(ISNUMBER(E897))),"Missing / invalid input",IF(G897&gt;1,"Duplicate key in this source",IF(H897=0,"Missing in other source",IF(H897&gt;1,"Duplicate in other source",IF(SUMIFS('App Data'!$M$2:$M$1001,'App Data'!$L$2:$L$1001,SUBSTITUTE(SUBSTITUTE(SUBSTITUTE(L897,"~","~~"),"*","~*"),"?","~?"))&lt;&gt;1,"Other amount is invalid",IF(J897&lt;&gt;0,"Amount differs","Matched")))))))</x:f>
      </x:c>
      <x:c r="L897" t="str">
        <x:f>IF(COUNTA(A897:F897)=0,"",LEN(A897)&amp;":"&amp;A897&amp;LEN(B897)&amp;":"&amp;B897&amp;LEN(C897)&amp;":"&amp;C897&amp;LEN(D897)&amp;":"&amp;D897)</x:f>
      </x:c>
      <x:c r="M897" t="str">
        <x:f>IF(COUNTA(A897:F897)=0,"",IF(ISNUMBER(E897),1,0))</x:f>
      </x:c>
    </x:row>
    <x:row r="898">
      <x:c r="A898" s="11"/>
      <x:c r="B898" s="11"/>
      <x:c r="C898" s="11"/>
      <x:c r="D898" s="11"/>
      <x:c r="E898" s="12"/>
      <x:c r="F898" s="10"/>
      <x:c r="G898" s="2" t="str">
        <x:f>IF(COUNTA(A898:F898)=0,"",COUNTIFS('External Data'!$L$2:$L$1001,SUBSTITUTE(SUBSTITUTE(SUBSTITUTE(L898,"~","~~"),"*","~*"),"?","~?")))</x:f>
      </x:c>
      <x:c r="H898" s="2" t="str">
        <x:f>IF(COUNTA(A898:F898)=0,"",COUNTIFS('App Data'!$L$2:$L$1001,SUBSTITUTE(SUBSTITUTE(SUBSTITUTE(L898,"~","~~"),"*","~*"),"?","~?")))</x:f>
      </x:c>
      <x:c r="I898" s="13" t="str">
        <x:f>IF(OR(H898&lt;&gt;1,G898&lt;&gt;1),"",SUMIFS('App Data'!$E$2:$E$1001,'App Data'!$L$2:$L$1001,SUBSTITUTE(SUBSTITUTE(SUBSTITUTE(L898,"~","~~"),"*","~*"),"?","~?")))</x:f>
      </x:c>
      <x:c r="J898" s="13" t="str">
        <x:f>IF(OR(NOT(ISNUMBER(E898)),NOT(ISNUMBER(I898))),"",ROUND(E898-I898,2))</x:f>
      </x:c>
      <x:c r="K898" s="2" t="str">
        <x:f>IF(COUNTA(A898:F898)=0,"",IF(OR(A898="",B898="",C898="",D898="",NOT(ISNUMBER(E898))),"Missing / invalid input",IF(G898&gt;1,"Duplicate key in this source",IF(H898=0,"Missing in other source",IF(H898&gt;1,"Duplicate in other source",IF(SUMIFS('App Data'!$M$2:$M$1001,'App Data'!$L$2:$L$1001,SUBSTITUTE(SUBSTITUTE(SUBSTITUTE(L898,"~","~~"),"*","~*"),"?","~?"))&lt;&gt;1,"Other amount is invalid",IF(J898&lt;&gt;0,"Amount differs","Matched")))))))</x:f>
      </x:c>
      <x:c r="L898" t="str">
        <x:f>IF(COUNTA(A898:F898)=0,"",LEN(A898)&amp;":"&amp;A898&amp;LEN(B898)&amp;":"&amp;B898&amp;LEN(C898)&amp;":"&amp;C898&amp;LEN(D898)&amp;":"&amp;D898)</x:f>
      </x:c>
      <x:c r="M898" t="str">
        <x:f>IF(COUNTA(A898:F898)=0,"",IF(ISNUMBER(E898),1,0))</x:f>
      </x:c>
    </x:row>
    <x:row r="899">
      <x:c r="A899" s="11"/>
      <x:c r="B899" s="11"/>
      <x:c r="C899" s="11"/>
      <x:c r="D899" s="11"/>
      <x:c r="E899" s="12"/>
      <x:c r="F899" s="10"/>
      <x:c r="G899" s="2" t="str">
        <x:f>IF(COUNTA(A899:F899)=0,"",COUNTIFS('External Data'!$L$2:$L$1001,SUBSTITUTE(SUBSTITUTE(SUBSTITUTE(L899,"~","~~"),"*","~*"),"?","~?")))</x:f>
      </x:c>
      <x:c r="H899" s="2" t="str">
        <x:f>IF(COUNTA(A899:F899)=0,"",COUNTIFS('App Data'!$L$2:$L$1001,SUBSTITUTE(SUBSTITUTE(SUBSTITUTE(L899,"~","~~"),"*","~*"),"?","~?")))</x:f>
      </x:c>
      <x:c r="I899" s="13" t="str">
        <x:f>IF(OR(H899&lt;&gt;1,G899&lt;&gt;1),"",SUMIFS('App Data'!$E$2:$E$1001,'App Data'!$L$2:$L$1001,SUBSTITUTE(SUBSTITUTE(SUBSTITUTE(L899,"~","~~"),"*","~*"),"?","~?")))</x:f>
      </x:c>
      <x:c r="J899" s="13" t="str">
        <x:f>IF(OR(NOT(ISNUMBER(E899)),NOT(ISNUMBER(I899))),"",ROUND(E899-I899,2))</x:f>
      </x:c>
      <x:c r="K899" s="2" t="str">
        <x:f>IF(COUNTA(A899:F899)=0,"",IF(OR(A899="",B899="",C899="",D899="",NOT(ISNUMBER(E899))),"Missing / invalid input",IF(G899&gt;1,"Duplicate key in this source",IF(H899=0,"Missing in other source",IF(H899&gt;1,"Duplicate in other source",IF(SUMIFS('App Data'!$M$2:$M$1001,'App Data'!$L$2:$L$1001,SUBSTITUTE(SUBSTITUTE(SUBSTITUTE(L899,"~","~~"),"*","~*"),"?","~?"))&lt;&gt;1,"Other amount is invalid",IF(J899&lt;&gt;0,"Amount differs","Matched")))))))</x:f>
      </x:c>
      <x:c r="L899" t="str">
        <x:f>IF(COUNTA(A899:F899)=0,"",LEN(A899)&amp;":"&amp;A899&amp;LEN(B899)&amp;":"&amp;B899&amp;LEN(C899)&amp;":"&amp;C899&amp;LEN(D899)&amp;":"&amp;D899)</x:f>
      </x:c>
      <x:c r="M899" t="str">
        <x:f>IF(COUNTA(A899:F899)=0,"",IF(ISNUMBER(E899),1,0))</x:f>
      </x:c>
    </x:row>
    <x:row r="900">
      <x:c r="A900" s="11"/>
      <x:c r="B900" s="11"/>
      <x:c r="C900" s="11"/>
      <x:c r="D900" s="11"/>
      <x:c r="E900" s="12"/>
      <x:c r="F900" s="10"/>
      <x:c r="G900" s="2" t="str">
        <x:f>IF(COUNTA(A900:F900)=0,"",COUNTIFS('External Data'!$L$2:$L$1001,SUBSTITUTE(SUBSTITUTE(SUBSTITUTE(L900,"~","~~"),"*","~*"),"?","~?")))</x:f>
      </x:c>
      <x:c r="H900" s="2" t="str">
        <x:f>IF(COUNTA(A900:F900)=0,"",COUNTIFS('App Data'!$L$2:$L$1001,SUBSTITUTE(SUBSTITUTE(SUBSTITUTE(L900,"~","~~"),"*","~*"),"?","~?")))</x:f>
      </x:c>
      <x:c r="I900" s="13" t="str">
        <x:f>IF(OR(H900&lt;&gt;1,G900&lt;&gt;1),"",SUMIFS('App Data'!$E$2:$E$1001,'App Data'!$L$2:$L$1001,SUBSTITUTE(SUBSTITUTE(SUBSTITUTE(L900,"~","~~"),"*","~*"),"?","~?")))</x:f>
      </x:c>
      <x:c r="J900" s="13" t="str">
        <x:f>IF(OR(NOT(ISNUMBER(E900)),NOT(ISNUMBER(I900))),"",ROUND(E900-I900,2))</x:f>
      </x:c>
      <x:c r="K900" s="2" t="str">
        <x:f>IF(COUNTA(A900:F900)=0,"",IF(OR(A900="",B900="",C900="",D900="",NOT(ISNUMBER(E900))),"Missing / invalid input",IF(G900&gt;1,"Duplicate key in this source",IF(H900=0,"Missing in other source",IF(H900&gt;1,"Duplicate in other source",IF(SUMIFS('App Data'!$M$2:$M$1001,'App Data'!$L$2:$L$1001,SUBSTITUTE(SUBSTITUTE(SUBSTITUTE(L900,"~","~~"),"*","~*"),"?","~?"))&lt;&gt;1,"Other amount is invalid",IF(J900&lt;&gt;0,"Amount differs","Matched")))))))</x:f>
      </x:c>
      <x:c r="L900" t="str">
        <x:f>IF(COUNTA(A900:F900)=0,"",LEN(A900)&amp;":"&amp;A900&amp;LEN(B900)&amp;":"&amp;B900&amp;LEN(C900)&amp;":"&amp;C900&amp;LEN(D900)&amp;":"&amp;D900)</x:f>
      </x:c>
      <x:c r="M900" t="str">
        <x:f>IF(COUNTA(A900:F900)=0,"",IF(ISNUMBER(E900),1,0))</x:f>
      </x:c>
    </x:row>
    <x:row r="901">
      <x:c r="A901" s="11"/>
      <x:c r="B901" s="11"/>
      <x:c r="C901" s="11"/>
      <x:c r="D901" s="11"/>
      <x:c r="E901" s="12"/>
      <x:c r="F901" s="10"/>
      <x:c r="G901" s="2" t="str">
        <x:f>IF(COUNTA(A901:F901)=0,"",COUNTIFS('External Data'!$L$2:$L$1001,SUBSTITUTE(SUBSTITUTE(SUBSTITUTE(L901,"~","~~"),"*","~*"),"?","~?")))</x:f>
      </x:c>
      <x:c r="H901" s="2" t="str">
        <x:f>IF(COUNTA(A901:F901)=0,"",COUNTIFS('App Data'!$L$2:$L$1001,SUBSTITUTE(SUBSTITUTE(SUBSTITUTE(L901,"~","~~"),"*","~*"),"?","~?")))</x:f>
      </x:c>
      <x:c r="I901" s="13" t="str">
        <x:f>IF(OR(H901&lt;&gt;1,G901&lt;&gt;1),"",SUMIFS('App Data'!$E$2:$E$1001,'App Data'!$L$2:$L$1001,SUBSTITUTE(SUBSTITUTE(SUBSTITUTE(L901,"~","~~"),"*","~*"),"?","~?")))</x:f>
      </x:c>
      <x:c r="J901" s="13" t="str">
        <x:f>IF(OR(NOT(ISNUMBER(E901)),NOT(ISNUMBER(I901))),"",ROUND(E901-I901,2))</x:f>
      </x:c>
      <x:c r="K901" s="2" t="str">
        <x:f>IF(COUNTA(A901:F901)=0,"",IF(OR(A901="",B901="",C901="",D901="",NOT(ISNUMBER(E901))),"Missing / invalid input",IF(G901&gt;1,"Duplicate key in this source",IF(H901=0,"Missing in other source",IF(H901&gt;1,"Duplicate in other source",IF(SUMIFS('App Data'!$M$2:$M$1001,'App Data'!$L$2:$L$1001,SUBSTITUTE(SUBSTITUTE(SUBSTITUTE(L901,"~","~~"),"*","~*"),"?","~?"))&lt;&gt;1,"Other amount is invalid",IF(J901&lt;&gt;0,"Amount differs","Matched")))))))</x:f>
      </x:c>
      <x:c r="L901" t="str">
        <x:f>IF(COUNTA(A901:F901)=0,"",LEN(A901)&amp;":"&amp;A901&amp;LEN(B901)&amp;":"&amp;B901&amp;LEN(C901)&amp;":"&amp;C901&amp;LEN(D901)&amp;":"&amp;D901)</x:f>
      </x:c>
      <x:c r="M901" t="str">
        <x:f>IF(COUNTA(A901:F901)=0,"",IF(ISNUMBER(E901),1,0))</x:f>
      </x:c>
    </x:row>
    <x:row r="902">
      <x:c r="A902" s="11"/>
      <x:c r="B902" s="11"/>
      <x:c r="C902" s="11"/>
      <x:c r="D902" s="11"/>
      <x:c r="E902" s="12"/>
      <x:c r="F902" s="10"/>
      <x:c r="G902" s="2" t="str">
        <x:f>IF(COUNTA(A902:F902)=0,"",COUNTIFS('External Data'!$L$2:$L$1001,SUBSTITUTE(SUBSTITUTE(SUBSTITUTE(L902,"~","~~"),"*","~*"),"?","~?")))</x:f>
      </x:c>
      <x:c r="H902" s="2" t="str">
        <x:f>IF(COUNTA(A902:F902)=0,"",COUNTIFS('App Data'!$L$2:$L$1001,SUBSTITUTE(SUBSTITUTE(SUBSTITUTE(L902,"~","~~"),"*","~*"),"?","~?")))</x:f>
      </x:c>
      <x:c r="I902" s="13" t="str">
        <x:f>IF(OR(H902&lt;&gt;1,G902&lt;&gt;1),"",SUMIFS('App Data'!$E$2:$E$1001,'App Data'!$L$2:$L$1001,SUBSTITUTE(SUBSTITUTE(SUBSTITUTE(L902,"~","~~"),"*","~*"),"?","~?")))</x:f>
      </x:c>
      <x:c r="J902" s="13" t="str">
        <x:f>IF(OR(NOT(ISNUMBER(E902)),NOT(ISNUMBER(I902))),"",ROUND(E902-I902,2))</x:f>
      </x:c>
      <x:c r="K902" s="2" t="str">
        <x:f>IF(COUNTA(A902:F902)=0,"",IF(OR(A902="",B902="",C902="",D902="",NOT(ISNUMBER(E902))),"Missing / invalid input",IF(G902&gt;1,"Duplicate key in this source",IF(H902=0,"Missing in other source",IF(H902&gt;1,"Duplicate in other source",IF(SUMIFS('App Data'!$M$2:$M$1001,'App Data'!$L$2:$L$1001,SUBSTITUTE(SUBSTITUTE(SUBSTITUTE(L902,"~","~~"),"*","~*"),"?","~?"))&lt;&gt;1,"Other amount is invalid",IF(J902&lt;&gt;0,"Amount differs","Matched")))))))</x:f>
      </x:c>
      <x:c r="L902" t="str">
        <x:f>IF(COUNTA(A902:F902)=0,"",LEN(A902)&amp;":"&amp;A902&amp;LEN(B902)&amp;":"&amp;B902&amp;LEN(C902)&amp;":"&amp;C902&amp;LEN(D902)&amp;":"&amp;D902)</x:f>
      </x:c>
      <x:c r="M902" t="str">
        <x:f>IF(COUNTA(A902:F902)=0,"",IF(ISNUMBER(E902),1,0))</x:f>
      </x:c>
    </x:row>
    <x:row r="903">
      <x:c r="A903" s="11"/>
      <x:c r="B903" s="11"/>
      <x:c r="C903" s="11"/>
      <x:c r="D903" s="11"/>
      <x:c r="E903" s="12"/>
      <x:c r="F903" s="10"/>
      <x:c r="G903" s="2" t="str">
        <x:f>IF(COUNTA(A903:F903)=0,"",COUNTIFS('External Data'!$L$2:$L$1001,SUBSTITUTE(SUBSTITUTE(SUBSTITUTE(L903,"~","~~"),"*","~*"),"?","~?")))</x:f>
      </x:c>
      <x:c r="H903" s="2" t="str">
        <x:f>IF(COUNTA(A903:F903)=0,"",COUNTIFS('App Data'!$L$2:$L$1001,SUBSTITUTE(SUBSTITUTE(SUBSTITUTE(L903,"~","~~"),"*","~*"),"?","~?")))</x:f>
      </x:c>
      <x:c r="I903" s="13" t="str">
        <x:f>IF(OR(H903&lt;&gt;1,G903&lt;&gt;1),"",SUMIFS('App Data'!$E$2:$E$1001,'App Data'!$L$2:$L$1001,SUBSTITUTE(SUBSTITUTE(SUBSTITUTE(L903,"~","~~"),"*","~*"),"?","~?")))</x:f>
      </x:c>
      <x:c r="J903" s="13" t="str">
        <x:f>IF(OR(NOT(ISNUMBER(E903)),NOT(ISNUMBER(I903))),"",ROUND(E903-I903,2))</x:f>
      </x:c>
      <x:c r="K903" s="2" t="str">
        <x:f>IF(COUNTA(A903:F903)=0,"",IF(OR(A903="",B903="",C903="",D903="",NOT(ISNUMBER(E903))),"Missing / invalid input",IF(G903&gt;1,"Duplicate key in this source",IF(H903=0,"Missing in other source",IF(H903&gt;1,"Duplicate in other source",IF(SUMIFS('App Data'!$M$2:$M$1001,'App Data'!$L$2:$L$1001,SUBSTITUTE(SUBSTITUTE(SUBSTITUTE(L903,"~","~~"),"*","~*"),"?","~?"))&lt;&gt;1,"Other amount is invalid",IF(J903&lt;&gt;0,"Amount differs","Matched")))))))</x:f>
      </x:c>
      <x:c r="L903" t="str">
        <x:f>IF(COUNTA(A903:F903)=0,"",LEN(A903)&amp;":"&amp;A903&amp;LEN(B903)&amp;":"&amp;B903&amp;LEN(C903)&amp;":"&amp;C903&amp;LEN(D903)&amp;":"&amp;D903)</x:f>
      </x:c>
      <x:c r="M903" t="str">
        <x:f>IF(COUNTA(A903:F903)=0,"",IF(ISNUMBER(E903),1,0))</x:f>
      </x:c>
    </x:row>
    <x:row r="904">
      <x:c r="A904" s="11"/>
      <x:c r="B904" s="11"/>
      <x:c r="C904" s="11"/>
      <x:c r="D904" s="11"/>
      <x:c r="E904" s="12"/>
      <x:c r="F904" s="10"/>
      <x:c r="G904" s="2" t="str">
        <x:f>IF(COUNTA(A904:F904)=0,"",COUNTIFS('External Data'!$L$2:$L$1001,SUBSTITUTE(SUBSTITUTE(SUBSTITUTE(L904,"~","~~"),"*","~*"),"?","~?")))</x:f>
      </x:c>
      <x:c r="H904" s="2" t="str">
        <x:f>IF(COUNTA(A904:F904)=0,"",COUNTIFS('App Data'!$L$2:$L$1001,SUBSTITUTE(SUBSTITUTE(SUBSTITUTE(L904,"~","~~"),"*","~*"),"?","~?")))</x:f>
      </x:c>
      <x:c r="I904" s="13" t="str">
        <x:f>IF(OR(H904&lt;&gt;1,G904&lt;&gt;1),"",SUMIFS('App Data'!$E$2:$E$1001,'App Data'!$L$2:$L$1001,SUBSTITUTE(SUBSTITUTE(SUBSTITUTE(L904,"~","~~"),"*","~*"),"?","~?")))</x:f>
      </x:c>
      <x:c r="J904" s="13" t="str">
        <x:f>IF(OR(NOT(ISNUMBER(E904)),NOT(ISNUMBER(I904))),"",ROUND(E904-I904,2))</x:f>
      </x:c>
      <x:c r="K904" s="2" t="str">
        <x:f>IF(COUNTA(A904:F904)=0,"",IF(OR(A904="",B904="",C904="",D904="",NOT(ISNUMBER(E904))),"Missing / invalid input",IF(G904&gt;1,"Duplicate key in this source",IF(H904=0,"Missing in other source",IF(H904&gt;1,"Duplicate in other source",IF(SUMIFS('App Data'!$M$2:$M$1001,'App Data'!$L$2:$L$1001,SUBSTITUTE(SUBSTITUTE(SUBSTITUTE(L904,"~","~~"),"*","~*"),"?","~?"))&lt;&gt;1,"Other amount is invalid",IF(J904&lt;&gt;0,"Amount differs","Matched")))))))</x:f>
      </x:c>
      <x:c r="L904" t="str">
        <x:f>IF(COUNTA(A904:F904)=0,"",LEN(A904)&amp;":"&amp;A904&amp;LEN(B904)&amp;":"&amp;B904&amp;LEN(C904)&amp;":"&amp;C904&amp;LEN(D904)&amp;":"&amp;D904)</x:f>
      </x:c>
      <x:c r="M904" t="str">
        <x:f>IF(COUNTA(A904:F904)=0,"",IF(ISNUMBER(E904),1,0))</x:f>
      </x:c>
    </x:row>
    <x:row r="905">
      <x:c r="A905" s="11"/>
      <x:c r="B905" s="11"/>
      <x:c r="C905" s="11"/>
      <x:c r="D905" s="11"/>
      <x:c r="E905" s="12"/>
      <x:c r="F905" s="10"/>
      <x:c r="G905" s="2" t="str">
        <x:f>IF(COUNTA(A905:F905)=0,"",COUNTIFS('External Data'!$L$2:$L$1001,SUBSTITUTE(SUBSTITUTE(SUBSTITUTE(L905,"~","~~"),"*","~*"),"?","~?")))</x:f>
      </x:c>
      <x:c r="H905" s="2" t="str">
        <x:f>IF(COUNTA(A905:F905)=0,"",COUNTIFS('App Data'!$L$2:$L$1001,SUBSTITUTE(SUBSTITUTE(SUBSTITUTE(L905,"~","~~"),"*","~*"),"?","~?")))</x:f>
      </x:c>
      <x:c r="I905" s="13" t="str">
        <x:f>IF(OR(H905&lt;&gt;1,G905&lt;&gt;1),"",SUMIFS('App Data'!$E$2:$E$1001,'App Data'!$L$2:$L$1001,SUBSTITUTE(SUBSTITUTE(SUBSTITUTE(L905,"~","~~"),"*","~*"),"?","~?")))</x:f>
      </x:c>
      <x:c r="J905" s="13" t="str">
        <x:f>IF(OR(NOT(ISNUMBER(E905)),NOT(ISNUMBER(I905))),"",ROUND(E905-I905,2))</x:f>
      </x:c>
      <x:c r="K905" s="2" t="str">
        <x:f>IF(COUNTA(A905:F905)=0,"",IF(OR(A905="",B905="",C905="",D905="",NOT(ISNUMBER(E905))),"Missing / invalid input",IF(G905&gt;1,"Duplicate key in this source",IF(H905=0,"Missing in other source",IF(H905&gt;1,"Duplicate in other source",IF(SUMIFS('App Data'!$M$2:$M$1001,'App Data'!$L$2:$L$1001,SUBSTITUTE(SUBSTITUTE(SUBSTITUTE(L905,"~","~~"),"*","~*"),"?","~?"))&lt;&gt;1,"Other amount is invalid",IF(J905&lt;&gt;0,"Amount differs","Matched")))))))</x:f>
      </x:c>
      <x:c r="L905" t="str">
        <x:f>IF(COUNTA(A905:F905)=0,"",LEN(A905)&amp;":"&amp;A905&amp;LEN(B905)&amp;":"&amp;B905&amp;LEN(C905)&amp;":"&amp;C905&amp;LEN(D905)&amp;":"&amp;D905)</x:f>
      </x:c>
      <x:c r="M905" t="str">
        <x:f>IF(COUNTA(A905:F905)=0,"",IF(ISNUMBER(E905),1,0))</x:f>
      </x:c>
    </x:row>
    <x:row r="906">
      <x:c r="A906" s="11"/>
      <x:c r="B906" s="11"/>
      <x:c r="C906" s="11"/>
      <x:c r="D906" s="11"/>
      <x:c r="E906" s="12"/>
      <x:c r="F906" s="10"/>
      <x:c r="G906" s="2" t="str">
        <x:f>IF(COUNTA(A906:F906)=0,"",COUNTIFS('External Data'!$L$2:$L$1001,SUBSTITUTE(SUBSTITUTE(SUBSTITUTE(L906,"~","~~"),"*","~*"),"?","~?")))</x:f>
      </x:c>
      <x:c r="H906" s="2" t="str">
        <x:f>IF(COUNTA(A906:F906)=0,"",COUNTIFS('App Data'!$L$2:$L$1001,SUBSTITUTE(SUBSTITUTE(SUBSTITUTE(L906,"~","~~"),"*","~*"),"?","~?")))</x:f>
      </x:c>
      <x:c r="I906" s="13" t="str">
        <x:f>IF(OR(H906&lt;&gt;1,G906&lt;&gt;1),"",SUMIFS('App Data'!$E$2:$E$1001,'App Data'!$L$2:$L$1001,SUBSTITUTE(SUBSTITUTE(SUBSTITUTE(L906,"~","~~"),"*","~*"),"?","~?")))</x:f>
      </x:c>
      <x:c r="J906" s="13" t="str">
        <x:f>IF(OR(NOT(ISNUMBER(E906)),NOT(ISNUMBER(I906))),"",ROUND(E906-I906,2))</x:f>
      </x:c>
      <x:c r="K906" s="2" t="str">
        <x:f>IF(COUNTA(A906:F906)=0,"",IF(OR(A906="",B906="",C906="",D906="",NOT(ISNUMBER(E906))),"Missing / invalid input",IF(G906&gt;1,"Duplicate key in this source",IF(H906=0,"Missing in other source",IF(H906&gt;1,"Duplicate in other source",IF(SUMIFS('App Data'!$M$2:$M$1001,'App Data'!$L$2:$L$1001,SUBSTITUTE(SUBSTITUTE(SUBSTITUTE(L906,"~","~~"),"*","~*"),"?","~?"))&lt;&gt;1,"Other amount is invalid",IF(J906&lt;&gt;0,"Amount differs","Matched")))))))</x:f>
      </x:c>
      <x:c r="L906" t="str">
        <x:f>IF(COUNTA(A906:F906)=0,"",LEN(A906)&amp;":"&amp;A906&amp;LEN(B906)&amp;":"&amp;B906&amp;LEN(C906)&amp;":"&amp;C906&amp;LEN(D906)&amp;":"&amp;D906)</x:f>
      </x:c>
      <x:c r="M906" t="str">
        <x:f>IF(COUNTA(A906:F906)=0,"",IF(ISNUMBER(E906),1,0))</x:f>
      </x:c>
    </x:row>
    <x:row r="907">
      <x:c r="A907" s="11"/>
      <x:c r="B907" s="11"/>
      <x:c r="C907" s="11"/>
      <x:c r="D907" s="11"/>
      <x:c r="E907" s="12"/>
      <x:c r="F907" s="10"/>
      <x:c r="G907" s="2" t="str">
        <x:f>IF(COUNTA(A907:F907)=0,"",COUNTIFS('External Data'!$L$2:$L$1001,SUBSTITUTE(SUBSTITUTE(SUBSTITUTE(L907,"~","~~"),"*","~*"),"?","~?")))</x:f>
      </x:c>
      <x:c r="H907" s="2" t="str">
        <x:f>IF(COUNTA(A907:F907)=0,"",COUNTIFS('App Data'!$L$2:$L$1001,SUBSTITUTE(SUBSTITUTE(SUBSTITUTE(L907,"~","~~"),"*","~*"),"?","~?")))</x:f>
      </x:c>
      <x:c r="I907" s="13" t="str">
        <x:f>IF(OR(H907&lt;&gt;1,G907&lt;&gt;1),"",SUMIFS('App Data'!$E$2:$E$1001,'App Data'!$L$2:$L$1001,SUBSTITUTE(SUBSTITUTE(SUBSTITUTE(L907,"~","~~"),"*","~*"),"?","~?")))</x:f>
      </x:c>
      <x:c r="J907" s="13" t="str">
        <x:f>IF(OR(NOT(ISNUMBER(E907)),NOT(ISNUMBER(I907))),"",ROUND(E907-I907,2))</x:f>
      </x:c>
      <x:c r="K907" s="2" t="str">
        <x:f>IF(COUNTA(A907:F907)=0,"",IF(OR(A907="",B907="",C907="",D907="",NOT(ISNUMBER(E907))),"Missing / invalid input",IF(G907&gt;1,"Duplicate key in this source",IF(H907=0,"Missing in other source",IF(H907&gt;1,"Duplicate in other source",IF(SUMIFS('App Data'!$M$2:$M$1001,'App Data'!$L$2:$L$1001,SUBSTITUTE(SUBSTITUTE(SUBSTITUTE(L907,"~","~~"),"*","~*"),"?","~?"))&lt;&gt;1,"Other amount is invalid",IF(J907&lt;&gt;0,"Amount differs","Matched")))))))</x:f>
      </x:c>
      <x:c r="L907" t="str">
        <x:f>IF(COUNTA(A907:F907)=0,"",LEN(A907)&amp;":"&amp;A907&amp;LEN(B907)&amp;":"&amp;B907&amp;LEN(C907)&amp;":"&amp;C907&amp;LEN(D907)&amp;":"&amp;D907)</x:f>
      </x:c>
      <x:c r="M907" t="str">
        <x:f>IF(COUNTA(A907:F907)=0,"",IF(ISNUMBER(E907),1,0))</x:f>
      </x:c>
    </x:row>
    <x:row r="908">
      <x:c r="A908" s="11"/>
      <x:c r="B908" s="11"/>
      <x:c r="C908" s="11"/>
      <x:c r="D908" s="11"/>
      <x:c r="E908" s="12"/>
      <x:c r="F908" s="10"/>
      <x:c r="G908" s="2" t="str">
        <x:f>IF(COUNTA(A908:F908)=0,"",COUNTIFS('External Data'!$L$2:$L$1001,SUBSTITUTE(SUBSTITUTE(SUBSTITUTE(L908,"~","~~"),"*","~*"),"?","~?")))</x:f>
      </x:c>
      <x:c r="H908" s="2" t="str">
        <x:f>IF(COUNTA(A908:F908)=0,"",COUNTIFS('App Data'!$L$2:$L$1001,SUBSTITUTE(SUBSTITUTE(SUBSTITUTE(L908,"~","~~"),"*","~*"),"?","~?")))</x:f>
      </x:c>
      <x:c r="I908" s="13" t="str">
        <x:f>IF(OR(H908&lt;&gt;1,G908&lt;&gt;1),"",SUMIFS('App Data'!$E$2:$E$1001,'App Data'!$L$2:$L$1001,SUBSTITUTE(SUBSTITUTE(SUBSTITUTE(L908,"~","~~"),"*","~*"),"?","~?")))</x:f>
      </x:c>
      <x:c r="J908" s="13" t="str">
        <x:f>IF(OR(NOT(ISNUMBER(E908)),NOT(ISNUMBER(I908))),"",ROUND(E908-I908,2))</x:f>
      </x:c>
      <x:c r="K908" s="2" t="str">
        <x:f>IF(COUNTA(A908:F908)=0,"",IF(OR(A908="",B908="",C908="",D908="",NOT(ISNUMBER(E908))),"Missing / invalid input",IF(G908&gt;1,"Duplicate key in this source",IF(H908=0,"Missing in other source",IF(H908&gt;1,"Duplicate in other source",IF(SUMIFS('App Data'!$M$2:$M$1001,'App Data'!$L$2:$L$1001,SUBSTITUTE(SUBSTITUTE(SUBSTITUTE(L908,"~","~~"),"*","~*"),"?","~?"))&lt;&gt;1,"Other amount is invalid",IF(J908&lt;&gt;0,"Amount differs","Matched")))))))</x:f>
      </x:c>
      <x:c r="L908" t="str">
        <x:f>IF(COUNTA(A908:F908)=0,"",LEN(A908)&amp;":"&amp;A908&amp;LEN(B908)&amp;":"&amp;B908&amp;LEN(C908)&amp;":"&amp;C908&amp;LEN(D908)&amp;":"&amp;D908)</x:f>
      </x:c>
      <x:c r="M908" t="str">
        <x:f>IF(COUNTA(A908:F908)=0,"",IF(ISNUMBER(E908),1,0))</x:f>
      </x:c>
    </x:row>
    <x:row r="909">
      <x:c r="A909" s="11"/>
      <x:c r="B909" s="11"/>
      <x:c r="C909" s="11"/>
      <x:c r="D909" s="11"/>
      <x:c r="E909" s="12"/>
      <x:c r="F909" s="10"/>
      <x:c r="G909" s="2" t="str">
        <x:f>IF(COUNTA(A909:F909)=0,"",COUNTIFS('External Data'!$L$2:$L$1001,SUBSTITUTE(SUBSTITUTE(SUBSTITUTE(L909,"~","~~"),"*","~*"),"?","~?")))</x:f>
      </x:c>
      <x:c r="H909" s="2" t="str">
        <x:f>IF(COUNTA(A909:F909)=0,"",COUNTIFS('App Data'!$L$2:$L$1001,SUBSTITUTE(SUBSTITUTE(SUBSTITUTE(L909,"~","~~"),"*","~*"),"?","~?")))</x:f>
      </x:c>
      <x:c r="I909" s="13" t="str">
        <x:f>IF(OR(H909&lt;&gt;1,G909&lt;&gt;1),"",SUMIFS('App Data'!$E$2:$E$1001,'App Data'!$L$2:$L$1001,SUBSTITUTE(SUBSTITUTE(SUBSTITUTE(L909,"~","~~"),"*","~*"),"?","~?")))</x:f>
      </x:c>
      <x:c r="J909" s="13" t="str">
        <x:f>IF(OR(NOT(ISNUMBER(E909)),NOT(ISNUMBER(I909))),"",ROUND(E909-I909,2))</x:f>
      </x:c>
      <x:c r="K909" s="2" t="str">
        <x:f>IF(COUNTA(A909:F909)=0,"",IF(OR(A909="",B909="",C909="",D909="",NOT(ISNUMBER(E909))),"Missing / invalid input",IF(G909&gt;1,"Duplicate key in this source",IF(H909=0,"Missing in other source",IF(H909&gt;1,"Duplicate in other source",IF(SUMIFS('App Data'!$M$2:$M$1001,'App Data'!$L$2:$L$1001,SUBSTITUTE(SUBSTITUTE(SUBSTITUTE(L909,"~","~~"),"*","~*"),"?","~?"))&lt;&gt;1,"Other amount is invalid",IF(J909&lt;&gt;0,"Amount differs","Matched")))))))</x:f>
      </x:c>
      <x:c r="L909" t="str">
        <x:f>IF(COUNTA(A909:F909)=0,"",LEN(A909)&amp;":"&amp;A909&amp;LEN(B909)&amp;":"&amp;B909&amp;LEN(C909)&amp;":"&amp;C909&amp;LEN(D909)&amp;":"&amp;D909)</x:f>
      </x:c>
      <x:c r="M909" t="str">
        <x:f>IF(COUNTA(A909:F909)=0,"",IF(ISNUMBER(E909),1,0))</x:f>
      </x:c>
    </x:row>
    <x:row r="910">
      <x:c r="A910" s="11"/>
      <x:c r="B910" s="11"/>
      <x:c r="C910" s="11"/>
      <x:c r="D910" s="11"/>
      <x:c r="E910" s="12"/>
      <x:c r="F910" s="10"/>
      <x:c r="G910" s="2" t="str">
        <x:f>IF(COUNTA(A910:F910)=0,"",COUNTIFS('External Data'!$L$2:$L$1001,SUBSTITUTE(SUBSTITUTE(SUBSTITUTE(L910,"~","~~"),"*","~*"),"?","~?")))</x:f>
      </x:c>
      <x:c r="H910" s="2" t="str">
        <x:f>IF(COUNTA(A910:F910)=0,"",COUNTIFS('App Data'!$L$2:$L$1001,SUBSTITUTE(SUBSTITUTE(SUBSTITUTE(L910,"~","~~"),"*","~*"),"?","~?")))</x:f>
      </x:c>
      <x:c r="I910" s="13" t="str">
        <x:f>IF(OR(H910&lt;&gt;1,G910&lt;&gt;1),"",SUMIFS('App Data'!$E$2:$E$1001,'App Data'!$L$2:$L$1001,SUBSTITUTE(SUBSTITUTE(SUBSTITUTE(L910,"~","~~"),"*","~*"),"?","~?")))</x:f>
      </x:c>
      <x:c r="J910" s="13" t="str">
        <x:f>IF(OR(NOT(ISNUMBER(E910)),NOT(ISNUMBER(I910))),"",ROUND(E910-I910,2))</x:f>
      </x:c>
      <x:c r="K910" s="2" t="str">
        <x:f>IF(COUNTA(A910:F910)=0,"",IF(OR(A910="",B910="",C910="",D910="",NOT(ISNUMBER(E910))),"Missing / invalid input",IF(G910&gt;1,"Duplicate key in this source",IF(H910=0,"Missing in other source",IF(H910&gt;1,"Duplicate in other source",IF(SUMIFS('App Data'!$M$2:$M$1001,'App Data'!$L$2:$L$1001,SUBSTITUTE(SUBSTITUTE(SUBSTITUTE(L910,"~","~~"),"*","~*"),"?","~?"))&lt;&gt;1,"Other amount is invalid",IF(J910&lt;&gt;0,"Amount differs","Matched")))))))</x:f>
      </x:c>
      <x:c r="L910" t="str">
        <x:f>IF(COUNTA(A910:F910)=0,"",LEN(A910)&amp;":"&amp;A910&amp;LEN(B910)&amp;":"&amp;B910&amp;LEN(C910)&amp;":"&amp;C910&amp;LEN(D910)&amp;":"&amp;D910)</x:f>
      </x:c>
      <x:c r="M910" t="str">
        <x:f>IF(COUNTA(A910:F910)=0,"",IF(ISNUMBER(E910),1,0))</x:f>
      </x:c>
    </x:row>
    <x:row r="911">
      <x:c r="A911" s="11"/>
      <x:c r="B911" s="11"/>
      <x:c r="C911" s="11"/>
      <x:c r="D911" s="11"/>
      <x:c r="E911" s="12"/>
      <x:c r="F911" s="10"/>
      <x:c r="G911" s="2" t="str">
        <x:f>IF(COUNTA(A911:F911)=0,"",COUNTIFS('External Data'!$L$2:$L$1001,SUBSTITUTE(SUBSTITUTE(SUBSTITUTE(L911,"~","~~"),"*","~*"),"?","~?")))</x:f>
      </x:c>
      <x:c r="H911" s="2" t="str">
        <x:f>IF(COUNTA(A911:F911)=0,"",COUNTIFS('App Data'!$L$2:$L$1001,SUBSTITUTE(SUBSTITUTE(SUBSTITUTE(L911,"~","~~"),"*","~*"),"?","~?")))</x:f>
      </x:c>
      <x:c r="I911" s="13" t="str">
        <x:f>IF(OR(H911&lt;&gt;1,G911&lt;&gt;1),"",SUMIFS('App Data'!$E$2:$E$1001,'App Data'!$L$2:$L$1001,SUBSTITUTE(SUBSTITUTE(SUBSTITUTE(L911,"~","~~"),"*","~*"),"?","~?")))</x:f>
      </x:c>
      <x:c r="J911" s="13" t="str">
        <x:f>IF(OR(NOT(ISNUMBER(E911)),NOT(ISNUMBER(I911))),"",ROUND(E911-I911,2))</x:f>
      </x:c>
      <x:c r="K911" s="2" t="str">
        <x:f>IF(COUNTA(A911:F911)=0,"",IF(OR(A911="",B911="",C911="",D911="",NOT(ISNUMBER(E911))),"Missing / invalid input",IF(G911&gt;1,"Duplicate key in this source",IF(H911=0,"Missing in other source",IF(H911&gt;1,"Duplicate in other source",IF(SUMIFS('App Data'!$M$2:$M$1001,'App Data'!$L$2:$L$1001,SUBSTITUTE(SUBSTITUTE(SUBSTITUTE(L911,"~","~~"),"*","~*"),"?","~?"))&lt;&gt;1,"Other amount is invalid",IF(J911&lt;&gt;0,"Amount differs","Matched")))))))</x:f>
      </x:c>
      <x:c r="L911" t="str">
        <x:f>IF(COUNTA(A911:F911)=0,"",LEN(A911)&amp;":"&amp;A911&amp;LEN(B911)&amp;":"&amp;B911&amp;LEN(C911)&amp;":"&amp;C911&amp;LEN(D911)&amp;":"&amp;D911)</x:f>
      </x:c>
      <x:c r="M911" t="str">
        <x:f>IF(COUNTA(A911:F911)=0,"",IF(ISNUMBER(E911),1,0))</x:f>
      </x:c>
    </x:row>
    <x:row r="912">
      <x:c r="A912" s="11"/>
      <x:c r="B912" s="11"/>
      <x:c r="C912" s="11"/>
      <x:c r="D912" s="11"/>
      <x:c r="E912" s="12"/>
      <x:c r="F912" s="10"/>
      <x:c r="G912" s="2" t="str">
        <x:f>IF(COUNTA(A912:F912)=0,"",COUNTIFS('External Data'!$L$2:$L$1001,SUBSTITUTE(SUBSTITUTE(SUBSTITUTE(L912,"~","~~"),"*","~*"),"?","~?")))</x:f>
      </x:c>
      <x:c r="H912" s="2" t="str">
        <x:f>IF(COUNTA(A912:F912)=0,"",COUNTIFS('App Data'!$L$2:$L$1001,SUBSTITUTE(SUBSTITUTE(SUBSTITUTE(L912,"~","~~"),"*","~*"),"?","~?")))</x:f>
      </x:c>
      <x:c r="I912" s="13" t="str">
        <x:f>IF(OR(H912&lt;&gt;1,G912&lt;&gt;1),"",SUMIFS('App Data'!$E$2:$E$1001,'App Data'!$L$2:$L$1001,SUBSTITUTE(SUBSTITUTE(SUBSTITUTE(L912,"~","~~"),"*","~*"),"?","~?")))</x:f>
      </x:c>
      <x:c r="J912" s="13" t="str">
        <x:f>IF(OR(NOT(ISNUMBER(E912)),NOT(ISNUMBER(I912))),"",ROUND(E912-I912,2))</x:f>
      </x:c>
      <x:c r="K912" s="2" t="str">
        <x:f>IF(COUNTA(A912:F912)=0,"",IF(OR(A912="",B912="",C912="",D912="",NOT(ISNUMBER(E912))),"Missing / invalid input",IF(G912&gt;1,"Duplicate key in this source",IF(H912=0,"Missing in other source",IF(H912&gt;1,"Duplicate in other source",IF(SUMIFS('App Data'!$M$2:$M$1001,'App Data'!$L$2:$L$1001,SUBSTITUTE(SUBSTITUTE(SUBSTITUTE(L912,"~","~~"),"*","~*"),"?","~?"))&lt;&gt;1,"Other amount is invalid",IF(J912&lt;&gt;0,"Amount differs","Matched")))))))</x:f>
      </x:c>
      <x:c r="L912" t="str">
        <x:f>IF(COUNTA(A912:F912)=0,"",LEN(A912)&amp;":"&amp;A912&amp;LEN(B912)&amp;":"&amp;B912&amp;LEN(C912)&amp;":"&amp;C912&amp;LEN(D912)&amp;":"&amp;D912)</x:f>
      </x:c>
      <x:c r="M912" t="str">
        <x:f>IF(COUNTA(A912:F912)=0,"",IF(ISNUMBER(E912),1,0))</x:f>
      </x:c>
    </x:row>
    <x:row r="913">
      <x:c r="A913" s="11"/>
      <x:c r="B913" s="11"/>
      <x:c r="C913" s="11"/>
      <x:c r="D913" s="11"/>
      <x:c r="E913" s="12"/>
      <x:c r="F913" s="10"/>
      <x:c r="G913" s="2" t="str">
        <x:f>IF(COUNTA(A913:F913)=0,"",COUNTIFS('External Data'!$L$2:$L$1001,SUBSTITUTE(SUBSTITUTE(SUBSTITUTE(L913,"~","~~"),"*","~*"),"?","~?")))</x:f>
      </x:c>
      <x:c r="H913" s="2" t="str">
        <x:f>IF(COUNTA(A913:F913)=0,"",COUNTIFS('App Data'!$L$2:$L$1001,SUBSTITUTE(SUBSTITUTE(SUBSTITUTE(L913,"~","~~"),"*","~*"),"?","~?")))</x:f>
      </x:c>
      <x:c r="I913" s="13" t="str">
        <x:f>IF(OR(H913&lt;&gt;1,G913&lt;&gt;1),"",SUMIFS('App Data'!$E$2:$E$1001,'App Data'!$L$2:$L$1001,SUBSTITUTE(SUBSTITUTE(SUBSTITUTE(L913,"~","~~"),"*","~*"),"?","~?")))</x:f>
      </x:c>
      <x:c r="J913" s="13" t="str">
        <x:f>IF(OR(NOT(ISNUMBER(E913)),NOT(ISNUMBER(I913))),"",ROUND(E913-I913,2))</x:f>
      </x:c>
      <x:c r="K913" s="2" t="str">
        <x:f>IF(COUNTA(A913:F913)=0,"",IF(OR(A913="",B913="",C913="",D913="",NOT(ISNUMBER(E913))),"Missing / invalid input",IF(G913&gt;1,"Duplicate key in this source",IF(H913=0,"Missing in other source",IF(H913&gt;1,"Duplicate in other source",IF(SUMIFS('App Data'!$M$2:$M$1001,'App Data'!$L$2:$L$1001,SUBSTITUTE(SUBSTITUTE(SUBSTITUTE(L913,"~","~~"),"*","~*"),"?","~?"))&lt;&gt;1,"Other amount is invalid",IF(J913&lt;&gt;0,"Amount differs","Matched")))))))</x:f>
      </x:c>
      <x:c r="L913" t="str">
        <x:f>IF(COUNTA(A913:F913)=0,"",LEN(A913)&amp;":"&amp;A913&amp;LEN(B913)&amp;":"&amp;B913&amp;LEN(C913)&amp;":"&amp;C913&amp;LEN(D913)&amp;":"&amp;D913)</x:f>
      </x:c>
      <x:c r="M913" t="str">
        <x:f>IF(COUNTA(A913:F913)=0,"",IF(ISNUMBER(E913),1,0))</x:f>
      </x:c>
    </x:row>
    <x:row r="914">
      <x:c r="A914" s="11"/>
      <x:c r="B914" s="11"/>
      <x:c r="C914" s="11"/>
      <x:c r="D914" s="11"/>
      <x:c r="E914" s="12"/>
      <x:c r="F914" s="10"/>
      <x:c r="G914" s="2" t="str">
        <x:f>IF(COUNTA(A914:F914)=0,"",COUNTIFS('External Data'!$L$2:$L$1001,SUBSTITUTE(SUBSTITUTE(SUBSTITUTE(L914,"~","~~"),"*","~*"),"?","~?")))</x:f>
      </x:c>
      <x:c r="H914" s="2" t="str">
        <x:f>IF(COUNTA(A914:F914)=0,"",COUNTIFS('App Data'!$L$2:$L$1001,SUBSTITUTE(SUBSTITUTE(SUBSTITUTE(L914,"~","~~"),"*","~*"),"?","~?")))</x:f>
      </x:c>
      <x:c r="I914" s="13" t="str">
        <x:f>IF(OR(H914&lt;&gt;1,G914&lt;&gt;1),"",SUMIFS('App Data'!$E$2:$E$1001,'App Data'!$L$2:$L$1001,SUBSTITUTE(SUBSTITUTE(SUBSTITUTE(L914,"~","~~"),"*","~*"),"?","~?")))</x:f>
      </x:c>
      <x:c r="J914" s="13" t="str">
        <x:f>IF(OR(NOT(ISNUMBER(E914)),NOT(ISNUMBER(I914))),"",ROUND(E914-I914,2))</x:f>
      </x:c>
      <x:c r="K914" s="2" t="str">
        <x:f>IF(COUNTA(A914:F914)=0,"",IF(OR(A914="",B914="",C914="",D914="",NOT(ISNUMBER(E914))),"Missing / invalid input",IF(G914&gt;1,"Duplicate key in this source",IF(H914=0,"Missing in other source",IF(H914&gt;1,"Duplicate in other source",IF(SUMIFS('App Data'!$M$2:$M$1001,'App Data'!$L$2:$L$1001,SUBSTITUTE(SUBSTITUTE(SUBSTITUTE(L914,"~","~~"),"*","~*"),"?","~?"))&lt;&gt;1,"Other amount is invalid",IF(J914&lt;&gt;0,"Amount differs","Matched")))))))</x:f>
      </x:c>
      <x:c r="L914" t="str">
        <x:f>IF(COUNTA(A914:F914)=0,"",LEN(A914)&amp;":"&amp;A914&amp;LEN(B914)&amp;":"&amp;B914&amp;LEN(C914)&amp;":"&amp;C914&amp;LEN(D914)&amp;":"&amp;D914)</x:f>
      </x:c>
      <x:c r="M914" t="str">
        <x:f>IF(COUNTA(A914:F914)=0,"",IF(ISNUMBER(E914),1,0))</x:f>
      </x:c>
    </x:row>
    <x:row r="915">
      <x:c r="A915" s="11"/>
      <x:c r="B915" s="11"/>
      <x:c r="C915" s="11"/>
      <x:c r="D915" s="11"/>
      <x:c r="E915" s="12"/>
      <x:c r="F915" s="10"/>
      <x:c r="G915" s="2" t="str">
        <x:f>IF(COUNTA(A915:F915)=0,"",COUNTIFS('External Data'!$L$2:$L$1001,SUBSTITUTE(SUBSTITUTE(SUBSTITUTE(L915,"~","~~"),"*","~*"),"?","~?")))</x:f>
      </x:c>
      <x:c r="H915" s="2" t="str">
        <x:f>IF(COUNTA(A915:F915)=0,"",COUNTIFS('App Data'!$L$2:$L$1001,SUBSTITUTE(SUBSTITUTE(SUBSTITUTE(L915,"~","~~"),"*","~*"),"?","~?")))</x:f>
      </x:c>
      <x:c r="I915" s="13" t="str">
        <x:f>IF(OR(H915&lt;&gt;1,G915&lt;&gt;1),"",SUMIFS('App Data'!$E$2:$E$1001,'App Data'!$L$2:$L$1001,SUBSTITUTE(SUBSTITUTE(SUBSTITUTE(L915,"~","~~"),"*","~*"),"?","~?")))</x:f>
      </x:c>
      <x:c r="J915" s="13" t="str">
        <x:f>IF(OR(NOT(ISNUMBER(E915)),NOT(ISNUMBER(I915))),"",ROUND(E915-I915,2))</x:f>
      </x:c>
      <x:c r="K915" s="2" t="str">
        <x:f>IF(COUNTA(A915:F915)=0,"",IF(OR(A915="",B915="",C915="",D915="",NOT(ISNUMBER(E915))),"Missing / invalid input",IF(G915&gt;1,"Duplicate key in this source",IF(H915=0,"Missing in other source",IF(H915&gt;1,"Duplicate in other source",IF(SUMIFS('App Data'!$M$2:$M$1001,'App Data'!$L$2:$L$1001,SUBSTITUTE(SUBSTITUTE(SUBSTITUTE(L915,"~","~~"),"*","~*"),"?","~?"))&lt;&gt;1,"Other amount is invalid",IF(J915&lt;&gt;0,"Amount differs","Matched")))))))</x:f>
      </x:c>
      <x:c r="L915" t="str">
        <x:f>IF(COUNTA(A915:F915)=0,"",LEN(A915)&amp;":"&amp;A915&amp;LEN(B915)&amp;":"&amp;B915&amp;LEN(C915)&amp;":"&amp;C915&amp;LEN(D915)&amp;":"&amp;D915)</x:f>
      </x:c>
      <x:c r="M915" t="str">
        <x:f>IF(COUNTA(A915:F915)=0,"",IF(ISNUMBER(E915),1,0))</x:f>
      </x:c>
    </x:row>
    <x:row r="916">
      <x:c r="A916" s="11"/>
      <x:c r="B916" s="11"/>
      <x:c r="C916" s="11"/>
      <x:c r="D916" s="11"/>
      <x:c r="E916" s="12"/>
      <x:c r="F916" s="10"/>
      <x:c r="G916" s="2" t="str">
        <x:f>IF(COUNTA(A916:F916)=0,"",COUNTIFS('External Data'!$L$2:$L$1001,SUBSTITUTE(SUBSTITUTE(SUBSTITUTE(L916,"~","~~"),"*","~*"),"?","~?")))</x:f>
      </x:c>
      <x:c r="H916" s="2" t="str">
        <x:f>IF(COUNTA(A916:F916)=0,"",COUNTIFS('App Data'!$L$2:$L$1001,SUBSTITUTE(SUBSTITUTE(SUBSTITUTE(L916,"~","~~"),"*","~*"),"?","~?")))</x:f>
      </x:c>
      <x:c r="I916" s="13" t="str">
        <x:f>IF(OR(H916&lt;&gt;1,G916&lt;&gt;1),"",SUMIFS('App Data'!$E$2:$E$1001,'App Data'!$L$2:$L$1001,SUBSTITUTE(SUBSTITUTE(SUBSTITUTE(L916,"~","~~"),"*","~*"),"?","~?")))</x:f>
      </x:c>
      <x:c r="J916" s="13" t="str">
        <x:f>IF(OR(NOT(ISNUMBER(E916)),NOT(ISNUMBER(I916))),"",ROUND(E916-I916,2))</x:f>
      </x:c>
      <x:c r="K916" s="2" t="str">
        <x:f>IF(COUNTA(A916:F916)=0,"",IF(OR(A916="",B916="",C916="",D916="",NOT(ISNUMBER(E916))),"Missing / invalid input",IF(G916&gt;1,"Duplicate key in this source",IF(H916=0,"Missing in other source",IF(H916&gt;1,"Duplicate in other source",IF(SUMIFS('App Data'!$M$2:$M$1001,'App Data'!$L$2:$L$1001,SUBSTITUTE(SUBSTITUTE(SUBSTITUTE(L916,"~","~~"),"*","~*"),"?","~?"))&lt;&gt;1,"Other amount is invalid",IF(J916&lt;&gt;0,"Amount differs","Matched")))))))</x:f>
      </x:c>
      <x:c r="L916" t="str">
        <x:f>IF(COUNTA(A916:F916)=0,"",LEN(A916)&amp;":"&amp;A916&amp;LEN(B916)&amp;":"&amp;B916&amp;LEN(C916)&amp;":"&amp;C916&amp;LEN(D916)&amp;":"&amp;D916)</x:f>
      </x:c>
      <x:c r="M916" t="str">
        <x:f>IF(COUNTA(A916:F916)=0,"",IF(ISNUMBER(E916),1,0))</x:f>
      </x:c>
    </x:row>
    <x:row r="917">
      <x:c r="A917" s="11"/>
      <x:c r="B917" s="11"/>
      <x:c r="C917" s="11"/>
      <x:c r="D917" s="11"/>
      <x:c r="E917" s="12"/>
      <x:c r="F917" s="10"/>
      <x:c r="G917" s="2" t="str">
        <x:f>IF(COUNTA(A917:F917)=0,"",COUNTIFS('External Data'!$L$2:$L$1001,SUBSTITUTE(SUBSTITUTE(SUBSTITUTE(L917,"~","~~"),"*","~*"),"?","~?")))</x:f>
      </x:c>
      <x:c r="H917" s="2" t="str">
        <x:f>IF(COUNTA(A917:F917)=0,"",COUNTIFS('App Data'!$L$2:$L$1001,SUBSTITUTE(SUBSTITUTE(SUBSTITUTE(L917,"~","~~"),"*","~*"),"?","~?")))</x:f>
      </x:c>
      <x:c r="I917" s="13" t="str">
        <x:f>IF(OR(H917&lt;&gt;1,G917&lt;&gt;1),"",SUMIFS('App Data'!$E$2:$E$1001,'App Data'!$L$2:$L$1001,SUBSTITUTE(SUBSTITUTE(SUBSTITUTE(L917,"~","~~"),"*","~*"),"?","~?")))</x:f>
      </x:c>
      <x:c r="J917" s="13" t="str">
        <x:f>IF(OR(NOT(ISNUMBER(E917)),NOT(ISNUMBER(I917))),"",ROUND(E917-I917,2))</x:f>
      </x:c>
      <x:c r="K917" s="2" t="str">
        <x:f>IF(COUNTA(A917:F917)=0,"",IF(OR(A917="",B917="",C917="",D917="",NOT(ISNUMBER(E917))),"Missing / invalid input",IF(G917&gt;1,"Duplicate key in this source",IF(H917=0,"Missing in other source",IF(H917&gt;1,"Duplicate in other source",IF(SUMIFS('App Data'!$M$2:$M$1001,'App Data'!$L$2:$L$1001,SUBSTITUTE(SUBSTITUTE(SUBSTITUTE(L917,"~","~~"),"*","~*"),"?","~?"))&lt;&gt;1,"Other amount is invalid",IF(J917&lt;&gt;0,"Amount differs","Matched")))))))</x:f>
      </x:c>
      <x:c r="L917" t="str">
        <x:f>IF(COUNTA(A917:F917)=0,"",LEN(A917)&amp;":"&amp;A917&amp;LEN(B917)&amp;":"&amp;B917&amp;LEN(C917)&amp;":"&amp;C917&amp;LEN(D917)&amp;":"&amp;D917)</x:f>
      </x:c>
      <x:c r="M917" t="str">
        <x:f>IF(COUNTA(A917:F917)=0,"",IF(ISNUMBER(E917),1,0))</x:f>
      </x:c>
    </x:row>
    <x:row r="918">
      <x:c r="A918" s="11"/>
      <x:c r="B918" s="11"/>
      <x:c r="C918" s="11"/>
      <x:c r="D918" s="11"/>
      <x:c r="E918" s="12"/>
      <x:c r="F918" s="10"/>
      <x:c r="G918" s="2" t="str">
        <x:f>IF(COUNTA(A918:F918)=0,"",COUNTIFS('External Data'!$L$2:$L$1001,SUBSTITUTE(SUBSTITUTE(SUBSTITUTE(L918,"~","~~"),"*","~*"),"?","~?")))</x:f>
      </x:c>
      <x:c r="H918" s="2" t="str">
        <x:f>IF(COUNTA(A918:F918)=0,"",COUNTIFS('App Data'!$L$2:$L$1001,SUBSTITUTE(SUBSTITUTE(SUBSTITUTE(L918,"~","~~"),"*","~*"),"?","~?")))</x:f>
      </x:c>
      <x:c r="I918" s="13" t="str">
        <x:f>IF(OR(H918&lt;&gt;1,G918&lt;&gt;1),"",SUMIFS('App Data'!$E$2:$E$1001,'App Data'!$L$2:$L$1001,SUBSTITUTE(SUBSTITUTE(SUBSTITUTE(L918,"~","~~"),"*","~*"),"?","~?")))</x:f>
      </x:c>
      <x:c r="J918" s="13" t="str">
        <x:f>IF(OR(NOT(ISNUMBER(E918)),NOT(ISNUMBER(I918))),"",ROUND(E918-I918,2))</x:f>
      </x:c>
      <x:c r="K918" s="2" t="str">
        <x:f>IF(COUNTA(A918:F918)=0,"",IF(OR(A918="",B918="",C918="",D918="",NOT(ISNUMBER(E918))),"Missing / invalid input",IF(G918&gt;1,"Duplicate key in this source",IF(H918=0,"Missing in other source",IF(H918&gt;1,"Duplicate in other source",IF(SUMIFS('App Data'!$M$2:$M$1001,'App Data'!$L$2:$L$1001,SUBSTITUTE(SUBSTITUTE(SUBSTITUTE(L918,"~","~~"),"*","~*"),"?","~?"))&lt;&gt;1,"Other amount is invalid",IF(J918&lt;&gt;0,"Amount differs","Matched")))))))</x:f>
      </x:c>
      <x:c r="L918" t="str">
        <x:f>IF(COUNTA(A918:F918)=0,"",LEN(A918)&amp;":"&amp;A918&amp;LEN(B918)&amp;":"&amp;B918&amp;LEN(C918)&amp;":"&amp;C918&amp;LEN(D918)&amp;":"&amp;D918)</x:f>
      </x:c>
      <x:c r="M918" t="str">
        <x:f>IF(COUNTA(A918:F918)=0,"",IF(ISNUMBER(E918),1,0))</x:f>
      </x:c>
    </x:row>
    <x:row r="919">
      <x:c r="A919" s="11"/>
      <x:c r="B919" s="11"/>
      <x:c r="C919" s="11"/>
      <x:c r="D919" s="11"/>
      <x:c r="E919" s="12"/>
      <x:c r="F919" s="10"/>
      <x:c r="G919" s="2" t="str">
        <x:f>IF(COUNTA(A919:F919)=0,"",COUNTIFS('External Data'!$L$2:$L$1001,SUBSTITUTE(SUBSTITUTE(SUBSTITUTE(L919,"~","~~"),"*","~*"),"?","~?")))</x:f>
      </x:c>
      <x:c r="H919" s="2" t="str">
        <x:f>IF(COUNTA(A919:F919)=0,"",COUNTIFS('App Data'!$L$2:$L$1001,SUBSTITUTE(SUBSTITUTE(SUBSTITUTE(L919,"~","~~"),"*","~*"),"?","~?")))</x:f>
      </x:c>
      <x:c r="I919" s="13" t="str">
        <x:f>IF(OR(H919&lt;&gt;1,G919&lt;&gt;1),"",SUMIFS('App Data'!$E$2:$E$1001,'App Data'!$L$2:$L$1001,SUBSTITUTE(SUBSTITUTE(SUBSTITUTE(L919,"~","~~"),"*","~*"),"?","~?")))</x:f>
      </x:c>
      <x:c r="J919" s="13" t="str">
        <x:f>IF(OR(NOT(ISNUMBER(E919)),NOT(ISNUMBER(I919))),"",ROUND(E919-I919,2))</x:f>
      </x:c>
      <x:c r="K919" s="2" t="str">
        <x:f>IF(COUNTA(A919:F919)=0,"",IF(OR(A919="",B919="",C919="",D919="",NOT(ISNUMBER(E919))),"Missing / invalid input",IF(G919&gt;1,"Duplicate key in this source",IF(H919=0,"Missing in other source",IF(H919&gt;1,"Duplicate in other source",IF(SUMIFS('App Data'!$M$2:$M$1001,'App Data'!$L$2:$L$1001,SUBSTITUTE(SUBSTITUTE(SUBSTITUTE(L919,"~","~~"),"*","~*"),"?","~?"))&lt;&gt;1,"Other amount is invalid",IF(J919&lt;&gt;0,"Amount differs","Matched")))))))</x:f>
      </x:c>
      <x:c r="L919" t="str">
        <x:f>IF(COUNTA(A919:F919)=0,"",LEN(A919)&amp;":"&amp;A919&amp;LEN(B919)&amp;":"&amp;B919&amp;LEN(C919)&amp;":"&amp;C919&amp;LEN(D919)&amp;":"&amp;D919)</x:f>
      </x:c>
      <x:c r="M919" t="str">
        <x:f>IF(COUNTA(A919:F919)=0,"",IF(ISNUMBER(E919),1,0))</x:f>
      </x:c>
    </x:row>
    <x:row r="920">
      <x:c r="A920" s="11"/>
      <x:c r="B920" s="11"/>
      <x:c r="C920" s="11"/>
      <x:c r="D920" s="11"/>
      <x:c r="E920" s="12"/>
      <x:c r="F920" s="10"/>
      <x:c r="G920" s="2" t="str">
        <x:f>IF(COUNTA(A920:F920)=0,"",COUNTIFS('External Data'!$L$2:$L$1001,SUBSTITUTE(SUBSTITUTE(SUBSTITUTE(L920,"~","~~"),"*","~*"),"?","~?")))</x:f>
      </x:c>
      <x:c r="H920" s="2" t="str">
        <x:f>IF(COUNTA(A920:F920)=0,"",COUNTIFS('App Data'!$L$2:$L$1001,SUBSTITUTE(SUBSTITUTE(SUBSTITUTE(L920,"~","~~"),"*","~*"),"?","~?")))</x:f>
      </x:c>
      <x:c r="I920" s="13" t="str">
        <x:f>IF(OR(H920&lt;&gt;1,G920&lt;&gt;1),"",SUMIFS('App Data'!$E$2:$E$1001,'App Data'!$L$2:$L$1001,SUBSTITUTE(SUBSTITUTE(SUBSTITUTE(L920,"~","~~"),"*","~*"),"?","~?")))</x:f>
      </x:c>
      <x:c r="J920" s="13" t="str">
        <x:f>IF(OR(NOT(ISNUMBER(E920)),NOT(ISNUMBER(I920))),"",ROUND(E920-I920,2))</x:f>
      </x:c>
      <x:c r="K920" s="2" t="str">
        <x:f>IF(COUNTA(A920:F920)=0,"",IF(OR(A920="",B920="",C920="",D920="",NOT(ISNUMBER(E920))),"Missing / invalid input",IF(G920&gt;1,"Duplicate key in this source",IF(H920=0,"Missing in other source",IF(H920&gt;1,"Duplicate in other source",IF(SUMIFS('App Data'!$M$2:$M$1001,'App Data'!$L$2:$L$1001,SUBSTITUTE(SUBSTITUTE(SUBSTITUTE(L920,"~","~~"),"*","~*"),"?","~?"))&lt;&gt;1,"Other amount is invalid",IF(J920&lt;&gt;0,"Amount differs","Matched")))))))</x:f>
      </x:c>
      <x:c r="L920" t="str">
        <x:f>IF(COUNTA(A920:F920)=0,"",LEN(A920)&amp;":"&amp;A920&amp;LEN(B920)&amp;":"&amp;B920&amp;LEN(C920)&amp;":"&amp;C920&amp;LEN(D920)&amp;":"&amp;D920)</x:f>
      </x:c>
      <x:c r="M920" t="str">
        <x:f>IF(COUNTA(A920:F920)=0,"",IF(ISNUMBER(E920),1,0))</x:f>
      </x:c>
    </x:row>
    <x:row r="921">
      <x:c r="A921" s="11"/>
      <x:c r="B921" s="11"/>
      <x:c r="C921" s="11"/>
      <x:c r="D921" s="11"/>
      <x:c r="E921" s="12"/>
      <x:c r="F921" s="10"/>
      <x:c r="G921" s="2" t="str">
        <x:f>IF(COUNTA(A921:F921)=0,"",COUNTIFS('External Data'!$L$2:$L$1001,SUBSTITUTE(SUBSTITUTE(SUBSTITUTE(L921,"~","~~"),"*","~*"),"?","~?")))</x:f>
      </x:c>
      <x:c r="H921" s="2" t="str">
        <x:f>IF(COUNTA(A921:F921)=0,"",COUNTIFS('App Data'!$L$2:$L$1001,SUBSTITUTE(SUBSTITUTE(SUBSTITUTE(L921,"~","~~"),"*","~*"),"?","~?")))</x:f>
      </x:c>
      <x:c r="I921" s="13" t="str">
        <x:f>IF(OR(H921&lt;&gt;1,G921&lt;&gt;1),"",SUMIFS('App Data'!$E$2:$E$1001,'App Data'!$L$2:$L$1001,SUBSTITUTE(SUBSTITUTE(SUBSTITUTE(L921,"~","~~"),"*","~*"),"?","~?")))</x:f>
      </x:c>
      <x:c r="J921" s="13" t="str">
        <x:f>IF(OR(NOT(ISNUMBER(E921)),NOT(ISNUMBER(I921))),"",ROUND(E921-I921,2))</x:f>
      </x:c>
      <x:c r="K921" s="2" t="str">
        <x:f>IF(COUNTA(A921:F921)=0,"",IF(OR(A921="",B921="",C921="",D921="",NOT(ISNUMBER(E921))),"Missing / invalid input",IF(G921&gt;1,"Duplicate key in this source",IF(H921=0,"Missing in other source",IF(H921&gt;1,"Duplicate in other source",IF(SUMIFS('App Data'!$M$2:$M$1001,'App Data'!$L$2:$L$1001,SUBSTITUTE(SUBSTITUTE(SUBSTITUTE(L921,"~","~~"),"*","~*"),"?","~?"))&lt;&gt;1,"Other amount is invalid",IF(J921&lt;&gt;0,"Amount differs","Matched")))))))</x:f>
      </x:c>
      <x:c r="L921" t="str">
        <x:f>IF(COUNTA(A921:F921)=0,"",LEN(A921)&amp;":"&amp;A921&amp;LEN(B921)&amp;":"&amp;B921&amp;LEN(C921)&amp;":"&amp;C921&amp;LEN(D921)&amp;":"&amp;D921)</x:f>
      </x:c>
      <x:c r="M921" t="str">
        <x:f>IF(COUNTA(A921:F921)=0,"",IF(ISNUMBER(E921),1,0))</x:f>
      </x:c>
    </x:row>
    <x:row r="922">
      <x:c r="A922" s="11"/>
      <x:c r="B922" s="11"/>
      <x:c r="C922" s="11"/>
      <x:c r="D922" s="11"/>
      <x:c r="E922" s="12"/>
      <x:c r="F922" s="10"/>
      <x:c r="G922" s="2" t="str">
        <x:f>IF(COUNTA(A922:F922)=0,"",COUNTIFS('External Data'!$L$2:$L$1001,SUBSTITUTE(SUBSTITUTE(SUBSTITUTE(L922,"~","~~"),"*","~*"),"?","~?")))</x:f>
      </x:c>
      <x:c r="H922" s="2" t="str">
        <x:f>IF(COUNTA(A922:F922)=0,"",COUNTIFS('App Data'!$L$2:$L$1001,SUBSTITUTE(SUBSTITUTE(SUBSTITUTE(L922,"~","~~"),"*","~*"),"?","~?")))</x:f>
      </x:c>
      <x:c r="I922" s="13" t="str">
        <x:f>IF(OR(H922&lt;&gt;1,G922&lt;&gt;1),"",SUMIFS('App Data'!$E$2:$E$1001,'App Data'!$L$2:$L$1001,SUBSTITUTE(SUBSTITUTE(SUBSTITUTE(L922,"~","~~"),"*","~*"),"?","~?")))</x:f>
      </x:c>
      <x:c r="J922" s="13" t="str">
        <x:f>IF(OR(NOT(ISNUMBER(E922)),NOT(ISNUMBER(I922))),"",ROUND(E922-I922,2))</x:f>
      </x:c>
      <x:c r="K922" s="2" t="str">
        <x:f>IF(COUNTA(A922:F922)=0,"",IF(OR(A922="",B922="",C922="",D922="",NOT(ISNUMBER(E922))),"Missing / invalid input",IF(G922&gt;1,"Duplicate key in this source",IF(H922=0,"Missing in other source",IF(H922&gt;1,"Duplicate in other source",IF(SUMIFS('App Data'!$M$2:$M$1001,'App Data'!$L$2:$L$1001,SUBSTITUTE(SUBSTITUTE(SUBSTITUTE(L922,"~","~~"),"*","~*"),"?","~?"))&lt;&gt;1,"Other amount is invalid",IF(J922&lt;&gt;0,"Amount differs","Matched")))))))</x:f>
      </x:c>
      <x:c r="L922" t="str">
        <x:f>IF(COUNTA(A922:F922)=0,"",LEN(A922)&amp;":"&amp;A922&amp;LEN(B922)&amp;":"&amp;B922&amp;LEN(C922)&amp;":"&amp;C922&amp;LEN(D922)&amp;":"&amp;D922)</x:f>
      </x:c>
      <x:c r="M922" t="str">
        <x:f>IF(COUNTA(A922:F922)=0,"",IF(ISNUMBER(E922),1,0))</x:f>
      </x:c>
    </x:row>
    <x:row r="923">
      <x:c r="A923" s="11"/>
      <x:c r="B923" s="11"/>
      <x:c r="C923" s="11"/>
      <x:c r="D923" s="11"/>
      <x:c r="E923" s="12"/>
      <x:c r="F923" s="10"/>
      <x:c r="G923" s="2" t="str">
        <x:f>IF(COUNTA(A923:F923)=0,"",COUNTIFS('External Data'!$L$2:$L$1001,SUBSTITUTE(SUBSTITUTE(SUBSTITUTE(L923,"~","~~"),"*","~*"),"?","~?")))</x:f>
      </x:c>
      <x:c r="H923" s="2" t="str">
        <x:f>IF(COUNTA(A923:F923)=0,"",COUNTIFS('App Data'!$L$2:$L$1001,SUBSTITUTE(SUBSTITUTE(SUBSTITUTE(L923,"~","~~"),"*","~*"),"?","~?")))</x:f>
      </x:c>
      <x:c r="I923" s="13" t="str">
        <x:f>IF(OR(H923&lt;&gt;1,G923&lt;&gt;1),"",SUMIFS('App Data'!$E$2:$E$1001,'App Data'!$L$2:$L$1001,SUBSTITUTE(SUBSTITUTE(SUBSTITUTE(L923,"~","~~"),"*","~*"),"?","~?")))</x:f>
      </x:c>
      <x:c r="J923" s="13" t="str">
        <x:f>IF(OR(NOT(ISNUMBER(E923)),NOT(ISNUMBER(I923))),"",ROUND(E923-I923,2))</x:f>
      </x:c>
      <x:c r="K923" s="2" t="str">
        <x:f>IF(COUNTA(A923:F923)=0,"",IF(OR(A923="",B923="",C923="",D923="",NOT(ISNUMBER(E923))),"Missing / invalid input",IF(G923&gt;1,"Duplicate key in this source",IF(H923=0,"Missing in other source",IF(H923&gt;1,"Duplicate in other source",IF(SUMIFS('App Data'!$M$2:$M$1001,'App Data'!$L$2:$L$1001,SUBSTITUTE(SUBSTITUTE(SUBSTITUTE(L923,"~","~~"),"*","~*"),"?","~?"))&lt;&gt;1,"Other amount is invalid",IF(J923&lt;&gt;0,"Amount differs","Matched")))))))</x:f>
      </x:c>
      <x:c r="L923" t="str">
        <x:f>IF(COUNTA(A923:F923)=0,"",LEN(A923)&amp;":"&amp;A923&amp;LEN(B923)&amp;":"&amp;B923&amp;LEN(C923)&amp;":"&amp;C923&amp;LEN(D923)&amp;":"&amp;D923)</x:f>
      </x:c>
      <x:c r="M923" t="str">
        <x:f>IF(COUNTA(A923:F923)=0,"",IF(ISNUMBER(E923),1,0))</x:f>
      </x:c>
    </x:row>
    <x:row r="924">
      <x:c r="A924" s="11"/>
      <x:c r="B924" s="11"/>
      <x:c r="C924" s="11"/>
      <x:c r="D924" s="11"/>
      <x:c r="E924" s="12"/>
      <x:c r="F924" s="10"/>
      <x:c r="G924" s="2" t="str">
        <x:f>IF(COUNTA(A924:F924)=0,"",COUNTIFS('External Data'!$L$2:$L$1001,SUBSTITUTE(SUBSTITUTE(SUBSTITUTE(L924,"~","~~"),"*","~*"),"?","~?")))</x:f>
      </x:c>
      <x:c r="H924" s="2" t="str">
        <x:f>IF(COUNTA(A924:F924)=0,"",COUNTIFS('App Data'!$L$2:$L$1001,SUBSTITUTE(SUBSTITUTE(SUBSTITUTE(L924,"~","~~"),"*","~*"),"?","~?")))</x:f>
      </x:c>
      <x:c r="I924" s="13" t="str">
        <x:f>IF(OR(H924&lt;&gt;1,G924&lt;&gt;1),"",SUMIFS('App Data'!$E$2:$E$1001,'App Data'!$L$2:$L$1001,SUBSTITUTE(SUBSTITUTE(SUBSTITUTE(L924,"~","~~"),"*","~*"),"?","~?")))</x:f>
      </x:c>
      <x:c r="J924" s="13" t="str">
        <x:f>IF(OR(NOT(ISNUMBER(E924)),NOT(ISNUMBER(I924))),"",ROUND(E924-I924,2))</x:f>
      </x:c>
      <x:c r="K924" s="2" t="str">
        <x:f>IF(COUNTA(A924:F924)=0,"",IF(OR(A924="",B924="",C924="",D924="",NOT(ISNUMBER(E924))),"Missing / invalid input",IF(G924&gt;1,"Duplicate key in this source",IF(H924=0,"Missing in other source",IF(H924&gt;1,"Duplicate in other source",IF(SUMIFS('App Data'!$M$2:$M$1001,'App Data'!$L$2:$L$1001,SUBSTITUTE(SUBSTITUTE(SUBSTITUTE(L924,"~","~~"),"*","~*"),"?","~?"))&lt;&gt;1,"Other amount is invalid",IF(J924&lt;&gt;0,"Amount differs","Matched")))))))</x:f>
      </x:c>
      <x:c r="L924" t="str">
        <x:f>IF(COUNTA(A924:F924)=0,"",LEN(A924)&amp;":"&amp;A924&amp;LEN(B924)&amp;":"&amp;B924&amp;LEN(C924)&amp;":"&amp;C924&amp;LEN(D924)&amp;":"&amp;D924)</x:f>
      </x:c>
      <x:c r="M924" t="str">
        <x:f>IF(COUNTA(A924:F924)=0,"",IF(ISNUMBER(E924),1,0))</x:f>
      </x:c>
    </x:row>
    <x:row r="925">
      <x:c r="A925" s="11"/>
      <x:c r="B925" s="11"/>
      <x:c r="C925" s="11"/>
      <x:c r="D925" s="11"/>
      <x:c r="E925" s="12"/>
      <x:c r="F925" s="10"/>
      <x:c r="G925" s="2" t="str">
        <x:f>IF(COUNTA(A925:F925)=0,"",COUNTIFS('External Data'!$L$2:$L$1001,SUBSTITUTE(SUBSTITUTE(SUBSTITUTE(L925,"~","~~"),"*","~*"),"?","~?")))</x:f>
      </x:c>
      <x:c r="H925" s="2" t="str">
        <x:f>IF(COUNTA(A925:F925)=0,"",COUNTIFS('App Data'!$L$2:$L$1001,SUBSTITUTE(SUBSTITUTE(SUBSTITUTE(L925,"~","~~"),"*","~*"),"?","~?")))</x:f>
      </x:c>
      <x:c r="I925" s="13" t="str">
        <x:f>IF(OR(H925&lt;&gt;1,G925&lt;&gt;1),"",SUMIFS('App Data'!$E$2:$E$1001,'App Data'!$L$2:$L$1001,SUBSTITUTE(SUBSTITUTE(SUBSTITUTE(L925,"~","~~"),"*","~*"),"?","~?")))</x:f>
      </x:c>
      <x:c r="J925" s="13" t="str">
        <x:f>IF(OR(NOT(ISNUMBER(E925)),NOT(ISNUMBER(I925))),"",ROUND(E925-I925,2))</x:f>
      </x:c>
      <x:c r="K925" s="2" t="str">
        <x:f>IF(COUNTA(A925:F925)=0,"",IF(OR(A925="",B925="",C925="",D925="",NOT(ISNUMBER(E925))),"Missing / invalid input",IF(G925&gt;1,"Duplicate key in this source",IF(H925=0,"Missing in other source",IF(H925&gt;1,"Duplicate in other source",IF(SUMIFS('App Data'!$M$2:$M$1001,'App Data'!$L$2:$L$1001,SUBSTITUTE(SUBSTITUTE(SUBSTITUTE(L925,"~","~~"),"*","~*"),"?","~?"))&lt;&gt;1,"Other amount is invalid",IF(J925&lt;&gt;0,"Amount differs","Matched")))))))</x:f>
      </x:c>
      <x:c r="L925" t="str">
        <x:f>IF(COUNTA(A925:F925)=0,"",LEN(A925)&amp;":"&amp;A925&amp;LEN(B925)&amp;":"&amp;B925&amp;LEN(C925)&amp;":"&amp;C925&amp;LEN(D925)&amp;":"&amp;D925)</x:f>
      </x:c>
      <x:c r="M925" t="str">
        <x:f>IF(COUNTA(A925:F925)=0,"",IF(ISNUMBER(E925),1,0))</x:f>
      </x:c>
    </x:row>
    <x:row r="926">
      <x:c r="A926" s="11"/>
      <x:c r="B926" s="11"/>
      <x:c r="C926" s="11"/>
      <x:c r="D926" s="11"/>
      <x:c r="E926" s="12"/>
      <x:c r="F926" s="10"/>
      <x:c r="G926" s="2" t="str">
        <x:f>IF(COUNTA(A926:F926)=0,"",COUNTIFS('External Data'!$L$2:$L$1001,SUBSTITUTE(SUBSTITUTE(SUBSTITUTE(L926,"~","~~"),"*","~*"),"?","~?")))</x:f>
      </x:c>
      <x:c r="H926" s="2" t="str">
        <x:f>IF(COUNTA(A926:F926)=0,"",COUNTIFS('App Data'!$L$2:$L$1001,SUBSTITUTE(SUBSTITUTE(SUBSTITUTE(L926,"~","~~"),"*","~*"),"?","~?")))</x:f>
      </x:c>
      <x:c r="I926" s="13" t="str">
        <x:f>IF(OR(H926&lt;&gt;1,G926&lt;&gt;1),"",SUMIFS('App Data'!$E$2:$E$1001,'App Data'!$L$2:$L$1001,SUBSTITUTE(SUBSTITUTE(SUBSTITUTE(L926,"~","~~"),"*","~*"),"?","~?")))</x:f>
      </x:c>
      <x:c r="J926" s="13" t="str">
        <x:f>IF(OR(NOT(ISNUMBER(E926)),NOT(ISNUMBER(I926))),"",ROUND(E926-I926,2))</x:f>
      </x:c>
      <x:c r="K926" s="2" t="str">
        <x:f>IF(COUNTA(A926:F926)=0,"",IF(OR(A926="",B926="",C926="",D926="",NOT(ISNUMBER(E926))),"Missing / invalid input",IF(G926&gt;1,"Duplicate key in this source",IF(H926=0,"Missing in other source",IF(H926&gt;1,"Duplicate in other source",IF(SUMIFS('App Data'!$M$2:$M$1001,'App Data'!$L$2:$L$1001,SUBSTITUTE(SUBSTITUTE(SUBSTITUTE(L926,"~","~~"),"*","~*"),"?","~?"))&lt;&gt;1,"Other amount is invalid",IF(J926&lt;&gt;0,"Amount differs","Matched")))))))</x:f>
      </x:c>
      <x:c r="L926" t="str">
        <x:f>IF(COUNTA(A926:F926)=0,"",LEN(A926)&amp;":"&amp;A926&amp;LEN(B926)&amp;":"&amp;B926&amp;LEN(C926)&amp;":"&amp;C926&amp;LEN(D926)&amp;":"&amp;D926)</x:f>
      </x:c>
      <x:c r="M926" t="str">
        <x:f>IF(COUNTA(A926:F926)=0,"",IF(ISNUMBER(E926),1,0))</x:f>
      </x:c>
    </x:row>
    <x:row r="927">
      <x:c r="A927" s="11"/>
      <x:c r="B927" s="11"/>
      <x:c r="C927" s="11"/>
      <x:c r="D927" s="11"/>
      <x:c r="E927" s="12"/>
      <x:c r="F927" s="10"/>
      <x:c r="G927" s="2" t="str">
        <x:f>IF(COUNTA(A927:F927)=0,"",COUNTIFS('External Data'!$L$2:$L$1001,SUBSTITUTE(SUBSTITUTE(SUBSTITUTE(L927,"~","~~"),"*","~*"),"?","~?")))</x:f>
      </x:c>
      <x:c r="H927" s="2" t="str">
        <x:f>IF(COUNTA(A927:F927)=0,"",COUNTIFS('App Data'!$L$2:$L$1001,SUBSTITUTE(SUBSTITUTE(SUBSTITUTE(L927,"~","~~"),"*","~*"),"?","~?")))</x:f>
      </x:c>
      <x:c r="I927" s="13" t="str">
        <x:f>IF(OR(H927&lt;&gt;1,G927&lt;&gt;1),"",SUMIFS('App Data'!$E$2:$E$1001,'App Data'!$L$2:$L$1001,SUBSTITUTE(SUBSTITUTE(SUBSTITUTE(L927,"~","~~"),"*","~*"),"?","~?")))</x:f>
      </x:c>
      <x:c r="J927" s="13" t="str">
        <x:f>IF(OR(NOT(ISNUMBER(E927)),NOT(ISNUMBER(I927))),"",ROUND(E927-I927,2))</x:f>
      </x:c>
      <x:c r="K927" s="2" t="str">
        <x:f>IF(COUNTA(A927:F927)=0,"",IF(OR(A927="",B927="",C927="",D927="",NOT(ISNUMBER(E927))),"Missing / invalid input",IF(G927&gt;1,"Duplicate key in this source",IF(H927=0,"Missing in other source",IF(H927&gt;1,"Duplicate in other source",IF(SUMIFS('App Data'!$M$2:$M$1001,'App Data'!$L$2:$L$1001,SUBSTITUTE(SUBSTITUTE(SUBSTITUTE(L927,"~","~~"),"*","~*"),"?","~?"))&lt;&gt;1,"Other amount is invalid",IF(J927&lt;&gt;0,"Amount differs","Matched")))))))</x:f>
      </x:c>
      <x:c r="L927" t="str">
        <x:f>IF(COUNTA(A927:F927)=0,"",LEN(A927)&amp;":"&amp;A927&amp;LEN(B927)&amp;":"&amp;B927&amp;LEN(C927)&amp;":"&amp;C927&amp;LEN(D927)&amp;":"&amp;D927)</x:f>
      </x:c>
      <x:c r="M927" t="str">
        <x:f>IF(COUNTA(A927:F927)=0,"",IF(ISNUMBER(E927),1,0))</x:f>
      </x:c>
    </x:row>
    <x:row r="928">
      <x:c r="A928" s="11"/>
      <x:c r="B928" s="11"/>
      <x:c r="C928" s="11"/>
      <x:c r="D928" s="11"/>
      <x:c r="E928" s="12"/>
      <x:c r="F928" s="10"/>
      <x:c r="G928" s="2" t="str">
        <x:f>IF(COUNTA(A928:F928)=0,"",COUNTIFS('External Data'!$L$2:$L$1001,SUBSTITUTE(SUBSTITUTE(SUBSTITUTE(L928,"~","~~"),"*","~*"),"?","~?")))</x:f>
      </x:c>
      <x:c r="H928" s="2" t="str">
        <x:f>IF(COUNTA(A928:F928)=0,"",COUNTIFS('App Data'!$L$2:$L$1001,SUBSTITUTE(SUBSTITUTE(SUBSTITUTE(L928,"~","~~"),"*","~*"),"?","~?")))</x:f>
      </x:c>
      <x:c r="I928" s="13" t="str">
        <x:f>IF(OR(H928&lt;&gt;1,G928&lt;&gt;1),"",SUMIFS('App Data'!$E$2:$E$1001,'App Data'!$L$2:$L$1001,SUBSTITUTE(SUBSTITUTE(SUBSTITUTE(L928,"~","~~"),"*","~*"),"?","~?")))</x:f>
      </x:c>
      <x:c r="J928" s="13" t="str">
        <x:f>IF(OR(NOT(ISNUMBER(E928)),NOT(ISNUMBER(I928))),"",ROUND(E928-I928,2))</x:f>
      </x:c>
      <x:c r="K928" s="2" t="str">
        <x:f>IF(COUNTA(A928:F928)=0,"",IF(OR(A928="",B928="",C928="",D928="",NOT(ISNUMBER(E928))),"Missing / invalid input",IF(G928&gt;1,"Duplicate key in this source",IF(H928=0,"Missing in other source",IF(H928&gt;1,"Duplicate in other source",IF(SUMIFS('App Data'!$M$2:$M$1001,'App Data'!$L$2:$L$1001,SUBSTITUTE(SUBSTITUTE(SUBSTITUTE(L928,"~","~~"),"*","~*"),"?","~?"))&lt;&gt;1,"Other amount is invalid",IF(J928&lt;&gt;0,"Amount differs","Matched")))))))</x:f>
      </x:c>
      <x:c r="L928" t="str">
        <x:f>IF(COUNTA(A928:F928)=0,"",LEN(A928)&amp;":"&amp;A928&amp;LEN(B928)&amp;":"&amp;B928&amp;LEN(C928)&amp;":"&amp;C928&amp;LEN(D928)&amp;":"&amp;D928)</x:f>
      </x:c>
      <x:c r="M928" t="str">
        <x:f>IF(COUNTA(A928:F928)=0,"",IF(ISNUMBER(E928),1,0))</x:f>
      </x:c>
    </x:row>
    <x:row r="929">
      <x:c r="A929" s="11"/>
      <x:c r="B929" s="11"/>
      <x:c r="C929" s="11"/>
      <x:c r="D929" s="11"/>
      <x:c r="E929" s="12"/>
      <x:c r="F929" s="10"/>
      <x:c r="G929" s="2" t="str">
        <x:f>IF(COUNTA(A929:F929)=0,"",COUNTIFS('External Data'!$L$2:$L$1001,SUBSTITUTE(SUBSTITUTE(SUBSTITUTE(L929,"~","~~"),"*","~*"),"?","~?")))</x:f>
      </x:c>
      <x:c r="H929" s="2" t="str">
        <x:f>IF(COUNTA(A929:F929)=0,"",COUNTIFS('App Data'!$L$2:$L$1001,SUBSTITUTE(SUBSTITUTE(SUBSTITUTE(L929,"~","~~"),"*","~*"),"?","~?")))</x:f>
      </x:c>
      <x:c r="I929" s="13" t="str">
        <x:f>IF(OR(H929&lt;&gt;1,G929&lt;&gt;1),"",SUMIFS('App Data'!$E$2:$E$1001,'App Data'!$L$2:$L$1001,SUBSTITUTE(SUBSTITUTE(SUBSTITUTE(L929,"~","~~"),"*","~*"),"?","~?")))</x:f>
      </x:c>
      <x:c r="J929" s="13" t="str">
        <x:f>IF(OR(NOT(ISNUMBER(E929)),NOT(ISNUMBER(I929))),"",ROUND(E929-I929,2))</x:f>
      </x:c>
      <x:c r="K929" s="2" t="str">
        <x:f>IF(COUNTA(A929:F929)=0,"",IF(OR(A929="",B929="",C929="",D929="",NOT(ISNUMBER(E929))),"Missing / invalid input",IF(G929&gt;1,"Duplicate key in this source",IF(H929=0,"Missing in other source",IF(H929&gt;1,"Duplicate in other source",IF(SUMIFS('App Data'!$M$2:$M$1001,'App Data'!$L$2:$L$1001,SUBSTITUTE(SUBSTITUTE(SUBSTITUTE(L929,"~","~~"),"*","~*"),"?","~?"))&lt;&gt;1,"Other amount is invalid",IF(J929&lt;&gt;0,"Amount differs","Matched")))))))</x:f>
      </x:c>
      <x:c r="L929" t="str">
        <x:f>IF(COUNTA(A929:F929)=0,"",LEN(A929)&amp;":"&amp;A929&amp;LEN(B929)&amp;":"&amp;B929&amp;LEN(C929)&amp;":"&amp;C929&amp;LEN(D929)&amp;":"&amp;D929)</x:f>
      </x:c>
      <x:c r="M929" t="str">
        <x:f>IF(COUNTA(A929:F929)=0,"",IF(ISNUMBER(E929),1,0))</x:f>
      </x:c>
    </x:row>
    <x:row r="930">
      <x:c r="A930" s="11"/>
      <x:c r="B930" s="11"/>
      <x:c r="C930" s="11"/>
      <x:c r="D930" s="11"/>
      <x:c r="E930" s="12"/>
      <x:c r="F930" s="10"/>
      <x:c r="G930" s="2" t="str">
        <x:f>IF(COUNTA(A930:F930)=0,"",COUNTIFS('External Data'!$L$2:$L$1001,SUBSTITUTE(SUBSTITUTE(SUBSTITUTE(L930,"~","~~"),"*","~*"),"?","~?")))</x:f>
      </x:c>
      <x:c r="H930" s="2" t="str">
        <x:f>IF(COUNTA(A930:F930)=0,"",COUNTIFS('App Data'!$L$2:$L$1001,SUBSTITUTE(SUBSTITUTE(SUBSTITUTE(L930,"~","~~"),"*","~*"),"?","~?")))</x:f>
      </x:c>
      <x:c r="I930" s="13" t="str">
        <x:f>IF(OR(H930&lt;&gt;1,G930&lt;&gt;1),"",SUMIFS('App Data'!$E$2:$E$1001,'App Data'!$L$2:$L$1001,SUBSTITUTE(SUBSTITUTE(SUBSTITUTE(L930,"~","~~"),"*","~*"),"?","~?")))</x:f>
      </x:c>
      <x:c r="J930" s="13" t="str">
        <x:f>IF(OR(NOT(ISNUMBER(E930)),NOT(ISNUMBER(I930))),"",ROUND(E930-I930,2))</x:f>
      </x:c>
      <x:c r="K930" s="2" t="str">
        <x:f>IF(COUNTA(A930:F930)=0,"",IF(OR(A930="",B930="",C930="",D930="",NOT(ISNUMBER(E930))),"Missing / invalid input",IF(G930&gt;1,"Duplicate key in this source",IF(H930=0,"Missing in other source",IF(H930&gt;1,"Duplicate in other source",IF(SUMIFS('App Data'!$M$2:$M$1001,'App Data'!$L$2:$L$1001,SUBSTITUTE(SUBSTITUTE(SUBSTITUTE(L930,"~","~~"),"*","~*"),"?","~?"))&lt;&gt;1,"Other amount is invalid",IF(J930&lt;&gt;0,"Amount differs","Matched")))))))</x:f>
      </x:c>
      <x:c r="L930" t="str">
        <x:f>IF(COUNTA(A930:F930)=0,"",LEN(A930)&amp;":"&amp;A930&amp;LEN(B930)&amp;":"&amp;B930&amp;LEN(C930)&amp;":"&amp;C930&amp;LEN(D930)&amp;":"&amp;D930)</x:f>
      </x:c>
      <x:c r="M930" t="str">
        <x:f>IF(COUNTA(A930:F930)=0,"",IF(ISNUMBER(E930),1,0))</x:f>
      </x:c>
    </x:row>
    <x:row r="931">
      <x:c r="A931" s="11"/>
      <x:c r="B931" s="11"/>
      <x:c r="C931" s="11"/>
      <x:c r="D931" s="11"/>
      <x:c r="E931" s="12"/>
      <x:c r="F931" s="10"/>
      <x:c r="G931" s="2" t="str">
        <x:f>IF(COUNTA(A931:F931)=0,"",COUNTIFS('External Data'!$L$2:$L$1001,SUBSTITUTE(SUBSTITUTE(SUBSTITUTE(L931,"~","~~"),"*","~*"),"?","~?")))</x:f>
      </x:c>
      <x:c r="H931" s="2" t="str">
        <x:f>IF(COUNTA(A931:F931)=0,"",COUNTIFS('App Data'!$L$2:$L$1001,SUBSTITUTE(SUBSTITUTE(SUBSTITUTE(L931,"~","~~"),"*","~*"),"?","~?")))</x:f>
      </x:c>
      <x:c r="I931" s="13" t="str">
        <x:f>IF(OR(H931&lt;&gt;1,G931&lt;&gt;1),"",SUMIFS('App Data'!$E$2:$E$1001,'App Data'!$L$2:$L$1001,SUBSTITUTE(SUBSTITUTE(SUBSTITUTE(L931,"~","~~"),"*","~*"),"?","~?")))</x:f>
      </x:c>
      <x:c r="J931" s="13" t="str">
        <x:f>IF(OR(NOT(ISNUMBER(E931)),NOT(ISNUMBER(I931))),"",ROUND(E931-I931,2))</x:f>
      </x:c>
      <x:c r="K931" s="2" t="str">
        <x:f>IF(COUNTA(A931:F931)=0,"",IF(OR(A931="",B931="",C931="",D931="",NOT(ISNUMBER(E931))),"Missing / invalid input",IF(G931&gt;1,"Duplicate key in this source",IF(H931=0,"Missing in other source",IF(H931&gt;1,"Duplicate in other source",IF(SUMIFS('App Data'!$M$2:$M$1001,'App Data'!$L$2:$L$1001,SUBSTITUTE(SUBSTITUTE(SUBSTITUTE(L931,"~","~~"),"*","~*"),"?","~?"))&lt;&gt;1,"Other amount is invalid",IF(J931&lt;&gt;0,"Amount differs","Matched")))))))</x:f>
      </x:c>
      <x:c r="L931" t="str">
        <x:f>IF(COUNTA(A931:F931)=0,"",LEN(A931)&amp;":"&amp;A931&amp;LEN(B931)&amp;":"&amp;B931&amp;LEN(C931)&amp;":"&amp;C931&amp;LEN(D931)&amp;":"&amp;D931)</x:f>
      </x:c>
      <x:c r="M931" t="str">
        <x:f>IF(COUNTA(A931:F931)=0,"",IF(ISNUMBER(E931),1,0))</x:f>
      </x:c>
    </x:row>
    <x:row r="932">
      <x:c r="A932" s="11"/>
      <x:c r="B932" s="11"/>
      <x:c r="C932" s="11"/>
      <x:c r="D932" s="11"/>
      <x:c r="E932" s="12"/>
      <x:c r="F932" s="10"/>
      <x:c r="G932" s="2" t="str">
        <x:f>IF(COUNTA(A932:F932)=0,"",COUNTIFS('External Data'!$L$2:$L$1001,SUBSTITUTE(SUBSTITUTE(SUBSTITUTE(L932,"~","~~"),"*","~*"),"?","~?")))</x:f>
      </x:c>
      <x:c r="H932" s="2" t="str">
        <x:f>IF(COUNTA(A932:F932)=0,"",COUNTIFS('App Data'!$L$2:$L$1001,SUBSTITUTE(SUBSTITUTE(SUBSTITUTE(L932,"~","~~"),"*","~*"),"?","~?")))</x:f>
      </x:c>
      <x:c r="I932" s="13" t="str">
        <x:f>IF(OR(H932&lt;&gt;1,G932&lt;&gt;1),"",SUMIFS('App Data'!$E$2:$E$1001,'App Data'!$L$2:$L$1001,SUBSTITUTE(SUBSTITUTE(SUBSTITUTE(L932,"~","~~"),"*","~*"),"?","~?")))</x:f>
      </x:c>
      <x:c r="J932" s="13" t="str">
        <x:f>IF(OR(NOT(ISNUMBER(E932)),NOT(ISNUMBER(I932))),"",ROUND(E932-I932,2))</x:f>
      </x:c>
      <x:c r="K932" s="2" t="str">
        <x:f>IF(COUNTA(A932:F932)=0,"",IF(OR(A932="",B932="",C932="",D932="",NOT(ISNUMBER(E932))),"Missing / invalid input",IF(G932&gt;1,"Duplicate key in this source",IF(H932=0,"Missing in other source",IF(H932&gt;1,"Duplicate in other source",IF(SUMIFS('App Data'!$M$2:$M$1001,'App Data'!$L$2:$L$1001,SUBSTITUTE(SUBSTITUTE(SUBSTITUTE(L932,"~","~~"),"*","~*"),"?","~?"))&lt;&gt;1,"Other amount is invalid",IF(J932&lt;&gt;0,"Amount differs","Matched")))))))</x:f>
      </x:c>
      <x:c r="L932" t="str">
        <x:f>IF(COUNTA(A932:F932)=0,"",LEN(A932)&amp;":"&amp;A932&amp;LEN(B932)&amp;":"&amp;B932&amp;LEN(C932)&amp;":"&amp;C932&amp;LEN(D932)&amp;":"&amp;D932)</x:f>
      </x:c>
      <x:c r="M932" t="str">
        <x:f>IF(COUNTA(A932:F932)=0,"",IF(ISNUMBER(E932),1,0))</x:f>
      </x:c>
    </x:row>
    <x:row r="933">
      <x:c r="A933" s="11"/>
      <x:c r="B933" s="11"/>
      <x:c r="C933" s="11"/>
      <x:c r="D933" s="11"/>
      <x:c r="E933" s="12"/>
      <x:c r="F933" s="10"/>
      <x:c r="G933" s="2" t="str">
        <x:f>IF(COUNTA(A933:F933)=0,"",COUNTIFS('External Data'!$L$2:$L$1001,SUBSTITUTE(SUBSTITUTE(SUBSTITUTE(L933,"~","~~"),"*","~*"),"?","~?")))</x:f>
      </x:c>
      <x:c r="H933" s="2" t="str">
        <x:f>IF(COUNTA(A933:F933)=0,"",COUNTIFS('App Data'!$L$2:$L$1001,SUBSTITUTE(SUBSTITUTE(SUBSTITUTE(L933,"~","~~"),"*","~*"),"?","~?")))</x:f>
      </x:c>
      <x:c r="I933" s="13" t="str">
        <x:f>IF(OR(H933&lt;&gt;1,G933&lt;&gt;1),"",SUMIFS('App Data'!$E$2:$E$1001,'App Data'!$L$2:$L$1001,SUBSTITUTE(SUBSTITUTE(SUBSTITUTE(L933,"~","~~"),"*","~*"),"?","~?")))</x:f>
      </x:c>
      <x:c r="J933" s="13" t="str">
        <x:f>IF(OR(NOT(ISNUMBER(E933)),NOT(ISNUMBER(I933))),"",ROUND(E933-I933,2))</x:f>
      </x:c>
      <x:c r="K933" s="2" t="str">
        <x:f>IF(COUNTA(A933:F933)=0,"",IF(OR(A933="",B933="",C933="",D933="",NOT(ISNUMBER(E933))),"Missing / invalid input",IF(G933&gt;1,"Duplicate key in this source",IF(H933=0,"Missing in other source",IF(H933&gt;1,"Duplicate in other source",IF(SUMIFS('App Data'!$M$2:$M$1001,'App Data'!$L$2:$L$1001,SUBSTITUTE(SUBSTITUTE(SUBSTITUTE(L933,"~","~~"),"*","~*"),"?","~?"))&lt;&gt;1,"Other amount is invalid",IF(J933&lt;&gt;0,"Amount differs","Matched")))))))</x:f>
      </x:c>
      <x:c r="L933" t="str">
        <x:f>IF(COUNTA(A933:F933)=0,"",LEN(A933)&amp;":"&amp;A933&amp;LEN(B933)&amp;":"&amp;B933&amp;LEN(C933)&amp;":"&amp;C933&amp;LEN(D933)&amp;":"&amp;D933)</x:f>
      </x:c>
      <x:c r="M933" t="str">
        <x:f>IF(COUNTA(A933:F933)=0,"",IF(ISNUMBER(E933),1,0))</x:f>
      </x:c>
    </x:row>
    <x:row r="934">
      <x:c r="A934" s="11"/>
      <x:c r="B934" s="11"/>
      <x:c r="C934" s="11"/>
      <x:c r="D934" s="11"/>
      <x:c r="E934" s="12"/>
      <x:c r="F934" s="10"/>
      <x:c r="G934" s="2" t="str">
        <x:f>IF(COUNTA(A934:F934)=0,"",COUNTIFS('External Data'!$L$2:$L$1001,SUBSTITUTE(SUBSTITUTE(SUBSTITUTE(L934,"~","~~"),"*","~*"),"?","~?")))</x:f>
      </x:c>
      <x:c r="H934" s="2" t="str">
        <x:f>IF(COUNTA(A934:F934)=0,"",COUNTIFS('App Data'!$L$2:$L$1001,SUBSTITUTE(SUBSTITUTE(SUBSTITUTE(L934,"~","~~"),"*","~*"),"?","~?")))</x:f>
      </x:c>
      <x:c r="I934" s="13" t="str">
        <x:f>IF(OR(H934&lt;&gt;1,G934&lt;&gt;1),"",SUMIFS('App Data'!$E$2:$E$1001,'App Data'!$L$2:$L$1001,SUBSTITUTE(SUBSTITUTE(SUBSTITUTE(L934,"~","~~"),"*","~*"),"?","~?")))</x:f>
      </x:c>
      <x:c r="J934" s="13" t="str">
        <x:f>IF(OR(NOT(ISNUMBER(E934)),NOT(ISNUMBER(I934))),"",ROUND(E934-I934,2))</x:f>
      </x:c>
      <x:c r="K934" s="2" t="str">
        <x:f>IF(COUNTA(A934:F934)=0,"",IF(OR(A934="",B934="",C934="",D934="",NOT(ISNUMBER(E934))),"Missing / invalid input",IF(G934&gt;1,"Duplicate key in this source",IF(H934=0,"Missing in other source",IF(H934&gt;1,"Duplicate in other source",IF(SUMIFS('App Data'!$M$2:$M$1001,'App Data'!$L$2:$L$1001,SUBSTITUTE(SUBSTITUTE(SUBSTITUTE(L934,"~","~~"),"*","~*"),"?","~?"))&lt;&gt;1,"Other amount is invalid",IF(J934&lt;&gt;0,"Amount differs","Matched")))))))</x:f>
      </x:c>
      <x:c r="L934" t="str">
        <x:f>IF(COUNTA(A934:F934)=0,"",LEN(A934)&amp;":"&amp;A934&amp;LEN(B934)&amp;":"&amp;B934&amp;LEN(C934)&amp;":"&amp;C934&amp;LEN(D934)&amp;":"&amp;D934)</x:f>
      </x:c>
      <x:c r="M934" t="str">
        <x:f>IF(COUNTA(A934:F934)=0,"",IF(ISNUMBER(E934),1,0))</x:f>
      </x:c>
    </x:row>
    <x:row r="935">
      <x:c r="A935" s="11"/>
      <x:c r="B935" s="11"/>
      <x:c r="C935" s="11"/>
      <x:c r="D935" s="11"/>
      <x:c r="E935" s="12"/>
      <x:c r="F935" s="10"/>
      <x:c r="G935" s="2" t="str">
        <x:f>IF(COUNTA(A935:F935)=0,"",COUNTIFS('External Data'!$L$2:$L$1001,SUBSTITUTE(SUBSTITUTE(SUBSTITUTE(L935,"~","~~"),"*","~*"),"?","~?")))</x:f>
      </x:c>
      <x:c r="H935" s="2" t="str">
        <x:f>IF(COUNTA(A935:F935)=0,"",COUNTIFS('App Data'!$L$2:$L$1001,SUBSTITUTE(SUBSTITUTE(SUBSTITUTE(L935,"~","~~"),"*","~*"),"?","~?")))</x:f>
      </x:c>
      <x:c r="I935" s="13" t="str">
        <x:f>IF(OR(H935&lt;&gt;1,G935&lt;&gt;1),"",SUMIFS('App Data'!$E$2:$E$1001,'App Data'!$L$2:$L$1001,SUBSTITUTE(SUBSTITUTE(SUBSTITUTE(L935,"~","~~"),"*","~*"),"?","~?")))</x:f>
      </x:c>
      <x:c r="J935" s="13" t="str">
        <x:f>IF(OR(NOT(ISNUMBER(E935)),NOT(ISNUMBER(I935))),"",ROUND(E935-I935,2))</x:f>
      </x:c>
      <x:c r="K935" s="2" t="str">
        <x:f>IF(COUNTA(A935:F935)=0,"",IF(OR(A935="",B935="",C935="",D935="",NOT(ISNUMBER(E935))),"Missing / invalid input",IF(G935&gt;1,"Duplicate key in this source",IF(H935=0,"Missing in other source",IF(H935&gt;1,"Duplicate in other source",IF(SUMIFS('App Data'!$M$2:$M$1001,'App Data'!$L$2:$L$1001,SUBSTITUTE(SUBSTITUTE(SUBSTITUTE(L935,"~","~~"),"*","~*"),"?","~?"))&lt;&gt;1,"Other amount is invalid",IF(J935&lt;&gt;0,"Amount differs","Matched")))))))</x:f>
      </x:c>
      <x:c r="L935" t="str">
        <x:f>IF(COUNTA(A935:F935)=0,"",LEN(A935)&amp;":"&amp;A935&amp;LEN(B935)&amp;":"&amp;B935&amp;LEN(C935)&amp;":"&amp;C935&amp;LEN(D935)&amp;":"&amp;D935)</x:f>
      </x:c>
      <x:c r="M935" t="str">
        <x:f>IF(COUNTA(A935:F935)=0,"",IF(ISNUMBER(E935),1,0))</x:f>
      </x:c>
    </x:row>
    <x:row r="936">
      <x:c r="A936" s="11"/>
      <x:c r="B936" s="11"/>
      <x:c r="C936" s="11"/>
      <x:c r="D936" s="11"/>
      <x:c r="E936" s="12"/>
      <x:c r="F936" s="10"/>
      <x:c r="G936" s="2" t="str">
        <x:f>IF(COUNTA(A936:F936)=0,"",COUNTIFS('External Data'!$L$2:$L$1001,SUBSTITUTE(SUBSTITUTE(SUBSTITUTE(L936,"~","~~"),"*","~*"),"?","~?")))</x:f>
      </x:c>
      <x:c r="H936" s="2" t="str">
        <x:f>IF(COUNTA(A936:F936)=0,"",COUNTIFS('App Data'!$L$2:$L$1001,SUBSTITUTE(SUBSTITUTE(SUBSTITUTE(L936,"~","~~"),"*","~*"),"?","~?")))</x:f>
      </x:c>
      <x:c r="I936" s="13" t="str">
        <x:f>IF(OR(H936&lt;&gt;1,G936&lt;&gt;1),"",SUMIFS('App Data'!$E$2:$E$1001,'App Data'!$L$2:$L$1001,SUBSTITUTE(SUBSTITUTE(SUBSTITUTE(L936,"~","~~"),"*","~*"),"?","~?")))</x:f>
      </x:c>
      <x:c r="J936" s="13" t="str">
        <x:f>IF(OR(NOT(ISNUMBER(E936)),NOT(ISNUMBER(I936))),"",ROUND(E936-I936,2))</x:f>
      </x:c>
      <x:c r="K936" s="2" t="str">
        <x:f>IF(COUNTA(A936:F936)=0,"",IF(OR(A936="",B936="",C936="",D936="",NOT(ISNUMBER(E936))),"Missing / invalid input",IF(G936&gt;1,"Duplicate key in this source",IF(H936=0,"Missing in other source",IF(H936&gt;1,"Duplicate in other source",IF(SUMIFS('App Data'!$M$2:$M$1001,'App Data'!$L$2:$L$1001,SUBSTITUTE(SUBSTITUTE(SUBSTITUTE(L936,"~","~~"),"*","~*"),"?","~?"))&lt;&gt;1,"Other amount is invalid",IF(J936&lt;&gt;0,"Amount differs","Matched")))))))</x:f>
      </x:c>
      <x:c r="L936" t="str">
        <x:f>IF(COUNTA(A936:F936)=0,"",LEN(A936)&amp;":"&amp;A936&amp;LEN(B936)&amp;":"&amp;B936&amp;LEN(C936)&amp;":"&amp;C936&amp;LEN(D936)&amp;":"&amp;D936)</x:f>
      </x:c>
      <x:c r="M936" t="str">
        <x:f>IF(COUNTA(A936:F936)=0,"",IF(ISNUMBER(E936),1,0))</x:f>
      </x:c>
    </x:row>
    <x:row r="937">
      <x:c r="A937" s="11"/>
      <x:c r="B937" s="11"/>
      <x:c r="C937" s="11"/>
      <x:c r="D937" s="11"/>
      <x:c r="E937" s="12"/>
      <x:c r="F937" s="10"/>
      <x:c r="G937" s="2" t="str">
        <x:f>IF(COUNTA(A937:F937)=0,"",COUNTIFS('External Data'!$L$2:$L$1001,SUBSTITUTE(SUBSTITUTE(SUBSTITUTE(L937,"~","~~"),"*","~*"),"?","~?")))</x:f>
      </x:c>
      <x:c r="H937" s="2" t="str">
        <x:f>IF(COUNTA(A937:F937)=0,"",COUNTIFS('App Data'!$L$2:$L$1001,SUBSTITUTE(SUBSTITUTE(SUBSTITUTE(L937,"~","~~"),"*","~*"),"?","~?")))</x:f>
      </x:c>
      <x:c r="I937" s="13" t="str">
        <x:f>IF(OR(H937&lt;&gt;1,G937&lt;&gt;1),"",SUMIFS('App Data'!$E$2:$E$1001,'App Data'!$L$2:$L$1001,SUBSTITUTE(SUBSTITUTE(SUBSTITUTE(L937,"~","~~"),"*","~*"),"?","~?")))</x:f>
      </x:c>
      <x:c r="J937" s="13" t="str">
        <x:f>IF(OR(NOT(ISNUMBER(E937)),NOT(ISNUMBER(I937))),"",ROUND(E937-I937,2))</x:f>
      </x:c>
      <x:c r="K937" s="2" t="str">
        <x:f>IF(COUNTA(A937:F937)=0,"",IF(OR(A937="",B937="",C937="",D937="",NOT(ISNUMBER(E937))),"Missing / invalid input",IF(G937&gt;1,"Duplicate key in this source",IF(H937=0,"Missing in other source",IF(H937&gt;1,"Duplicate in other source",IF(SUMIFS('App Data'!$M$2:$M$1001,'App Data'!$L$2:$L$1001,SUBSTITUTE(SUBSTITUTE(SUBSTITUTE(L937,"~","~~"),"*","~*"),"?","~?"))&lt;&gt;1,"Other amount is invalid",IF(J937&lt;&gt;0,"Amount differs","Matched")))))))</x:f>
      </x:c>
      <x:c r="L937" t="str">
        <x:f>IF(COUNTA(A937:F937)=0,"",LEN(A937)&amp;":"&amp;A937&amp;LEN(B937)&amp;":"&amp;B937&amp;LEN(C937)&amp;":"&amp;C937&amp;LEN(D937)&amp;":"&amp;D937)</x:f>
      </x:c>
      <x:c r="M937" t="str">
        <x:f>IF(COUNTA(A937:F937)=0,"",IF(ISNUMBER(E937),1,0))</x:f>
      </x:c>
    </x:row>
    <x:row r="938">
      <x:c r="A938" s="11"/>
      <x:c r="B938" s="11"/>
      <x:c r="C938" s="11"/>
      <x:c r="D938" s="11"/>
      <x:c r="E938" s="12"/>
      <x:c r="F938" s="10"/>
      <x:c r="G938" s="2" t="str">
        <x:f>IF(COUNTA(A938:F938)=0,"",COUNTIFS('External Data'!$L$2:$L$1001,SUBSTITUTE(SUBSTITUTE(SUBSTITUTE(L938,"~","~~"),"*","~*"),"?","~?")))</x:f>
      </x:c>
      <x:c r="H938" s="2" t="str">
        <x:f>IF(COUNTA(A938:F938)=0,"",COUNTIFS('App Data'!$L$2:$L$1001,SUBSTITUTE(SUBSTITUTE(SUBSTITUTE(L938,"~","~~"),"*","~*"),"?","~?")))</x:f>
      </x:c>
      <x:c r="I938" s="13" t="str">
        <x:f>IF(OR(H938&lt;&gt;1,G938&lt;&gt;1),"",SUMIFS('App Data'!$E$2:$E$1001,'App Data'!$L$2:$L$1001,SUBSTITUTE(SUBSTITUTE(SUBSTITUTE(L938,"~","~~"),"*","~*"),"?","~?")))</x:f>
      </x:c>
      <x:c r="J938" s="13" t="str">
        <x:f>IF(OR(NOT(ISNUMBER(E938)),NOT(ISNUMBER(I938))),"",ROUND(E938-I938,2))</x:f>
      </x:c>
      <x:c r="K938" s="2" t="str">
        <x:f>IF(COUNTA(A938:F938)=0,"",IF(OR(A938="",B938="",C938="",D938="",NOT(ISNUMBER(E938))),"Missing / invalid input",IF(G938&gt;1,"Duplicate key in this source",IF(H938=0,"Missing in other source",IF(H938&gt;1,"Duplicate in other source",IF(SUMIFS('App Data'!$M$2:$M$1001,'App Data'!$L$2:$L$1001,SUBSTITUTE(SUBSTITUTE(SUBSTITUTE(L938,"~","~~"),"*","~*"),"?","~?"))&lt;&gt;1,"Other amount is invalid",IF(J938&lt;&gt;0,"Amount differs","Matched")))))))</x:f>
      </x:c>
      <x:c r="L938" t="str">
        <x:f>IF(COUNTA(A938:F938)=0,"",LEN(A938)&amp;":"&amp;A938&amp;LEN(B938)&amp;":"&amp;B938&amp;LEN(C938)&amp;":"&amp;C938&amp;LEN(D938)&amp;":"&amp;D938)</x:f>
      </x:c>
      <x:c r="M938" t="str">
        <x:f>IF(COUNTA(A938:F938)=0,"",IF(ISNUMBER(E938),1,0))</x:f>
      </x:c>
    </x:row>
    <x:row r="939">
      <x:c r="A939" s="11"/>
      <x:c r="B939" s="11"/>
      <x:c r="C939" s="11"/>
      <x:c r="D939" s="11"/>
      <x:c r="E939" s="12"/>
      <x:c r="F939" s="10"/>
      <x:c r="G939" s="2" t="str">
        <x:f>IF(COUNTA(A939:F939)=0,"",COUNTIFS('External Data'!$L$2:$L$1001,SUBSTITUTE(SUBSTITUTE(SUBSTITUTE(L939,"~","~~"),"*","~*"),"?","~?")))</x:f>
      </x:c>
      <x:c r="H939" s="2" t="str">
        <x:f>IF(COUNTA(A939:F939)=0,"",COUNTIFS('App Data'!$L$2:$L$1001,SUBSTITUTE(SUBSTITUTE(SUBSTITUTE(L939,"~","~~"),"*","~*"),"?","~?")))</x:f>
      </x:c>
      <x:c r="I939" s="13" t="str">
        <x:f>IF(OR(H939&lt;&gt;1,G939&lt;&gt;1),"",SUMIFS('App Data'!$E$2:$E$1001,'App Data'!$L$2:$L$1001,SUBSTITUTE(SUBSTITUTE(SUBSTITUTE(L939,"~","~~"),"*","~*"),"?","~?")))</x:f>
      </x:c>
      <x:c r="J939" s="13" t="str">
        <x:f>IF(OR(NOT(ISNUMBER(E939)),NOT(ISNUMBER(I939))),"",ROUND(E939-I939,2))</x:f>
      </x:c>
      <x:c r="K939" s="2" t="str">
        <x:f>IF(COUNTA(A939:F939)=0,"",IF(OR(A939="",B939="",C939="",D939="",NOT(ISNUMBER(E939))),"Missing / invalid input",IF(G939&gt;1,"Duplicate key in this source",IF(H939=0,"Missing in other source",IF(H939&gt;1,"Duplicate in other source",IF(SUMIFS('App Data'!$M$2:$M$1001,'App Data'!$L$2:$L$1001,SUBSTITUTE(SUBSTITUTE(SUBSTITUTE(L939,"~","~~"),"*","~*"),"?","~?"))&lt;&gt;1,"Other amount is invalid",IF(J939&lt;&gt;0,"Amount differs","Matched")))))))</x:f>
      </x:c>
      <x:c r="L939" t="str">
        <x:f>IF(COUNTA(A939:F939)=0,"",LEN(A939)&amp;":"&amp;A939&amp;LEN(B939)&amp;":"&amp;B939&amp;LEN(C939)&amp;":"&amp;C939&amp;LEN(D939)&amp;":"&amp;D939)</x:f>
      </x:c>
      <x:c r="M939" t="str">
        <x:f>IF(COUNTA(A939:F939)=0,"",IF(ISNUMBER(E939),1,0))</x:f>
      </x:c>
    </x:row>
    <x:row r="940">
      <x:c r="A940" s="11"/>
      <x:c r="B940" s="11"/>
      <x:c r="C940" s="11"/>
      <x:c r="D940" s="11"/>
      <x:c r="E940" s="12"/>
      <x:c r="F940" s="10"/>
      <x:c r="G940" s="2" t="str">
        <x:f>IF(COUNTA(A940:F940)=0,"",COUNTIFS('External Data'!$L$2:$L$1001,SUBSTITUTE(SUBSTITUTE(SUBSTITUTE(L940,"~","~~"),"*","~*"),"?","~?")))</x:f>
      </x:c>
      <x:c r="H940" s="2" t="str">
        <x:f>IF(COUNTA(A940:F940)=0,"",COUNTIFS('App Data'!$L$2:$L$1001,SUBSTITUTE(SUBSTITUTE(SUBSTITUTE(L940,"~","~~"),"*","~*"),"?","~?")))</x:f>
      </x:c>
      <x:c r="I940" s="13" t="str">
        <x:f>IF(OR(H940&lt;&gt;1,G940&lt;&gt;1),"",SUMIFS('App Data'!$E$2:$E$1001,'App Data'!$L$2:$L$1001,SUBSTITUTE(SUBSTITUTE(SUBSTITUTE(L940,"~","~~"),"*","~*"),"?","~?")))</x:f>
      </x:c>
      <x:c r="J940" s="13" t="str">
        <x:f>IF(OR(NOT(ISNUMBER(E940)),NOT(ISNUMBER(I940))),"",ROUND(E940-I940,2))</x:f>
      </x:c>
      <x:c r="K940" s="2" t="str">
        <x:f>IF(COUNTA(A940:F940)=0,"",IF(OR(A940="",B940="",C940="",D940="",NOT(ISNUMBER(E940))),"Missing / invalid input",IF(G940&gt;1,"Duplicate key in this source",IF(H940=0,"Missing in other source",IF(H940&gt;1,"Duplicate in other source",IF(SUMIFS('App Data'!$M$2:$M$1001,'App Data'!$L$2:$L$1001,SUBSTITUTE(SUBSTITUTE(SUBSTITUTE(L940,"~","~~"),"*","~*"),"?","~?"))&lt;&gt;1,"Other amount is invalid",IF(J940&lt;&gt;0,"Amount differs","Matched")))))))</x:f>
      </x:c>
      <x:c r="L940" t="str">
        <x:f>IF(COUNTA(A940:F940)=0,"",LEN(A940)&amp;":"&amp;A940&amp;LEN(B940)&amp;":"&amp;B940&amp;LEN(C940)&amp;":"&amp;C940&amp;LEN(D940)&amp;":"&amp;D940)</x:f>
      </x:c>
      <x:c r="M940" t="str">
        <x:f>IF(COUNTA(A940:F940)=0,"",IF(ISNUMBER(E940),1,0))</x:f>
      </x:c>
    </x:row>
    <x:row r="941">
      <x:c r="A941" s="11"/>
      <x:c r="B941" s="11"/>
      <x:c r="C941" s="11"/>
      <x:c r="D941" s="11"/>
      <x:c r="E941" s="12"/>
      <x:c r="F941" s="10"/>
      <x:c r="G941" s="2" t="str">
        <x:f>IF(COUNTA(A941:F941)=0,"",COUNTIFS('External Data'!$L$2:$L$1001,SUBSTITUTE(SUBSTITUTE(SUBSTITUTE(L941,"~","~~"),"*","~*"),"?","~?")))</x:f>
      </x:c>
      <x:c r="H941" s="2" t="str">
        <x:f>IF(COUNTA(A941:F941)=0,"",COUNTIFS('App Data'!$L$2:$L$1001,SUBSTITUTE(SUBSTITUTE(SUBSTITUTE(L941,"~","~~"),"*","~*"),"?","~?")))</x:f>
      </x:c>
      <x:c r="I941" s="13" t="str">
        <x:f>IF(OR(H941&lt;&gt;1,G941&lt;&gt;1),"",SUMIFS('App Data'!$E$2:$E$1001,'App Data'!$L$2:$L$1001,SUBSTITUTE(SUBSTITUTE(SUBSTITUTE(L941,"~","~~"),"*","~*"),"?","~?")))</x:f>
      </x:c>
      <x:c r="J941" s="13" t="str">
        <x:f>IF(OR(NOT(ISNUMBER(E941)),NOT(ISNUMBER(I941))),"",ROUND(E941-I941,2))</x:f>
      </x:c>
      <x:c r="K941" s="2" t="str">
        <x:f>IF(COUNTA(A941:F941)=0,"",IF(OR(A941="",B941="",C941="",D941="",NOT(ISNUMBER(E941))),"Missing / invalid input",IF(G941&gt;1,"Duplicate key in this source",IF(H941=0,"Missing in other source",IF(H941&gt;1,"Duplicate in other source",IF(SUMIFS('App Data'!$M$2:$M$1001,'App Data'!$L$2:$L$1001,SUBSTITUTE(SUBSTITUTE(SUBSTITUTE(L941,"~","~~"),"*","~*"),"?","~?"))&lt;&gt;1,"Other amount is invalid",IF(J941&lt;&gt;0,"Amount differs","Matched")))))))</x:f>
      </x:c>
      <x:c r="L941" t="str">
        <x:f>IF(COUNTA(A941:F941)=0,"",LEN(A941)&amp;":"&amp;A941&amp;LEN(B941)&amp;":"&amp;B941&amp;LEN(C941)&amp;":"&amp;C941&amp;LEN(D941)&amp;":"&amp;D941)</x:f>
      </x:c>
      <x:c r="M941" t="str">
        <x:f>IF(COUNTA(A941:F941)=0,"",IF(ISNUMBER(E941),1,0))</x:f>
      </x:c>
    </x:row>
    <x:row r="942">
      <x:c r="A942" s="11"/>
      <x:c r="B942" s="11"/>
      <x:c r="C942" s="11"/>
      <x:c r="D942" s="11"/>
      <x:c r="E942" s="12"/>
      <x:c r="F942" s="10"/>
      <x:c r="G942" s="2" t="str">
        <x:f>IF(COUNTA(A942:F942)=0,"",COUNTIFS('External Data'!$L$2:$L$1001,SUBSTITUTE(SUBSTITUTE(SUBSTITUTE(L942,"~","~~"),"*","~*"),"?","~?")))</x:f>
      </x:c>
      <x:c r="H942" s="2" t="str">
        <x:f>IF(COUNTA(A942:F942)=0,"",COUNTIFS('App Data'!$L$2:$L$1001,SUBSTITUTE(SUBSTITUTE(SUBSTITUTE(L942,"~","~~"),"*","~*"),"?","~?")))</x:f>
      </x:c>
      <x:c r="I942" s="13" t="str">
        <x:f>IF(OR(H942&lt;&gt;1,G942&lt;&gt;1),"",SUMIFS('App Data'!$E$2:$E$1001,'App Data'!$L$2:$L$1001,SUBSTITUTE(SUBSTITUTE(SUBSTITUTE(L942,"~","~~"),"*","~*"),"?","~?")))</x:f>
      </x:c>
      <x:c r="J942" s="13" t="str">
        <x:f>IF(OR(NOT(ISNUMBER(E942)),NOT(ISNUMBER(I942))),"",ROUND(E942-I942,2))</x:f>
      </x:c>
      <x:c r="K942" s="2" t="str">
        <x:f>IF(COUNTA(A942:F942)=0,"",IF(OR(A942="",B942="",C942="",D942="",NOT(ISNUMBER(E942))),"Missing / invalid input",IF(G942&gt;1,"Duplicate key in this source",IF(H942=0,"Missing in other source",IF(H942&gt;1,"Duplicate in other source",IF(SUMIFS('App Data'!$M$2:$M$1001,'App Data'!$L$2:$L$1001,SUBSTITUTE(SUBSTITUTE(SUBSTITUTE(L942,"~","~~"),"*","~*"),"?","~?"))&lt;&gt;1,"Other amount is invalid",IF(J942&lt;&gt;0,"Amount differs","Matched")))))))</x:f>
      </x:c>
      <x:c r="L942" t="str">
        <x:f>IF(COUNTA(A942:F942)=0,"",LEN(A942)&amp;":"&amp;A942&amp;LEN(B942)&amp;":"&amp;B942&amp;LEN(C942)&amp;":"&amp;C942&amp;LEN(D942)&amp;":"&amp;D942)</x:f>
      </x:c>
      <x:c r="M942" t="str">
        <x:f>IF(COUNTA(A942:F942)=0,"",IF(ISNUMBER(E942),1,0))</x:f>
      </x:c>
    </x:row>
    <x:row r="943">
      <x:c r="A943" s="11"/>
      <x:c r="B943" s="11"/>
      <x:c r="C943" s="11"/>
      <x:c r="D943" s="11"/>
      <x:c r="E943" s="12"/>
      <x:c r="F943" s="10"/>
      <x:c r="G943" s="2" t="str">
        <x:f>IF(COUNTA(A943:F943)=0,"",COUNTIFS('External Data'!$L$2:$L$1001,SUBSTITUTE(SUBSTITUTE(SUBSTITUTE(L943,"~","~~"),"*","~*"),"?","~?")))</x:f>
      </x:c>
      <x:c r="H943" s="2" t="str">
        <x:f>IF(COUNTA(A943:F943)=0,"",COUNTIFS('App Data'!$L$2:$L$1001,SUBSTITUTE(SUBSTITUTE(SUBSTITUTE(L943,"~","~~"),"*","~*"),"?","~?")))</x:f>
      </x:c>
      <x:c r="I943" s="13" t="str">
        <x:f>IF(OR(H943&lt;&gt;1,G943&lt;&gt;1),"",SUMIFS('App Data'!$E$2:$E$1001,'App Data'!$L$2:$L$1001,SUBSTITUTE(SUBSTITUTE(SUBSTITUTE(L943,"~","~~"),"*","~*"),"?","~?")))</x:f>
      </x:c>
      <x:c r="J943" s="13" t="str">
        <x:f>IF(OR(NOT(ISNUMBER(E943)),NOT(ISNUMBER(I943))),"",ROUND(E943-I943,2))</x:f>
      </x:c>
      <x:c r="K943" s="2" t="str">
        <x:f>IF(COUNTA(A943:F943)=0,"",IF(OR(A943="",B943="",C943="",D943="",NOT(ISNUMBER(E943))),"Missing / invalid input",IF(G943&gt;1,"Duplicate key in this source",IF(H943=0,"Missing in other source",IF(H943&gt;1,"Duplicate in other source",IF(SUMIFS('App Data'!$M$2:$M$1001,'App Data'!$L$2:$L$1001,SUBSTITUTE(SUBSTITUTE(SUBSTITUTE(L943,"~","~~"),"*","~*"),"?","~?"))&lt;&gt;1,"Other amount is invalid",IF(J943&lt;&gt;0,"Amount differs","Matched")))))))</x:f>
      </x:c>
      <x:c r="L943" t="str">
        <x:f>IF(COUNTA(A943:F943)=0,"",LEN(A943)&amp;":"&amp;A943&amp;LEN(B943)&amp;":"&amp;B943&amp;LEN(C943)&amp;":"&amp;C943&amp;LEN(D943)&amp;":"&amp;D943)</x:f>
      </x:c>
      <x:c r="M943" t="str">
        <x:f>IF(COUNTA(A943:F943)=0,"",IF(ISNUMBER(E943),1,0))</x:f>
      </x:c>
    </x:row>
    <x:row r="944">
      <x:c r="A944" s="11"/>
      <x:c r="B944" s="11"/>
      <x:c r="C944" s="11"/>
      <x:c r="D944" s="11"/>
      <x:c r="E944" s="12"/>
      <x:c r="F944" s="10"/>
      <x:c r="G944" s="2" t="str">
        <x:f>IF(COUNTA(A944:F944)=0,"",COUNTIFS('External Data'!$L$2:$L$1001,SUBSTITUTE(SUBSTITUTE(SUBSTITUTE(L944,"~","~~"),"*","~*"),"?","~?")))</x:f>
      </x:c>
      <x:c r="H944" s="2" t="str">
        <x:f>IF(COUNTA(A944:F944)=0,"",COUNTIFS('App Data'!$L$2:$L$1001,SUBSTITUTE(SUBSTITUTE(SUBSTITUTE(L944,"~","~~"),"*","~*"),"?","~?")))</x:f>
      </x:c>
      <x:c r="I944" s="13" t="str">
        <x:f>IF(OR(H944&lt;&gt;1,G944&lt;&gt;1),"",SUMIFS('App Data'!$E$2:$E$1001,'App Data'!$L$2:$L$1001,SUBSTITUTE(SUBSTITUTE(SUBSTITUTE(L944,"~","~~"),"*","~*"),"?","~?")))</x:f>
      </x:c>
      <x:c r="J944" s="13" t="str">
        <x:f>IF(OR(NOT(ISNUMBER(E944)),NOT(ISNUMBER(I944))),"",ROUND(E944-I944,2))</x:f>
      </x:c>
      <x:c r="K944" s="2" t="str">
        <x:f>IF(COUNTA(A944:F944)=0,"",IF(OR(A944="",B944="",C944="",D944="",NOT(ISNUMBER(E944))),"Missing / invalid input",IF(G944&gt;1,"Duplicate key in this source",IF(H944=0,"Missing in other source",IF(H944&gt;1,"Duplicate in other source",IF(SUMIFS('App Data'!$M$2:$M$1001,'App Data'!$L$2:$L$1001,SUBSTITUTE(SUBSTITUTE(SUBSTITUTE(L944,"~","~~"),"*","~*"),"?","~?"))&lt;&gt;1,"Other amount is invalid",IF(J944&lt;&gt;0,"Amount differs","Matched")))))))</x:f>
      </x:c>
      <x:c r="L944" t="str">
        <x:f>IF(COUNTA(A944:F944)=0,"",LEN(A944)&amp;":"&amp;A944&amp;LEN(B944)&amp;":"&amp;B944&amp;LEN(C944)&amp;":"&amp;C944&amp;LEN(D944)&amp;":"&amp;D944)</x:f>
      </x:c>
      <x:c r="M944" t="str">
        <x:f>IF(COUNTA(A944:F944)=0,"",IF(ISNUMBER(E944),1,0))</x:f>
      </x:c>
    </x:row>
    <x:row r="945">
      <x:c r="A945" s="11"/>
      <x:c r="B945" s="11"/>
      <x:c r="C945" s="11"/>
      <x:c r="D945" s="11"/>
      <x:c r="E945" s="12"/>
      <x:c r="F945" s="10"/>
      <x:c r="G945" s="2" t="str">
        <x:f>IF(COUNTA(A945:F945)=0,"",COUNTIFS('External Data'!$L$2:$L$1001,SUBSTITUTE(SUBSTITUTE(SUBSTITUTE(L945,"~","~~"),"*","~*"),"?","~?")))</x:f>
      </x:c>
      <x:c r="H945" s="2" t="str">
        <x:f>IF(COUNTA(A945:F945)=0,"",COUNTIFS('App Data'!$L$2:$L$1001,SUBSTITUTE(SUBSTITUTE(SUBSTITUTE(L945,"~","~~"),"*","~*"),"?","~?")))</x:f>
      </x:c>
      <x:c r="I945" s="13" t="str">
        <x:f>IF(OR(H945&lt;&gt;1,G945&lt;&gt;1),"",SUMIFS('App Data'!$E$2:$E$1001,'App Data'!$L$2:$L$1001,SUBSTITUTE(SUBSTITUTE(SUBSTITUTE(L945,"~","~~"),"*","~*"),"?","~?")))</x:f>
      </x:c>
      <x:c r="J945" s="13" t="str">
        <x:f>IF(OR(NOT(ISNUMBER(E945)),NOT(ISNUMBER(I945))),"",ROUND(E945-I945,2))</x:f>
      </x:c>
      <x:c r="K945" s="2" t="str">
        <x:f>IF(COUNTA(A945:F945)=0,"",IF(OR(A945="",B945="",C945="",D945="",NOT(ISNUMBER(E945))),"Missing / invalid input",IF(G945&gt;1,"Duplicate key in this source",IF(H945=0,"Missing in other source",IF(H945&gt;1,"Duplicate in other source",IF(SUMIFS('App Data'!$M$2:$M$1001,'App Data'!$L$2:$L$1001,SUBSTITUTE(SUBSTITUTE(SUBSTITUTE(L945,"~","~~"),"*","~*"),"?","~?"))&lt;&gt;1,"Other amount is invalid",IF(J945&lt;&gt;0,"Amount differs","Matched")))))))</x:f>
      </x:c>
      <x:c r="L945" t="str">
        <x:f>IF(COUNTA(A945:F945)=0,"",LEN(A945)&amp;":"&amp;A945&amp;LEN(B945)&amp;":"&amp;B945&amp;LEN(C945)&amp;":"&amp;C945&amp;LEN(D945)&amp;":"&amp;D945)</x:f>
      </x:c>
      <x:c r="M945" t="str">
        <x:f>IF(COUNTA(A945:F945)=0,"",IF(ISNUMBER(E945),1,0))</x:f>
      </x:c>
    </x:row>
    <x:row r="946">
      <x:c r="A946" s="11"/>
      <x:c r="B946" s="11"/>
      <x:c r="C946" s="11"/>
      <x:c r="D946" s="11"/>
      <x:c r="E946" s="12"/>
      <x:c r="F946" s="10"/>
      <x:c r="G946" s="2" t="str">
        <x:f>IF(COUNTA(A946:F946)=0,"",COUNTIFS('External Data'!$L$2:$L$1001,SUBSTITUTE(SUBSTITUTE(SUBSTITUTE(L946,"~","~~"),"*","~*"),"?","~?")))</x:f>
      </x:c>
      <x:c r="H946" s="2" t="str">
        <x:f>IF(COUNTA(A946:F946)=0,"",COUNTIFS('App Data'!$L$2:$L$1001,SUBSTITUTE(SUBSTITUTE(SUBSTITUTE(L946,"~","~~"),"*","~*"),"?","~?")))</x:f>
      </x:c>
      <x:c r="I946" s="13" t="str">
        <x:f>IF(OR(H946&lt;&gt;1,G946&lt;&gt;1),"",SUMIFS('App Data'!$E$2:$E$1001,'App Data'!$L$2:$L$1001,SUBSTITUTE(SUBSTITUTE(SUBSTITUTE(L946,"~","~~"),"*","~*"),"?","~?")))</x:f>
      </x:c>
      <x:c r="J946" s="13" t="str">
        <x:f>IF(OR(NOT(ISNUMBER(E946)),NOT(ISNUMBER(I946))),"",ROUND(E946-I946,2))</x:f>
      </x:c>
      <x:c r="K946" s="2" t="str">
        <x:f>IF(COUNTA(A946:F946)=0,"",IF(OR(A946="",B946="",C946="",D946="",NOT(ISNUMBER(E946))),"Missing / invalid input",IF(G946&gt;1,"Duplicate key in this source",IF(H946=0,"Missing in other source",IF(H946&gt;1,"Duplicate in other source",IF(SUMIFS('App Data'!$M$2:$M$1001,'App Data'!$L$2:$L$1001,SUBSTITUTE(SUBSTITUTE(SUBSTITUTE(L946,"~","~~"),"*","~*"),"?","~?"))&lt;&gt;1,"Other amount is invalid",IF(J946&lt;&gt;0,"Amount differs","Matched")))))))</x:f>
      </x:c>
      <x:c r="L946" t="str">
        <x:f>IF(COUNTA(A946:F946)=0,"",LEN(A946)&amp;":"&amp;A946&amp;LEN(B946)&amp;":"&amp;B946&amp;LEN(C946)&amp;":"&amp;C946&amp;LEN(D946)&amp;":"&amp;D946)</x:f>
      </x:c>
      <x:c r="M946" t="str">
        <x:f>IF(COUNTA(A946:F946)=0,"",IF(ISNUMBER(E946),1,0))</x:f>
      </x:c>
    </x:row>
    <x:row r="947">
      <x:c r="A947" s="11"/>
      <x:c r="B947" s="11"/>
      <x:c r="C947" s="11"/>
      <x:c r="D947" s="11"/>
      <x:c r="E947" s="12"/>
      <x:c r="F947" s="10"/>
      <x:c r="G947" s="2" t="str">
        <x:f>IF(COUNTA(A947:F947)=0,"",COUNTIFS('External Data'!$L$2:$L$1001,SUBSTITUTE(SUBSTITUTE(SUBSTITUTE(L947,"~","~~"),"*","~*"),"?","~?")))</x:f>
      </x:c>
      <x:c r="H947" s="2" t="str">
        <x:f>IF(COUNTA(A947:F947)=0,"",COUNTIFS('App Data'!$L$2:$L$1001,SUBSTITUTE(SUBSTITUTE(SUBSTITUTE(L947,"~","~~"),"*","~*"),"?","~?")))</x:f>
      </x:c>
      <x:c r="I947" s="13" t="str">
        <x:f>IF(OR(H947&lt;&gt;1,G947&lt;&gt;1),"",SUMIFS('App Data'!$E$2:$E$1001,'App Data'!$L$2:$L$1001,SUBSTITUTE(SUBSTITUTE(SUBSTITUTE(L947,"~","~~"),"*","~*"),"?","~?")))</x:f>
      </x:c>
      <x:c r="J947" s="13" t="str">
        <x:f>IF(OR(NOT(ISNUMBER(E947)),NOT(ISNUMBER(I947))),"",ROUND(E947-I947,2))</x:f>
      </x:c>
      <x:c r="K947" s="2" t="str">
        <x:f>IF(COUNTA(A947:F947)=0,"",IF(OR(A947="",B947="",C947="",D947="",NOT(ISNUMBER(E947))),"Missing / invalid input",IF(G947&gt;1,"Duplicate key in this source",IF(H947=0,"Missing in other source",IF(H947&gt;1,"Duplicate in other source",IF(SUMIFS('App Data'!$M$2:$M$1001,'App Data'!$L$2:$L$1001,SUBSTITUTE(SUBSTITUTE(SUBSTITUTE(L947,"~","~~"),"*","~*"),"?","~?"))&lt;&gt;1,"Other amount is invalid",IF(J947&lt;&gt;0,"Amount differs","Matched")))))))</x:f>
      </x:c>
      <x:c r="L947" t="str">
        <x:f>IF(COUNTA(A947:F947)=0,"",LEN(A947)&amp;":"&amp;A947&amp;LEN(B947)&amp;":"&amp;B947&amp;LEN(C947)&amp;":"&amp;C947&amp;LEN(D947)&amp;":"&amp;D947)</x:f>
      </x:c>
      <x:c r="M947" t="str">
        <x:f>IF(COUNTA(A947:F947)=0,"",IF(ISNUMBER(E947),1,0))</x:f>
      </x:c>
    </x:row>
    <x:row r="948">
      <x:c r="A948" s="11"/>
      <x:c r="B948" s="11"/>
      <x:c r="C948" s="11"/>
      <x:c r="D948" s="11"/>
      <x:c r="E948" s="12"/>
      <x:c r="F948" s="10"/>
      <x:c r="G948" s="2" t="str">
        <x:f>IF(COUNTA(A948:F948)=0,"",COUNTIFS('External Data'!$L$2:$L$1001,SUBSTITUTE(SUBSTITUTE(SUBSTITUTE(L948,"~","~~"),"*","~*"),"?","~?")))</x:f>
      </x:c>
      <x:c r="H948" s="2" t="str">
        <x:f>IF(COUNTA(A948:F948)=0,"",COUNTIFS('App Data'!$L$2:$L$1001,SUBSTITUTE(SUBSTITUTE(SUBSTITUTE(L948,"~","~~"),"*","~*"),"?","~?")))</x:f>
      </x:c>
      <x:c r="I948" s="13" t="str">
        <x:f>IF(OR(H948&lt;&gt;1,G948&lt;&gt;1),"",SUMIFS('App Data'!$E$2:$E$1001,'App Data'!$L$2:$L$1001,SUBSTITUTE(SUBSTITUTE(SUBSTITUTE(L948,"~","~~"),"*","~*"),"?","~?")))</x:f>
      </x:c>
      <x:c r="J948" s="13" t="str">
        <x:f>IF(OR(NOT(ISNUMBER(E948)),NOT(ISNUMBER(I948))),"",ROUND(E948-I948,2))</x:f>
      </x:c>
      <x:c r="K948" s="2" t="str">
        <x:f>IF(COUNTA(A948:F948)=0,"",IF(OR(A948="",B948="",C948="",D948="",NOT(ISNUMBER(E948))),"Missing / invalid input",IF(G948&gt;1,"Duplicate key in this source",IF(H948=0,"Missing in other source",IF(H948&gt;1,"Duplicate in other source",IF(SUMIFS('App Data'!$M$2:$M$1001,'App Data'!$L$2:$L$1001,SUBSTITUTE(SUBSTITUTE(SUBSTITUTE(L948,"~","~~"),"*","~*"),"?","~?"))&lt;&gt;1,"Other amount is invalid",IF(J948&lt;&gt;0,"Amount differs","Matched")))))))</x:f>
      </x:c>
      <x:c r="L948" t="str">
        <x:f>IF(COUNTA(A948:F948)=0,"",LEN(A948)&amp;":"&amp;A948&amp;LEN(B948)&amp;":"&amp;B948&amp;LEN(C948)&amp;":"&amp;C948&amp;LEN(D948)&amp;":"&amp;D948)</x:f>
      </x:c>
      <x:c r="M948" t="str">
        <x:f>IF(COUNTA(A948:F948)=0,"",IF(ISNUMBER(E948),1,0))</x:f>
      </x:c>
    </x:row>
    <x:row r="949">
      <x:c r="A949" s="11"/>
      <x:c r="B949" s="11"/>
      <x:c r="C949" s="11"/>
      <x:c r="D949" s="11"/>
      <x:c r="E949" s="12"/>
      <x:c r="F949" s="10"/>
      <x:c r="G949" s="2" t="str">
        <x:f>IF(COUNTA(A949:F949)=0,"",COUNTIFS('External Data'!$L$2:$L$1001,SUBSTITUTE(SUBSTITUTE(SUBSTITUTE(L949,"~","~~"),"*","~*"),"?","~?")))</x:f>
      </x:c>
      <x:c r="H949" s="2" t="str">
        <x:f>IF(COUNTA(A949:F949)=0,"",COUNTIFS('App Data'!$L$2:$L$1001,SUBSTITUTE(SUBSTITUTE(SUBSTITUTE(L949,"~","~~"),"*","~*"),"?","~?")))</x:f>
      </x:c>
      <x:c r="I949" s="13" t="str">
        <x:f>IF(OR(H949&lt;&gt;1,G949&lt;&gt;1),"",SUMIFS('App Data'!$E$2:$E$1001,'App Data'!$L$2:$L$1001,SUBSTITUTE(SUBSTITUTE(SUBSTITUTE(L949,"~","~~"),"*","~*"),"?","~?")))</x:f>
      </x:c>
      <x:c r="J949" s="13" t="str">
        <x:f>IF(OR(NOT(ISNUMBER(E949)),NOT(ISNUMBER(I949))),"",ROUND(E949-I949,2))</x:f>
      </x:c>
      <x:c r="K949" s="2" t="str">
        <x:f>IF(COUNTA(A949:F949)=0,"",IF(OR(A949="",B949="",C949="",D949="",NOT(ISNUMBER(E949))),"Missing / invalid input",IF(G949&gt;1,"Duplicate key in this source",IF(H949=0,"Missing in other source",IF(H949&gt;1,"Duplicate in other source",IF(SUMIFS('App Data'!$M$2:$M$1001,'App Data'!$L$2:$L$1001,SUBSTITUTE(SUBSTITUTE(SUBSTITUTE(L949,"~","~~"),"*","~*"),"?","~?"))&lt;&gt;1,"Other amount is invalid",IF(J949&lt;&gt;0,"Amount differs","Matched")))))))</x:f>
      </x:c>
      <x:c r="L949" t="str">
        <x:f>IF(COUNTA(A949:F949)=0,"",LEN(A949)&amp;":"&amp;A949&amp;LEN(B949)&amp;":"&amp;B949&amp;LEN(C949)&amp;":"&amp;C949&amp;LEN(D949)&amp;":"&amp;D949)</x:f>
      </x:c>
      <x:c r="M949" t="str">
        <x:f>IF(COUNTA(A949:F949)=0,"",IF(ISNUMBER(E949),1,0))</x:f>
      </x:c>
    </x:row>
    <x:row r="950">
      <x:c r="A950" s="11"/>
      <x:c r="B950" s="11"/>
      <x:c r="C950" s="11"/>
      <x:c r="D950" s="11"/>
      <x:c r="E950" s="12"/>
      <x:c r="F950" s="10"/>
      <x:c r="G950" s="2" t="str">
        <x:f>IF(COUNTA(A950:F950)=0,"",COUNTIFS('External Data'!$L$2:$L$1001,SUBSTITUTE(SUBSTITUTE(SUBSTITUTE(L950,"~","~~"),"*","~*"),"?","~?")))</x:f>
      </x:c>
      <x:c r="H950" s="2" t="str">
        <x:f>IF(COUNTA(A950:F950)=0,"",COUNTIFS('App Data'!$L$2:$L$1001,SUBSTITUTE(SUBSTITUTE(SUBSTITUTE(L950,"~","~~"),"*","~*"),"?","~?")))</x:f>
      </x:c>
      <x:c r="I950" s="13" t="str">
        <x:f>IF(OR(H950&lt;&gt;1,G950&lt;&gt;1),"",SUMIFS('App Data'!$E$2:$E$1001,'App Data'!$L$2:$L$1001,SUBSTITUTE(SUBSTITUTE(SUBSTITUTE(L950,"~","~~"),"*","~*"),"?","~?")))</x:f>
      </x:c>
      <x:c r="J950" s="13" t="str">
        <x:f>IF(OR(NOT(ISNUMBER(E950)),NOT(ISNUMBER(I950))),"",ROUND(E950-I950,2))</x:f>
      </x:c>
      <x:c r="K950" s="2" t="str">
        <x:f>IF(COUNTA(A950:F950)=0,"",IF(OR(A950="",B950="",C950="",D950="",NOT(ISNUMBER(E950))),"Missing / invalid input",IF(G950&gt;1,"Duplicate key in this source",IF(H950=0,"Missing in other source",IF(H950&gt;1,"Duplicate in other source",IF(SUMIFS('App Data'!$M$2:$M$1001,'App Data'!$L$2:$L$1001,SUBSTITUTE(SUBSTITUTE(SUBSTITUTE(L950,"~","~~"),"*","~*"),"?","~?"))&lt;&gt;1,"Other amount is invalid",IF(J950&lt;&gt;0,"Amount differs","Matched")))))))</x:f>
      </x:c>
      <x:c r="L950" t="str">
        <x:f>IF(COUNTA(A950:F950)=0,"",LEN(A950)&amp;":"&amp;A950&amp;LEN(B950)&amp;":"&amp;B950&amp;LEN(C950)&amp;":"&amp;C950&amp;LEN(D950)&amp;":"&amp;D950)</x:f>
      </x:c>
      <x:c r="M950" t="str">
        <x:f>IF(COUNTA(A950:F950)=0,"",IF(ISNUMBER(E950),1,0))</x:f>
      </x:c>
    </x:row>
    <x:row r="951">
      <x:c r="A951" s="11"/>
      <x:c r="B951" s="11"/>
      <x:c r="C951" s="11"/>
      <x:c r="D951" s="11"/>
      <x:c r="E951" s="12"/>
      <x:c r="F951" s="10"/>
      <x:c r="G951" s="2" t="str">
        <x:f>IF(COUNTA(A951:F951)=0,"",COUNTIFS('External Data'!$L$2:$L$1001,SUBSTITUTE(SUBSTITUTE(SUBSTITUTE(L951,"~","~~"),"*","~*"),"?","~?")))</x:f>
      </x:c>
      <x:c r="H951" s="2" t="str">
        <x:f>IF(COUNTA(A951:F951)=0,"",COUNTIFS('App Data'!$L$2:$L$1001,SUBSTITUTE(SUBSTITUTE(SUBSTITUTE(L951,"~","~~"),"*","~*"),"?","~?")))</x:f>
      </x:c>
      <x:c r="I951" s="13" t="str">
        <x:f>IF(OR(H951&lt;&gt;1,G951&lt;&gt;1),"",SUMIFS('App Data'!$E$2:$E$1001,'App Data'!$L$2:$L$1001,SUBSTITUTE(SUBSTITUTE(SUBSTITUTE(L951,"~","~~"),"*","~*"),"?","~?")))</x:f>
      </x:c>
      <x:c r="J951" s="13" t="str">
        <x:f>IF(OR(NOT(ISNUMBER(E951)),NOT(ISNUMBER(I951))),"",ROUND(E951-I951,2))</x:f>
      </x:c>
      <x:c r="K951" s="2" t="str">
        <x:f>IF(COUNTA(A951:F951)=0,"",IF(OR(A951="",B951="",C951="",D951="",NOT(ISNUMBER(E951))),"Missing / invalid input",IF(G951&gt;1,"Duplicate key in this source",IF(H951=0,"Missing in other source",IF(H951&gt;1,"Duplicate in other source",IF(SUMIFS('App Data'!$M$2:$M$1001,'App Data'!$L$2:$L$1001,SUBSTITUTE(SUBSTITUTE(SUBSTITUTE(L951,"~","~~"),"*","~*"),"?","~?"))&lt;&gt;1,"Other amount is invalid",IF(J951&lt;&gt;0,"Amount differs","Matched")))))))</x:f>
      </x:c>
      <x:c r="L951" t="str">
        <x:f>IF(COUNTA(A951:F951)=0,"",LEN(A951)&amp;":"&amp;A951&amp;LEN(B951)&amp;":"&amp;B951&amp;LEN(C951)&amp;":"&amp;C951&amp;LEN(D951)&amp;":"&amp;D951)</x:f>
      </x:c>
      <x:c r="M951" t="str">
        <x:f>IF(COUNTA(A951:F951)=0,"",IF(ISNUMBER(E951),1,0))</x:f>
      </x:c>
    </x:row>
    <x:row r="952">
      <x:c r="A952" s="11"/>
      <x:c r="B952" s="11"/>
      <x:c r="C952" s="11"/>
      <x:c r="D952" s="11"/>
      <x:c r="E952" s="12"/>
      <x:c r="F952" s="10"/>
      <x:c r="G952" s="2" t="str">
        <x:f>IF(COUNTA(A952:F952)=0,"",COUNTIFS('External Data'!$L$2:$L$1001,SUBSTITUTE(SUBSTITUTE(SUBSTITUTE(L952,"~","~~"),"*","~*"),"?","~?")))</x:f>
      </x:c>
      <x:c r="H952" s="2" t="str">
        <x:f>IF(COUNTA(A952:F952)=0,"",COUNTIFS('App Data'!$L$2:$L$1001,SUBSTITUTE(SUBSTITUTE(SUBSTITUTE(L952,"~","~~"),"*","~*"),"?","~?")))</x:f>
      </x:c>
      <x:c r="I952" s="13" t="str">
        <x:f>IF(OR(H952&lt;&gt;1,G952&lt;&gt;1),"",SUMIFS('App Data'!$E$2:$E$1001,'App Data'!$L$2:$L$1001,SUBSTITUTE(SUBSTITUTE(SUBSTITUTE(L952,"~","~~"),"*","~*"),"?","~?")))</x:f>
      </x:c>
      <x:c r="J952" s="13" t="str">
        <x:f>IF(OR(NOT(ISNUMBER(E952)),NOT(ISNUMBER(I952))),"",ROUND(E952-I952,2))</x:f>
      </x:c>
      <x:c r="K952" s="2" t="str">
        <x:f>IF(COUNTA(A952:F952)=0,"",IF(OR(A952="",B952="",C952="",D952="",NOT(ISNUMBER(E952))),"Missing / invalid input",IF(G952&gt;1,"Duplicate key in this source",IF(H952=0,"Missing in other source",IF(H952&gt;1,"Duplicate in other source",IF(SUMIFS('App Data'!$M$2:$M$1001,'App Data'!$L$2:$L$1001,SUBSTITUTE(SUBSTITUTE(SUBSTITUTE(L952,"~","~~"),"*","~*"),"?","~?"))&lt;&gt;1,"Other amount is invalid",IF(J952&lt;&gt;0,"Amount differs","Matched")))))))</x:f>
      </x:c>
      <x:c r="L952" t="str">
        <x:f>IF(COUNTA(A952:F952)=0,"",LEN(A952)&amp;":"&amp;A952&amp;LEN(B952)&amp;":"&amp;B952&amp;LEN(C952)&amp;":"&amp;C952&amp;LEN(D952)&amp;":"&amp;D952)</x:f>
      </x:c>
      <x:c r="M952" t="str">
        <x:f>IF(COUNTA(A952:F952)=0,"",IF(ISNUMBER(E952),1,0))</x:f>
      </x:c>
    </x:row>
    <x:row r="953">
      <x:c r="A953" s="11"/>
      <x:c r="B953" s="11"/>
      <x:c r="C953" s="11"/>
      <x:c r="D953" s="11"/>
      <x:c r="E953" s="12"/>
      <x:c r="F953" s="10"/>
      <x:c r="G953" s="2" t="str">
        <x:f>IF(COUNTA(A953:F953)=0,"",COUNTIFS('External Data'!$L$2:$L$1001,SUBSTITUTE(SUBSTITUTE(SUBSTITUTE(L953,"~","~~"),"*","~*"),"?","~?")))</x:f>
      </x:c>
      <x:c r="H953" s="2" t="str">
        <x:f>IF(COUNTA(A953:F953)=0,"",COUNTIFS('App Data'!$L$2:$L$1001,SUBSTITUTE(SUBSTITUTE(SUBSTITUTE(L953,"~","~~"),"*","~*"),"?","~?")))</x:f>
      </x:c>
      <x:c r="I953" s="13" t="str">
        <x:f>IF(OR(H953&lt;&gt;1,G953&lt;&gt;1),"",SUMIFS('App Data'!$E$2:$E$1001,'App Data'!$L$2:$L$1001,SUBSTITUTE(SUBSTITUTE(SUBSTITUTE(L953,"~","~~"),"*","~*"),"?","~?")))</x:f>
      </x:c>
      <x:c r="J953" s="13" t="str">
        <x:f>IF(OR(NOT(ISNUMBER(E953)),NOT(ISNUMBER(I953))),"",ROUND(E953-I953,2))</x:f>
      </x:c>
      <x:c r="K953" s="2" t="str">
        <x:f>IF(COUNTA(A953:F953)=0,"",IF(OR(A953="",B953="",C953="",D953="",NOT(ISNUMBER(E953))),"Missing / invalid input",IF(G953&gt;1,"Duplicate key in this source",IF(H953=0,"Missing in other source",IF(H953&gt;1,"Duplicate in other source",IF(SUMIFS('App Data'!$M$2:$M$1001,'App Data'!$L$2:$L$1001,SUBSTITUTE(SUBSTITUTE(SUBSTITUTE(L953,"~","~~"),"*","~*"),"?","~?"))&lt;&gt;1,"Other amount is invalid",IF(J953&lt;&gt;0,"Amount differs","Matched")))))))</x:f>
      </x:c>
      <x:c r="L953" t="str">
        <x:f>IF(COUNTA(A953:F953)=0,"",LEN(A953)&amp;":"&amp;A953&amp;LEN(B953)&amp;":"&amp;B953&amp;LEN(C953)&amp;":"&amp;C953&amp;LEN(D953)&amp;":"&amp;D953)</x:f>
      </x:c>
      <x:c r="M953" t="str">
        <x:f>IF(COUNTA(A953:F953)=0,"",IF(ISNUMBER(E953),1,0))</x:f>
      </x:c>
    </x:row>
    <x:row r="954">
      <x:c r="A954" s="11"/>
      <x:c r="B954" s="11"/>
      <x:c r="C954" s="11"/>
      <x:c r="D954" s="11"/>
      <x:c r="E954" s="12"/>
      <x:c r="F954" s="10"/>
      <x:c r="G954" s="2" t="str">
        <x:f>IF(COUNTA(A954:F954)=0,"",COUNTIFS('External Data'!$L$2:$L$1001,SUBSTITUTE(SUBSTITUTE(SUBSTITUTE(L954,"~","~~"),"*","~*"),"?","~?")))</x:f>
      </x:c>
      <x:c r="H954" s="2" t="str">
        <x:f>IF(COUNTA(A954:F954)=0,"",COUNTIFS('App Data'!$L$2:$L$1001,SUBSTITUTE(SUBSTITUTE(SUBSTITUTE(L954,"~","~~"),"*","~*"),"?","~?")))</x:f>
      </x:c>
      <x:c r="I954" s="13" t="str">
        <x:f>IF(OR(H954&lt;&gt;1,G954&lt;&gt;1),"",SUMIFS('App Data'!$E$2:$E$1001,'App Data'!$L$2:$L$1001,SUBSTITUTE(SUBSTITUTE(SUBSTITUTE(L954,"~","~~"),"*","~*"),"?","~?")))</x:f>
      </x:c>
      <x:c r="J954" s="13" t="str">
        <x:f>IF(OR(NOT(ISNUMBER(E954)),NOT(ISNUMBER(I954))),"",ROUND(E954-I954,2))</x:f>
      </x:c>
      <x:c r="K954" s="2" t="str">
        <x:f>IF(COUNTA(A954:F954)=0,"",IF(OR(A954="",B954="",C954="",D954="",NOT(ISNUMBER(E954))),"Missing / invalid input",IF(G954&gt;1,"Duplicate key in this source",IF(H954=0,"Missing in other source",IF(H954&gt;1,"Duplicate in other source",IF(SUMIFS('App Data'!$M$2:$M$1001,'App Data'!$L$2:$L$1001,SUBSTITUTE(SUBSTITUTE(SUBSTITUTE(L954,"~","~~"),"*","~*"),"?","~?"))&lt;&gt;1,"Other amount is invalid",IF(J954&lt;&gt;0,"Amount differs","Matched")))))))</x:f>
      </x:c>
      <x:c r="L954" t="str">
        <x:f>IF(COUNTA(A954:F954)=0,"",LEN(A954)&amp;":"&amp;A954&amp;LEN(B954)&amp;":"&amp;B954&amp;LEN(C954)&amp;":"&amp;C954&amp;LEN(D954)&amp;":"&amp;D954)</x:f>
      </x:c>
      <x:c r="M954" t="str">
        <x:f>IF(COUNTA(A954:F954)=0,"",IF(ISNUMBER(E954),1,0))</x:f>
      </x:c>
    </x:row>
    <x:row r="955">
      <x:c r="A955" s="11"/>
      <x:c r="B955" s="11"/>
      <x:c r="C955" s="11"/>
      <x:c r="D955" s="11"/>
      <x:c r="E955" s="12"/>
      <x:c r="F955" s="10"/>
      <x:c r="G955" s="2" t="str">
        <x:f>IF(COUNTA(A955:F955)=0,"",COUNTIFS('External Data'!$L$2:$L$1001,SUBSTITUTE(SUBSTITUTE(SUBSTITUTE(L955,"~","~~"),"*","~*"),"?","~?")))</x:f>
      </x:c>
      <x:c r="H955" s="2" t="str">
        <x:f>IF(COUNTA(A955:F955)=0,"",COUNTIFS('App Data'!$L$2:$L$1001,SUBSTITUTE(SUBSTITUTE(SUBSTITUTE(L955,"~","~~"),"*","~*"),"?","~?")))</x:f>
      </x:c>
      <x:c r="I955" s="13" t="str">
        <x:f>IF(OR(H955&lt;&gt;1,G955&lt;&gt;1),"",SUMIFS('App Data'!$E$2:$E$1001,'App Data'!$L$2:$L$1001,SUBSTITUTE(SUBSTITUTE(SUBSTITUTE(L955,"~","~~"),"*","~*"),"?","~?")))</x:f>
      </x:c>
      <x:c r="J955" s="13" t="str">
        <x:f>IF(OR(NOT(ISNUMBER(E955)),NOT(ISNUMBER(I955))),"",ROUND(E955-I955,2))</x:f>
      </x:c>
      <x:c r="K955" s="2" t="str">
        <x:f>IF(COUNTA(A955:F955)=0,"",IF(OR(A955="",B955="",C955="",D955="",NOT(ISNUMBER(E955))),"Missing / invalid input",IF(G955&gt;1,"Duplicate key in this source",IF(H955=0,"Missing in other source",IF(H955&gt;1,"Duplicate in other source",IF(SUMIFS('App Data'!$M$2:$M$1001,'App Data'!$L$2:$L$1001,SUBSTITUTE(SUBSTITUTE(SUBSTITUTE(L955,"~","~~"),"*","~*"),"?","~?"))&lt;&gt;1,"Other amount is invalid",IF(J955&lt;&gt;0,"Amount differs","Matched")))))))</x:f>
      </x:c>
      <x:c r="L955" t="str">
        <x:f>IF(COUNTA(A955:F955)=0,"",LEN(A955)&amp;":"&amp;A955&amp;LEN(B955)&amp;":"&amp;B955&amp;LEN(C955)&amp;":"&amp;C955&amp;LEN(D955)&amp;":"&amp;D955)</x:f>
      </x:c>
      <x:c r="M955" t="str">
        <x:f>IF(COUNTA(A955:F955)=0,"",IF(ISNUMBER(E955),1,0))</x:f>
      </x:c>
    </x:row>
    <x:row r="956">
      <x:c r="A956" s="11"/>
      <x:c r="B956" s="11"/>
      <x:c r="C956" s="11"/>
      <x:c r="D956" s="11"/>
      <x:c r="E956" s="12"/>
      <x:c r="F956" s="10"/>
      <x:c r="G956" s="2" t="str">
        <x:f>IF(COUNTA(A956:F956)=0,"",COUNTIFS('External Data'!$L$2:$L$1001,SUBSTITUTE(SUBSTITUTE(SUBSTITUTE(L956,"~","~~"),"*","~*"),"?","~?")))</x:f>
      </x:c>
      <x:c r="H956" s="2" t="str">
        <x:f>IF(COUNTA(A956:F956)=0,"",COUNTIFS('App Data'!$L$2:$L$1001,SUBSTITUTE(SUBSTITUTE(SUBSTITUTE(L956,"~","~~"),"*","~*"),"?","~?")))</x:f>
      </x:c>
      <x:c r="I956" s="13" t="str">
        <x:f>IF(OR(H956&lt;&gt;1,G956&lt;&gt;1),"",SUMIFS('App Data'!$E$2:$E$1001,'App Data'!$L$2:$L$1001,SUBSTITUTE(SUBSTITUTE(SUBSTITUTE(L956,"~","~~"),"*","~*"),"?","~?")))</x:f>
      </x:c>
      <x:c r="J956" s="13" t="str">
        <x:f>IF(OR(NOT(ISNUMBER(E956)),NOT(ISNUMBER(I956))),"",ROUND(E956-I956,2))</x:f>
      </x:c>
      <x:c r="K956" s="2" t="str">
        <x:f>IF(COUNTA(A956:F956)=0,"",IF(OR(A956="",B956="",C956="",D956="",NOT(ISNUMBER(E956))),"Missing / invalid input",IF(G956&gt;1,"Duplicate key in this source",IF(H956=0,"Missing in other source",IF(H956&gt;1,"Duplicate in other source",IF(SUMIFS('App Data'!$M$2:$M$1001,'App Data'!$L$2:$L$1001,SUBSTITUTE(SUBSTITUTE(SUBSTITUTE(L956,"~","~~"),"*","~*"),"?","~?"))&lt;&gt;1,"Other amount is invalid",IF(J956&lt;&gt;0,"Amount differs","Matched")))))))</x:f>
      </x:c>
      <x:c r="L956" t="str">
        <x:f>IF(COUNTA(A956:F956)=0,"",LEN(A956)&amp;":"&amp;A956&amp;LEN(B956)&amp;":"&amp;B956&amp;LEN(C956)&amp;":"&amp;C956&amp;LEN(D956)&amp;":"&amp;D956)</x:f>
      </x:c>
      <x:c r="M956" t="str">
        <x:f>IF(COUNTA(A956:F956)=0,"",IF(ISNUMBER(E956),1,0))</x:f>
      </x:c>
    </x:row>
    <x:row r="957">
      <x:c r="A957" s="11"/>
      <x:c r="B957" s="11"/>
      <x:c r="C957" s="11"/>
      <x:c r="D957" s="11"/>
      <x:c r="E957" s="12"/>
      <x:c r="F957" s="10"/>
      <x:c r="G957" s="2" t="str">
        <x:f>IF(COUNTA(A957:F957)=0,"",COUNTIFS('External Data'!$L$2:$L$1001,SUBSTITUTE(SUBSTITUTE(SUBSTITUTE(L957,"~","~~"),"*","~*"),"?","~?")))</x:f>
      </x:c>
      <x:c r="H957" s="2" t="str">
        <x:f>IF(COUNTA(A957:F957)=0,"",COUNTIFS('App Data'!$L$2:$L$1001,SUBSTITUTE(SUBSTITUTE(SUBSTITUTE(L957,"~","~~"),"*","~*"),"?","~?")))</x:f>
      </x:c>
      <x:c r="I957" s="13" t="str">
        <x:f>IF(OR(H957&lt;&gt;1,G957&lt;&gt;1),"",SUMIFS('App Data'!$E$2:$E$1001,'App Data'!$L$2:$L$1001,SUBSTITUTE(SUBSTITUTE(SUBSTITUTE(L957,"~","~~"),"*","~*"),"?","~?")))</x:f>
      </x:c>
      <x:c r="J957" s="13" t="str">
        <x:f>IF(OR(NOT(ISNUMBER(E957)),NOT(ISNUMBER(I957))),"",ROUND(E957-I957,2))</x:f>
      </x:c>
      <x:c r="K957" s="2" t="str">
        <x:f>IF(COUNTA(A957:F957)=0,"",IF(OR(A957="",B957="",C957="",D957="",NOT(ISNUMBER(E957))),"Missing / invalid input",IF(G957&gt;1,"Duplicate key in this source",IF(H957=0,"Missing in other source",IF(H957&gt;1,"Duplicate in other source",IF(SUMIFS('App Data'!$M$2:$M$1001,'App Data'!$L$2:$L$1001,SUBSTITUTE(SUBSTITUTE(SUBSTITUTE(L957,"~","~~"),"*","~*"),"?","~?"))&lt;&gt;1,"Other amount is invalid",IF(J957&lt;&gt;0,"Amount differs","Matched")))))))</x:f>
      </x:c>
      <x:c r="L957" t="str">
        <x:f>IF(COUNTA(A957:F957)=0,"",LEN(A957)&amp;":"&amp;A957&amp;LEN(B957)&amp;":"&amp;B957&amp;LEN(C957)&amp;":"&amp;C957&amp;LEN(D957)&amp;":"&amp;D957)</x:f>
      </x:c>
      <x:c r="M957" t="str">
        <x:f>IF(COUNTA(A957:F957)=0,"",IF(ISNUMBER(E957),1,0))</x:f>
      </x:c>
    </x:row>
    <x:row r="958">
      <x:c r="A958" s="11"/>
      <x:c r="B958" s="11"/>
      <x:c r="C958" s="11"/>
      <x:c r="D958" s="11"/>
      <x:c r="E958" s="12"/>
      <x:c r="F958" s="10"/>
      <x:c r="G958" s="2" t="str">
        <x:f>IF(COUNTA(A958:F958)=0,"",COUNTIFS('External Data'!$L$2:$L$1001,SUBSTITUTE(SUBSTITUTE(SUBSTITUTE(L958,"~","~~"),"*","~*"),"?","~?")))</x:f>
      </x:c>
      <x:c r="H958" s="2" t="str">
        <x:f>IF(COUNTA(A958:F958)=0,"",COUNTIFS('App Data'!$L$2:$L$1001,SUBSTITUTE(SUBSTITUTE(SUBSTITUTE(L958,"~","~~"),"*","~*"),"?","~?")))</x:f>
      </x:c>
      <x:c r="I958" s="13" t="str">
        <x:f>IF(OR(H958&lt;&gt;1,G958&lt;&gt;1),"",SUMIFS('App Data'!$E$2:$E$1001,'App Data'!$L$2:$L$1001,SUBSTITUTE(SUBSTITUTE(SUBSTITUTE(L958,"~","~~"),"*","~*"),"?","~?")))</x:f>
      </x:c>
      <x:c r="J958" s="13" t="str">
        <x:f>IF(OR(NOT(ISNUMBER(E958)),NOT(ISNUMBER(I958))),"",ROUND(E958-I958,2))</x:f>
      </x:c>
      <x:c r="K958" s="2" t="str">
        <x:f>IF(COUNTA(A958:F958)=0,"",IF(OR(A958="",B958="",C958="",D958="",NOT(ISNUMBER(E958))),"Missing / invalid input",IF(G958&gt;1,"Duplicate key in this source",IF(H958=0,"Missing in other source",IF(H958&gt;1,"Duplicate in other source",IF(SUMIFS('App Data'!$M$2:$M$1001,'App Data'!$L$2:$L$1001,SUBSTITUTE(SUBSTITUTE(SUBSTITUTE(L958,"~","~~"),"*","~*"),"?","~?"))&lt;&gt;1,"Other amount is invalid",IF(J958&lt;&gt;0,"Amount differs","Matched")))))))</x:f>
      </x:c>
      <x:c r="L958" t="str">
        <x:f>IF(COUNTA(A958:F958)=0,"",LEN(A958)&amp;":"&amp;A958&amp;LEN(B958)&amp;":"&amp;B958&amp;LEN(C958)&amp;":"&amp;C958&amp;LEN(D958)&amp;":"&amp;D958)</x:f>
      </x:c>
      <x:c r="M958" t="str">
        <x:f>IF(COUNTA(A958:F958)=0,"",IF(ISNUMBER(E958),1,0))</x:f>
      </x:c>
    </x:row>
    <x:row r="959">
      <x:c r="A959" s="11"/>
      <x:c r="B959" s="11"/>
      <x:c r="C959" s="11"/>
      <x:c r="D959" s="11"/>
      <x:c r="E959" s="12"/>
      <x:c r="F959" s="10"/>
      <x:c r="G959" s="2" t="str">
        <x:f>IF(COUNTA(A959:F959)=0,"",COUNTIFS('External Data'!$L$2:$L$1001,SUBSTITUTE(SUBSTITUTE(SUBSTITUTE(L959,"~","~~"),"*","~*"),"?","~?")))</x:f>
      </x:c>
      <x:c r="H959" s="2" t="str">
        <x:f>IF(COUNTA(A959:F959)=0,"",COUNTIFS('App Data'!$L$2:$L$1001,SUBSTITUTE(SUBSTITUTE(SUBSTITUTE(L959,"~","~~"),"*","~*"),"?","~?")))</x:f>
      </x:c>
      <x:c r="I959" s="13" t="str">
        <x:f>IF(OR(H959&lt;&gt;1,G959&lt;&gt;1),"",SUMIFS('App Data'!$E$2:$E$1001,'App Data'!$L$2:$L$1001,SUBSTITUTE(SUBSTITUTE(SUBSTITUTE(L959,"~","~~"),"*","~*"),"?","~?")))</x:f>
      </x:c>
      <x:c r="J959" s="13" t="str">
        <x:f>IF(OR(NOT(ISNUMBER(E959)),NOT(ISNUMBER(I959))),"",ROUND(E959-I959,2))</x:f>
      </x:c>
      <x:c r="K959" s="2" t="str">
        <x:f>IF(COUNTA(A959:F959)=0,"",IF(OR(A959="",B959="",C959="",D959="",NOT(ISNUMBER(E959))),"Missing / invalid input",IF(G959&gt;1,"Duplicate key in this source",IF(H959=0,"Missing in other source",IF(H959&gt;1,"Duplicate in other source",IF(SUMIFS('App Data'!$M$2:$M$1001,'App Data'!$L$2:$L$1001,SUBSTITUTE(SUBSTITUTE(SUBSTITUTE(L959,"~","~~"),"*","~*"),"?","~?"))&lt;&gt;1,"Other amount is invalid",IF(J959&lt;&gt;0,"Amount differs","Matched")))))))</x:f>
      </x:c>
      <x:c r="L959" t="str">
        <x:f>IF(COUNTA(A959:F959)=0,"",LEN(A959)&amp;":"&amp;A959&amp;LEN(B959)&amp;":"&amp;B959&amp;LEN(C959)&amp;":"&amp;C959&amp;LEN(D959)&amp;":"&amp;D959)</x:f>
      </x:c>
      <x:c r="M959" t="str">
        <x:f>IF(COUNTA(A959:F959)=0,"",IF(ISNUMBER(E959),1,0))</x:f>
      </x:c>
    </x:row>
    <x:row r="960">
      <x:c r="A960" s="11"/>
      <x:c r="B960" s="11"/>
      <x:c r="C960" s="11"/>
      <x:c r="D960" s="11"/>
      <x:c r="E960" s="12"/>
      <x:c r="F960" s="10"/>
      <x:c r="G960" s="2" t="str">
        <x:f>IF(COUNTA(A960:F960)=0,"",COUNTIFS('External Data'!$L$2:$L$1001,SUBSTITUTE(SUBSTITUTE(SUBSTITUTE(L960,"~","~~"),"*","~*"),"?","~?")))</x:f>
      </x:c>
      <x:c r="H960" s="2" t="str">
        <x:f>IF(COUNTA(A960:F960)=0,"",COUNTIFS('App Data'!$L$2:$L$1001,SUBSTITUTE(SUBSTITUTE(SUBSTITUTE(L960,"~","~~"),"*","~*"),"?","~?")))</x:f>
      </x:c>
      <x:c r="I960" s="13" t="str">
        <x:f>IF(OR(H960&lt;&gt;1,G960&lt;&gt;1),"",SUMIFS('App Data'!$E$2:$E$1001,'App Data'!$L$2:$L$1001,SUBSTITUTE(SUBSTITUTE(SUBSTITUTE(L960,"~","~~"),"*","~*"),"?","~?")))</x:f>
      </x:c>
      <x:c r="J960" s="13" t="str">
        <x:f>IF(OR(NOT(ISNUMBER(E960)),NOT(ISNUMBER(I960))),"",ROUND(E960-I960,2))</x:f>
      </x:c>
      <x:c r="K960" s="2" t="str">
        <x:f>IF(COUNTA(A960:F960)=0,"",IF(OR(A960="",B960="",C960="",D960="",NOT(ISNUMBER(E960))),"Missing / invalid input",IF(G960&gt;1,"Duplicate key in this source",IF(H960=0,"Missing in other source",IF(H960&gt;1,"Duplicate in other source",IF(SUMIFS('App Data'!$M$2:$M$1001,'App Data'!$L$2:$L$1001,SUBSTITUTE(SUBSTITUTE(SUBSTITUTE(L960,"~","~~"),"*","~*"),"?","~?"))&lt;&gt;1,"Other amount is invalid",IF(J960&lt;&gt;0,"Amount differs","Matched")))))))</x:f>
      </x:c>
      <x:c r="L960" t="str">
        <x:f>IF(COUNTA(A960:F960)=0,"",LEN(A960)&amp;":"&amp;A960&amp;LEN(B960)&amp;":"&amp;B960&amp;LEN(C960)&amp;":"&amp;C960&amp;LEN(D960)&amp;":"&amp;D960)</x:f>
      </x:c>
      <x:c r="M960" t="str">
        <x:f>IF(COUNTA(A960:F960)=0,"",IF(ISNUMBER(E960),1,0))</x:f>
      </x:c>
    </x:row>
    <x:row r="961">
      <x:c r="A961" s="11"/>
      <x:c r="B961" s="11"/>
      <x:c r="C961" s="11"/>
      <x:c r="D961" s="11"/>
      <x:c r="E961" s="12"/>
      <x:c r="F961" s="10"/>
      <x:c r="G961" s="2" t="str">
        <x:f>IF(COUNTA(A961:F961)=0,"",COUNTIFS('External Data'!$L$2:$L$1001,SUBSTITUTE(SUBSTITUTE(SUBSTITUTE(L961,"~","~~"),"*","~*"),"?","~?")))</x:f>
      </x:c>
      <x:c r="H961" s="2" t="str">
        <x:f>IF(COUNTA(A961:F961)=0,"",COUNTIFS('App Data'!$L$2:$L$1001,SUBSTITUTE(SUBSTITUTE(SUBSTITUTE(L961,"~","~~"),"*","~*"),"?","~?")))</x:f>
      </x:c>
      <x:c r="I961" s="13" t="str">
        <x:f>IF(OR(H961&lt;&gt;1,G961&lt;&gt;1),"",SUMIFS('App Data'!$E$2:$E$1001,'App Data'!$L$2:$L$1001,SUBSTITUTE(SUBSTITUTE(SUBSTITUTE(L961,"~","~~"),"*","~*"),"?","~?")))</x:f>
      </x:c>
      <x:c r="J961" s="13" t="str">
        <x:f>IF(OR(NOT(ISNUMBER(E961)),NOT(ISNUMBER(I961))),"",ROUND(E961-I961,2))</x:f>
      </x:c>
      <x:c r="K961" s="2" t="str">
        <x:f>IF(COUNTA(A961:F961)=0,"",IF(OR(A961="",B961="",C961="",D961="",NOT(ISNUMBER(E961))),"Missing / invalid input",IF(G961&gt;1,"Duplicate key in this source",IF(H961=0,"Missing in other source",IF(H961&gt;1,"Duplicate in other source",IF(SUMIFS('App Data'!$M$2:$M$1001,'App Data'!$L$2:$L$1001,SUBSTITUTE(SUBSTITUTE(SUBSTITUTE(L961,"~","~~"),"*","~*"),"?","~?"))&lt;&gt;1,"Other amount is invalid",IF(J961&lt;&gt;0,"Amount differs","Matched")))))))</x:f>
      </x:c>
      <x:c r="L961" t="str">
        <x:f>IF(COUNTA(A961:F961)=0,"",LEN(A961)&amp;":"&amp;A961&amp;LEN(B961)&amp;":"&amp;B961&amp;LEN(C961)&amp;":"&amp;C961&amp;LEN(D961)&amp;":"&amp;D961)</x:f>
      </x:c>
      <x:c r="M961" t="str">
        <x:f>IF(COUNTA(A961:F961)=0,"",IF(ISNUMBER(E961),1,0))</x:f>
      </x:c>
    </x:row>
    <x:row r="962">
      <x:c r="A962" s="11"/>
      <x:c r="B962" s="11"/>
      <x:c r="C962" s="11"/>
      <x:c r="D962" s="11"/>
      <x:c r="E962" s="12"/>
      <x:c r="F962" s="10"/>
      <x:c r="G962" s="2" t="str">
        <x:f>IF(COUNTA(A962:F962)=0,"",COUNTIFS('External Data'!$L$2:$L$1001,SUBSTITUTE(SUBSTITUTE(SUBSTITUTE(L962,"~","~~"),"*","~*"),"?","~?")))</x:f>
      </x:c>
      <x:c r="H962" s="2" t="str">
        <x:f>IF(COUNTA(A962:F962)=0,"",COUNTIFS('App Data'!$L$2:$L$1001,SUBSTITUTE(SUBSTITUTE(SUBSTITUTE(L962,"~","~~"),"*","~*"),"?","~?")))</x:f>
      </x:c>
      <x:c r="I962" s="13" t="str">
        <x:f>IF(OR(H962&lt;&gt;1,G962&lt;&gt;1),"",SUMIFS('App Data'!$E$2:$E$1001,'App Data'!$L$2:$L$1001,SUBSTITUTE(SUBSTITUTE(SUBSTITUTE(L962,"~","~~"),"*","~*"),"?","~?")))</x:f>
      </x:c>
      <x:c r="J962" s="13" t="str">
        <x:f>IF(OR(NOT(ISNUMBER(E962)),NOT(ISNUMBER(I962))),"",ROUND(E962-I962,2))</x:f>
      </x:c>
      <x:c r="K962" s="2" t="str">
        <x:f>IF(COUNTA(A962:F962)=0,"",IF(OR(A962="",B962="",C962="",D962="",NOT(ISNUMBER(E962))),"Missing / invalid input",IF(G962&gt;1,"Duplicate key in this source",IF(H962=0,"Missing in other source",IF(H962&gt;1,"Duplicate in other source",IF(SUMIFS('App Data'!$M$2:$M$1001,'App Data'!$L$2:$L$1001,SUBSTITUTE(SUBSTITUTE(SUBSTITUTE(L962,"~","~~"),"*","~*"),"?","~?"))&lt;&gt;1,"Other amount is invalid",IF(J962&lt;&gt;0,"Amount differs","Matched")))))))</x:f>
      </x:c>
      <x:c r="L962" t="str">
        <x:f>IF(COUNTA(A962:F962)=0,"",LEN(A962)&amp;":"&amp;A962&amp;LEN(B962)&amp;":"&amp;B962&amp;LEN(C962)&amp;":"&amp;C962&amp;LEN(D962)&amp;":"&amp;D962)</x:f>
      </x:c>
      <x:c r="M962" t="str">
        <x:f>IF(COUNTA(A962:F962)=0,"",IF(ISNUMBER(E962),1,0))</x:f>
      </x:c>
    </x:row>
    <x:row r="963">
      <x:c r="A963" s="11"/>
      <x:c r="B963" s="11"/>
      <x:c r="C963" s="11"/>
      <x:c r="D963" s="11"/>
      <x:c r="E963" s="12"/>
      <x:c r="F963" s="10"/>
      <x:c r="G963" s="2" t="str">
        <x:f>IF(COUNTA(A963:F963)=0,"",COUNTIFS('External Data'!$L$2:$L$1001,SUBSTITUTE(SUBSTITUTE(SUBSTITUTE(L963,"~","~~"),"*","~*"),"?","~?")))</x:f>
      </x:c>
      <x:c r="H963" s="2" t="str">
        <x:f>IF(COUNTA(A963:F963)=0,"",COUNTIFS('App Data'!$L$2:$L$1001,SUBSTITUTE(SUBSTITUTE(SUBSTITUTE(L963,"~","~~"),"*","~*"),"?","~?")))</x:f>
      </x:c>
      <x:c r="I963" s="13" t="str">
        <x:f>IF(OR(H963&lt;&gt;1,G963&lt;&gt;1),"",SUMIFS('App Data'!$E$2:$E$1001,'App Data'!$L$2:$L$1001,SUBSTITUTE(SUBSTITUTE(SUBSTITUTE(L963,"~","~~"),"*","~*"),"?","~?")))</x:f>
      </x:c>
      <x:c r="J963" s="13" t="str">
        <x:f>IF(OR(NOT(ISNUMBER(E963)),NOT(ISNUMBER(I963))),"",ROUND(E963-I963,2))</x:f>
      </x:c>
      <x:c r="K963" s="2" t="str">
        <x:f>IF(COUNTA(A963:F963)=0,"",IF(OR(A963="",B963="",C963="",D963="",NOT(ISNUMBER(E963))),"Missing / invalid input",IF(G963&gt;1,"Duplicate key in this source",IF(H963=0,"Missing in other source",IF(H963&gt;1,"Duplicate in other source",IF(SUMIFS('App Data'!$M$2:$M$1001,'App Data'!$L$2:$L$1001,SUBSTITUTE(SUBSTITUTE(SUBSTITUTE(L963,"~","~~"),"*","~*"),"?","~?"))&lt;&gt;1,"Other amount is invalid",IF(J963&lt;&gt;0,"Amount differs","Matched")))))))</x:f>
      </x:c>
      <x:c r="L963" t="str">
        <x:f>IF(COUNTA(A963:F963)=0,"",LEN(A963)&amp;":"&amp;A963&amp;LEN(B963)&amp;":"&amp;B963&amp;LEN(C963)&amp;":"&amp;C963&amp;LEN(D963)&amp;":"&amp;D963)</x:f>
      </x:c>
      <x:c r="M963" t="str">
        <x:f>IF(COUNTA(A963:F963)=0,"",IF(ISNUMBER(E963),1,0))</x:f>
      </x:c>
    </x:row>
    <x:row r="964">
      <x:c r="A964" s="11"/>
      <x:c r="B964" s="11"/>
      <x:c r="C964" s="11"/>
      <x:c r="D964" s="11"/>
      <x:c r="E964" s="12"/>
      <x:c r="F964" s="10"/>
      <x:c r="G964" s="2" t="str">
        <x:f>IF(COUNTA(A964:F964)=0,"",COUNTIFS('External Data'!$L$2:$L$1001,SUBSTITUTE(SUBSTITUTE(SUBSTITUTE(L964,"~","~~"),"*","~*"),"?","~?")))</x:f>
      </x:c>
      <x:c r="H964" s="2" t="str">
        <x:f>IF(COUNTA(A964:F964)=0,"",COUNTIFS('App Data'!$L$2:$L$1001,SUBSTITUTE(SUBSTITUTE(SUBSTITUTE(L964,"~","~~"),"*","~*"),"?","~?")))</x:f>
      </x:c>
      <x:c r="I964" s="13" t="str">
        <x:f>IF(OR(H964&lt;&gt;1,G964&lt;&gt;1),"",SUMIFS('App Data'!$E$2:$E$1001,'App Data'!$L$2:$L$1001,SUBSTITUTE(SUBSTITUTE(SUBSTITUTE(L964,"~","~~"),"*","~*"),"?","~?")))</x:f>
      </x:c>
      <x:c r="J964" s="13" t="str">
        <x:f>IF(OR(NOT(ISNUMBER(E964)),NOT(ISNUMBER(I964))),"",ROUND(E964-I964,2))</x:f>
      </x:c>
      <x:c r="K964" s="2" t="str">
        <x:f>IF(COUNTA(A964:F964)=0,"",IF(OR(A964="",B964="",C964="",D964="",NOT(ISNUMBER(E964))),"Missing / invalid input",IF(G964&gt;1,"Duplicate key in this source",IF(H964=0,"Missing in other source",IF(H964&gt;1,"Duplicate in other source",IF(SUMIFS('App Data'!$M$2:$M$1001,'App Data'!$L$2:$L$1001,SUBSTITUTE(SUBSTITUTE(SUBSTITUTE(L964,"~","~~"),"*","~*"),"?","~?"))&lt;&gt;1,"Other amount is invalid",IF(J964&lt;&gt;0,"Amount differs","Matched")))))))</x:f>
      </x:c>
      <x:c r="L964" t="str">
        <x:f>IF(COUNTA(A964:F964)=0,"",LEN(A964)&amp;":"&amp;A964&amp;LEN(B964)&amp;":"&amp;B964&amp;LEN(C964)&amp;":"&amp;C964&amp;LEN(D964)&amp;":"&amp;D964)</x:f>
      </x:c>
      <x:c r="M964" t="str">
        <x:f>IF(COUNTA(A964:F964)=0,"",IF(ISNUMBER(E964),1,0))</x:f>
      </x:c>
    </x:row>
    <x:row r="965">
      <x:c r="A965" s="11"/>
      <x:c r="B965" s="11"/>
      <x:c r="C965" s="11"/>
      <x:c r="D965" s="11"/>
      <x:c r="E965" s="12"/>
      <x:c r="F965" s="10"/>
      <x:c r="G965" s="2" t="str">
        <x:f>IF(COUNTA(A965:F965)=0,"",COUNTIFS('External Data'!$L$2:$L$1001,SUBSTITUTE(SUBSTITUTE(SUBSTITUTE(L965,"~","~~"),"*","~*"),"?","~?")))</x:f>
      </x:c>
      <x:c r="H965" s="2" t="str">
        <x:f>IF(COUNTA(A965:F965)=0,"",COUNTIFS('App Data'!$L$2:$L$1001,SUBSTITUTE(SUBSTITUTE(SUBSTITUTE(L965,"~","~~"),"*","~*"),"?","~?")))</x:f>
      </x:c>
      <x:c r="I965" s="13" t="str">
        <x:f>IF(OR(H965&lt;&gt;1,G965&lt;&gt;1),"",SUMIFS('App Data'!$E$2:$E$1001,'App Data'!$L$2:$L$1001,SUBSTITUTE(SUBSTITUTE(SUBSTITUTE(L965,"~","~~"),"*","~*"),"?","~?")))</x:f>
      </x:c>
      <x:c r="J965" s="13" t="str">
        <x:f>IF(OR(NOT(ISNUMBER(E965)),NOT(ISNUMBER(I965))),"",ROUND(E965-I965,2))</x:f>
      </x:c>
      <x:c r="K965" s="2" t="str">
        <x:f>IF(COUNTA(A965:F965)=0,"",IF(OR(A965="",B965="",C965="",D965="",NOT(ISNUMBER(E965))),"Missing / invalid input",IF(G965&gt;1,"Duplicate key in this source",IF(H965=0,"Missing in other source",IF(H965&gt;1,"Duplicate in other source",IF(SUMIFS('App Data'!$M$2:$M$1001,'App Data'!$L$2:$L$1001,SUBSTITUTE(SUBSTITUTE(SUBSTITUTE(L965,"~","~~"),"*","~*"),"?","~?"))&lt;&gt;1,"Other amount is invalid",IF(J965&lt;&gt;0,"Amount differs","Matched")))))))</x:f>
      </x:c>
      <x:c r="L965" t="str">
        <x:f>IF(COUNTA(A965:F965)=0,"",LEN(A965)&amp;":"&amp;A965&amp;LEN(B965)&amp;":"&amp;B965&amp;LEN(C965)&amp;":"&amp;C965&amp;LEN(D965)&amp;":"&amp;D965)</x:f>
      </x:c>
      <x:c r="M965" t="str">
        <x:f>IF(COUNTA(A965:F965)=0,"",IF(ISNUMBER(E965),1,0))</x:f>
      </x:c>
    </x:row>
    <x:row r="966">
      <x:c r="A966" s="11"/>
      <x:c r="B966" s="11"/>
      <x:c r="C966" s="11"/>
      <x:c r="D966" s="11"/>
      <x:c r="E966" s="12"/>
      <x:c r="F966" s="10"/>
      <x:c r="G966" s="2" t="str">
        <x:f>IF(COUNTA(A966:F966)=0,"",COUNTIFS('External Data'!$L$2:$L$1001,SUBSTITUTE(SUBSTITUTE(SUBSTITUTE(L966,"~","~~"),"*","~*"),"?","~?")))</x:f>
      </x:c>
      <x:c r="H966" s="2" t="str">
        <x:f>IF(COUNTA(A966:F966)=0,"",COUNTIFS('App Data'!$L$2:$L$1001,SUBSTITUTE(SUBSTITUTE(SUBSTITUTE(L966,"~","~~"),"*","~*"),"?","~?")))</x:f>
      </x:c>
      <x:c r="I966" s="13" t="str">
        <x:f>IF(OR(H966&lt;&gt;1,G966&lt;&gt;1),"",SUMIFS('App Data'!$E$2:$E$1001,'App Data'!$L$2:$L$1001,SUBSTITUTE(SUBSTITUTE(SUBSTITUTE(L966,"~","~~"),"*","~*"),"?","~?")))</x:f>
      </x:c>
      <x:c r="J966" s="13" t="str">
        <x:f>IF(OR(NOT(ISNUMBER(E966)),NOT(ISNUMBER(I966))),"",ROUND(E966-I966,2))</x:f>
      </x:c>
      <x:c r="K966" s="2" t="str">
        <x:f>IF(COUNTA(A966:F966)=0,"",IF(OR(A966="",B966="",C966="",D966="",NOT(ISNUMBER(E966))),"Missing / invalid input",IF(G966&gt;1,"Duplicate key in this source",IF(H966=0,"Missing in other source",IF(H966&gt;1,"Duplicate in other source",IF(SUMIFS('App Data'!$M$2:$M$1001,'App Data'!$L$2:$L$1001,SUBSTITUTE(SUBSTITUTE(SUBSTITUTE(L966,"~","~~"),"*","~*"),"?","~?"))&lt;&gt;1,"Other amount is invalid",IF(J966&lt;&gt;0,"Amount differs","Matched")))))))</x:f>
      </x:c>
      <x:c r="L966" t="str">
        <x:f>IF(COUNTA(A966:F966)=0,"",LEN(A966)&amp;":"&amp;A966&amp;LEN(B966)&amp;":"&amp;B966&amp;LEN(C966)&amp;":"&amp;C966&amp;LEN(D966)&amp;":"&amp;D966)</x:f>
      </x:c>
      <x:c r="M966" t="str">
        <x:f>IF(COUNTA(A966:F966)=0,"",IF(ISNUMBER(E966),1,0))</x:f>
      </x:c>
    </x:row>
    <x:row r="967">
      <x:c r="A967" s="11"/>
      <x:c r="B967" s="11"/>
      <x:c r="C967" s="11"/>
      <x:c r="D967" s="11"/>
      <x:c r="E967" s="12"/>
      <x:c r="F967" s="10"/>
      <x:c r="G967" s="2" t="str">
        <x:f>IF(COUNTA(A967:F967)=0,"",COUNTIFS('External Data'!$L$2:$L$1001,SUBSTITUTE(SUBSTITUTE(SUBSTITUTE(L967,"~","~~"),"*","~*"),"?","~?")))</x:f>
      </x:c>
      <x:c r="H967" s="2" t="str">
        <x:f>IF(COUNTA(A967:F967)=0,"",COUNTIFS('App Data'!$L$2:$L$1001,SUBSTITUTE(SUBSTITUTE(SUBSTITUTE(L967,"~","~~"),"*","~*"),"?","~?")))</x:f>
      </x:c>
      <x:c r="I967" s="13" t="str">
        <x:f>IF(OR(H967&lt;&gt;1,G967&lt;&gt;1),"",SUMIFS('App Data'!$E$2:$E$1001,'App Data'!$L$2:$L$1001,SUBSTITUTE(SUBSTITUTE(SUBSTITUTE(L967,"~","~~"),"*","~*"),"?","~?")))</x:f>
      </x:c>
      <x:c r="J967" s="13" t="str">
        <x:f>IF(OR(NOT(ISNUMBER(E967)),NOT(ISNUMBER(I967))),"",ROUND(E967-I967,2))</x:f>
      </x:c>
      <x:c r="K967" s="2" t="str">
        <x:f>IF(COUNTA(A967:F967)=0,"",IF(OR(A967="",B967="",C967="",D967="",NOT(ISNUMBER(E967))),"Missing / invalid input",IF(G967&gt;1,"Duplicate key in this source",IF(H967=0,"Missing in other source",IF(H967&gt;1,"Duplicate in other source",IF(SUMIFS('App Data'!$M$2:$M$1001,'App Data'!$L$2:$L$1001,SUBSTITUTE(SUBSTITUTE(SUBSTITUTE(L967,"~","~~"),"*","~*"),"?","~?"))&lt;&gt;1,"Other amount is invalid",IF(J967&lt;&gt;0,"Amount differs","Matched")))))))</x:f>
      </x:c>
      <x:c r="L967" t="str">
        <x:f>IF(COUNTA(A967:F967)=0,"",LEN(A967)&amp;":"&amp;A967&amp;LEN(B967)&amp;":"&amp;B967&amp;LEN(C967)&amp;":"&amp;C967&amp;LEN(D967)&amp;":"&amp;D967)</x:f>
      </x:c>
      <x:c r="M967" t="str">
        <x:f>IF(COUNTA(A967:F967)=0,"",IF(ISNUMBER(E967),1,0))</x:f>
      </x:c>
    </x:row>
    <x:row r="968">
      <x:c r="A968" s="11"/>
      <x:c r="B968" s="11"/>
      <x:c r="C968" s="11"/>
      <x:c r="D968" s="11"/>
      <x:c r="E968" s="12"/>
      <x:c r="F968" s="10"/>
      <x:c r="G968" s="2" t="str">
        <x:f>IF(COUNTA(A968:F968)=0,"",COUNTIFS('External Data'!$L$2:$L$1001,SUBSTITUTE(SUBSTITUTE(SUBSTITUTE(L968,"~","~~"),"*","~*"),"?","~?")))</x:f>
      </x:c>
      <x:c r="H968" s="2" t="str">
        <x:f>IF(COUNTA(A968:F968)=0,"",COUNTIFS('App Data'!$L$2:$L$1001,SUBSTITUTE(SUBSTITUTE(SUBSTITUTE(L968,"~","~~"),"*","~*"),"?","~?")))</x:f>
      </x:c>
      <x:c r="I968" s="13" t="str">
        <x:f>IF(OR(H968&lt;&gt;1,G968&lt;&gt;1),"",SUMIFS('App Data'!$E$2:$E$1001,'App Data'!$L$2:$L$1001,SUBSTITUTE(SUBSTITUTE(SUBSTITUTE(L968,"~","~~"),"*","~*"),"?","~?")))</x:f>
      </x:c>
      <x:c r="J968" s="13" t="str">
        <x:f>IF(OR(NOT(ISNUMBER(E968)),NOT(ISNUMBER(I968))),"",ROUND(E968-I968,2))</x:f>
      </x:c>
      <x:c r="K968" s="2" t="str">
        <x:f>IF(COUNTA(A968:F968)=0,"",IF(OR(A968="",B968="",C968="",D968="",NOT(ISNUMBER(E968))),"Missing / invalid input",IF(G968&gt;1,"Duplicate key in this source",IF(H968=0,"Missing in other source",IF(H968&gt;1,"Duplicate in other source",IF(SUMIFS('App Data'!$M$2:$M$1001,'App Data'!$L$2:$L$1001,SUBSTITUTE(SUBSTITUTE(SUBSTITUTE(L968,"~","~~"),"*","~*"),"?","~?"))&lt;&gt;1,"Other amount is invalid",IF(J968&lt;&gt;0,"Amount differs","Matched")))))))</x:f>
      </x:c>
      <x:c r="L968" t="str">
        <x:f>IF(COUNTA(A968:F968)=0,"",LEN(A968)&amp;":"&amp;A968&amp;LEN(B968)&amp;":"&amp;B968&amp;LEN(C968)&amp;":"&amp;C968&amp;LEN(D968)&amp;":"&amp;D968)</x:f>
      </x:c>
      <x:c r="M968" t="str">
        <x:f>IF(COUNTA(A968:F968)=0,"",IF(ISNUMBER(E968),1,0))</x:f>
      </x:c>
    </x:row>
    <x:row r="969">
      <x:c r="A969" s="11"/>
      <x:c r="B969" s="11"/>
      <x:c r="C969" s="11"/>
      <x:c r="D969" s="11"/>
      <x:c r="E969" s="12"/>
      <x:c r="F969" s="10"/>
      <x:c r="G969" s="2" t="str">
        <x:f>IF(COUNTA(A969:F969)=0,"",COUNTIFS('External Data'!$L$2:$L$1001,SUBSTITUTE(SUBSTITUTE(SUBSTITUTE(L969,"~","~~"),"*","~*"),"?","~?")))</x:f>
      </x:c>
      <x:c r="H969" s="2" t="str">
        <x:f>IF(COUNTA(A969:F969)=0,"",COUNTIFS('App Data'!$L$2:$L$1001,SUBSTITUTE(SUBSTITUTE(SUBSTITUTE(L969,"~","~~"),"*","~*"),"?","~?")))</x:f>
      </x:c>
      <x:c r="I969" s="13" t="str">
        <x:f>IF(OR(H969&lt;&gt;1,G969&lt;&gt;1),"",SUMIFS('App Data'!$E$2:$E$1001,'App Data'!$L$2:$L$1001,SUBSTITUTE(SUBSTITUTE(SUBSTITUTE(L969,"~","~~"),"*","~*"),"?","~?")))</x:f>
      </x:c>
      <x:c r="J969" s="13" t="str">
        <x:f>IF(OR(NOT(ISNUMBER(E969)),NOT(ISNUMBER(I969))),"",ROUND(E969-I969,2))</x:f>
      </x:c>
      <x:c r="K969" s="2" t="str">
        <x:f>IF(COUNTA(A969:F969)=0,"",IF(OR(A969="",B969="",C969="",D969="",NOT(ISNUMBER(E969))),"Missing / invalid input",IF(G969&gt;1,"Duplicate key in this source",IF(H969=0,"Missing in other source",IF(H969&gt;1,"Duplicate in other source",IF(SUMIFS('App Data'!$M$2:$M$1001,'App Data'!$L$2:$L$1001,SUBSTITUTE(SUBSTITUTE(SUBSTITUTE(L969,"~","~~"),"*","~*"),"?","~?"))&lt;&gt;1,"Other amount is invalid",IF(J969&lt;&gt;0,"Amount differs","Matched")))))))</x:f>
      </x:c>
      <x:c r="L969" t="str">
        <x:f>IF(COUNTA(A969:F969)=0,"",LEN(A969)&amp;":"&amp;A969&amp;LEN(B969)&amp;":"&amp;B969&amp;LEN(C969)&amp;":"&amp;C969&amp;LEN(D969)&amp;":"&amp;D969)</x:f>
      </x:c>
      <x:c r="M969" t="str">
        <x:f>IF(COUNTA(A969:F969)=0,"",IF(ISNUMBER(E969),1,0))</x:f>
      </x:c>
    </x:row>
    <x:row r="970">
      <x:c r="A970" s="11"/>
      <x:c r="B970" s="11"/>
      <x:c r="C970" s="11"/>
      <x:c r="D970" s="11"/>
      <x:c r="E970" s="12"/>
      <x:c r="F970" s="10"/>
      <x:c r="G970" s="2" t="str">
        <x:f>IF(COUNTA(A970:F970)=0,"",COUNTIFS('External Data'!$L$2:$L$1001,SUBSTITUTE(SUBSTITUTE(SUBSTITUTE(L970,"~","~~"),"*","~*"),"?","~?")))</x:f>
      </x:c>
      <x:c r="H970" s="2" t="str">
        <x:f>IF(COUNTA(A970:F970)=0,"",COUNTIFS('App Data'!$L$2:$L$1001,SUBSTITUTE(SUBSTITUTE(SUBSTITUTE(L970,"~","~~"),"*","~*"),"?","~?")))</x:f>
      </x:c>
      <x:c r="I970" s="13" t="str">
        <x:f>IF(OR(H970&lt;&gt;1,G970&lt;&gt;1),"",SUMIFS('App Data'!$E$2:$E$1001,'App Data'!$L$2:$L$1001,SUBSTITUTE(SUBSTITUTE(SUBSTITUTE(L970,"~","~~"),"*","~*"),"?","~?")))</x:f>
      </x:c>
      <x:c r="J970" s="13" t="str">
        <x:f>IF(OR(NOT(ISNUMBER(E970)),NOT(ISNUMBER(I970))),"",ROUND(E970-I970,2))</x:f>
      </x:c>
      <x:c r="K970" s="2" t="str">
        <x:f>IF(COUNTA(A970:F970)=0,"",IF(OR(A970="",B970="",C970="",D970="",NOT(ISNUMBER(E970))),"Missing / invalid input",IF(G970&gt;1,"Duplicate key in this source",IF(H970=0,"Missing in other source",IF(H970&gt;1,"Duplicate in other source",IF(SUMIFS('App Data'!$M$2:$M$1001,'App Data'!$L$2:$L$1001,SUBSTITUTE(SUBSTITUTE(SUBSTITUTE(L970,"~","~~"),"*","~*"),"?","~?"))&lt;&gt;1,"Other amount is invalid",IF(J970&lt;&gt;0,"Amount differs","Matched")))))))</x:f>
      </x:c>
      <x:c r="L970" t="str">
        <x:f>IF(COUNTA(A970:F970)=0,"",LEN(A970)&amp;":"&amp;A970&amp;LEN(B970)&amp;":"&amp;B970&amp;LEN(C970)&amp;":"&amp;C970&amp;LEN(D970)&amp;":"&amp;D970)</x:f>
      </x:c>
      <x:c r="M970" t="str">
        <x:f>IF(COUNTA(A970:F970)=0,"",IF(ISNUMBER(E970),1,0))</x:f>
      </x:c>
    </x:row>
    <x:row r="971">
      <x:c r="A971" s="11"/>
      <x:c r="B971" s="11"/>
      <x:c r="C971" s="11"/>
      <x:c r="D971" s="11"/>
      <x:c r="E971" s="12"/>
      <x:c r="F971" s="10"/>
      <x:c r="G971" s="2" t="str">
        <x:f>IF(COUNTA(A971:F971)=0,"",COUNTIFS('External Data'!$L$2:$L$1001,SUBSTITUTE(SUBSTITUTE(SUBSTITUTE(L971,"~","~~"),"*","~*"),"?","~?")))</x:f>
      </x:c>
      <x:c r="H971" s="2" t="str">
        <x:f>IF(COUNTA(A971:F971)=0,"",COUNTIFS('App Data'!$L$2:$L$1001,SUBSTITUTE(SUBSTITUTE(SUBSTITUTE(L971,"~","~~"),"*","~*"),"?","~?")))</x:f>
      </x:c>
      <x:c r="I971" s="13" t="str">
        <x:f>IF(OR(H971&lt;&gt;1,G971&lt;&gt;1),"",SUMIFS('App Data'!$E$2:$E$1001,'App Data'!$L$2:$L$1001,SUBSTITUTE(SUBSTITUTE(SUBSTITUTE(L971,"~","~~"),"*","~*"),"?","~?")))</x:f>
      </x:c>
      <x:c r="J971" s="13" t="str">
        <x:f>IF(OR(NOT(ISNUMBER(E971)),NOT(ISNUMBER(I971))),"",ROUND(E971-I971,2))</x:f>
      </x:c>
      <x:c r="K971" s="2" t="str">
        <x:f>IF(COUNTA(A971:F971)=0,"",IF(OR(A971="",B971="",C971="",D971="",NOT(ISNUMBER(E971))),"Missing / invalid input",IF(G971&gt;1,"Duplicate key in this source",IF(H971=0,"Missing in other source",IF(H971&gt;1,"Duplicate in other source",IF(SUMIFS('App Data'!$M$2:$M$1001,'App Data'!$L$2:$L$1001,SUBSTITUTE(SUBSTITUTE(SUBSTITUTE(L971,"~","~~"),"*","~*"),"?","~?"))&lt;&gt;1,"Other amount is invalid",IF(J971&lt;&gt;0,"Amount differs","Matched")))))))</x:f>
      </x:c>
      <x:c r="L971" t="str">
        <x:f>IF(COUNTA(A971:F971)=0,"",LEN(A971)&amp;":"&amp;A971&amp;LEN(B971)&amp;":"&amp;B971&amp;LEN(C971)&amp;":"&amp;C971&amp;LEN(D971)&amp;":"&amp;D971)</x:f>
      </x:c>
      <x:c r="M971" t="str">
        <x:f>IF(COUNTA(A971:F971)=0,"",IF(ISNUMBER(E971),1,0))</x:f>
      </x:c>
    </x:row>
    <x:row r="972">
      <x:c r="A972" s="11"/>
      <x:c r="B972" s="11"/>
      <x:c r="C972" s="11"/>
      <x:c r="D972" s="11"/>
      <x:c r="E972" s="12"/>
      <x:c r="F972" s="10"/>
      <x:c r="G972" s="2" t="str">
        <x:f>IF(COUNTA(A972:F972)=0,"",COUNTIFS('External Data'!$L$2:$L$1001,SUBSTITUTE(SUBSTITUTE(SUBSTITUTE(L972,"~","~~"),"*","~*"),"?","~?")))</x:f>
      </x:c>
      <x:c r="H972" s="2" t="str">
        <x:f>IF(COUNTA(A972:F972)=0,"",COUNTIFS('App Data'!$L$2:$L$1001,SUBSTITUTE(SUBSTITUTE(SUBSTITUTE(L972,"~","~~"),"*","~*"),"?","~?")))</x:f>
      </x:c>
      <x:c r="I972" s="13" t="str">
        <x:f>IF(OR(H972&lt;&gt;1,G972&lt;&gt;1),"",SUMIFS('App Data'!$E$2:$E$1001,'App Data'!$L$2:$L$1001,SUBSTITUTE(SUBSTITUTE(SUBSTITUTE(L972,"~","~~"),"*","~*"),"?","~?")))</x:f>
      </x:c>
      <x:c r="J972" s="13" t="str">
        <x:f>IF(OR(NOT(ISNUMBER(E972)),NOT(ISNUMBER(I972))),"",ROUND(E972-I972,2))</x:f>
      </x:c>
      <x:c r="K972" s="2" t="str">
        <x:f>IF(COUNTA(A972:F972)=0,"",IF(OR(A972="",B972="",C972="",D972="",NOT(ISNUMBER(E972))),"Missing / invalid input",IF(G972&gt;1,"Duplicate key in this source",IF(H972=0,"Missing in other source",IF(H972&gt;1,"Duplicate in other source",IF(SUMIFS('App Data'!$M$2:$M$1001,'App Data'!$L$2:$L$1001,SUBSTITUTE(SUBSTITUTE(SUBSTITUTE(L972,"~","~~"),"*","~*"),"?","~?"))&lt;&gt;1,"Other amount is invalid",IF(J972&lt;&gt;0,"Amount differs","Matched")))))))</x:f>
      </x:c>
      <x:c r="L972" t="str">
        <x:f>IF(COUNTA(A972:F972)=0,"",LEN(A972)&amp;":"&amp;A972&amp;LEN(B972)&amp;":"&amp;B972&amp;LEN(C972)&amp;":"&amp;C972&amp;LEN(D972)&amp;":"&amp;D972)</x:f>
      </x:c>
      <x:c r="M972" t="str">
        <x:f>IF(COUNTA(A972:F972)=0,"",IF(ISNUMBER(E972),1,0))</x:f>
      </x:c>
    </x:row>
    <x:row r="973">
      <x:c r="A973" s="11"/>
      <x:c r="B973" s="11"/>
      <x:c r="C973" s="11"/>
      <x:c r="D973" s="11"/>
      <x:c r="E973" s="12"/>
      <x:c r="F973" s="10"/>
      <x:c r="G973" s="2" t="str">
        <x:f>IF(COUNTA(A973:F973)=0,"",COUNTIFS('External Data'!$L$2:$L$1001,SUBSTITUTE(SUBSTITUTE(SUBSTITUTE(L973,"~","~~"),"*","~*"),"?","~?")))</x:f>
      </x:c>
      <x:c r="H973" s="2" t="str">
        <x:f>IF(COUNTA(A973:F973)=0,"",COUNTIFS('App Data'!$L$2:$L$1001,SUBSTITUTE(SUBSTITUTE(SUBSTITUTE(L973,"~","~~"),"*","~*"),"?","~?")))</x:f>
      </x:c>
      <x:c r="I973" s="13" t="str">
        <x:f>IF(OR(H973&lt;&gt;1,G973&lt;&gt;1),"",SUMIFS('App Data'!$E$2:$E$1001,'App Data'!$L$2:$L$1001,SUBSTITUTE(SUBSTITUTE(SUBSTITUTE(L973,"~","~~"),"*","~*"),"?","~?")))</x:f>
      </x:c>
      <x:c r="J973" s="13" t="str">
        <x:f>IF(OR(NOT(ISNUMBER(E973)),NOT(ISNUMBER(I973))),"",ROUND(E973-I973,2))</x:f>
      </x:c>
      <x:c r="K973" s="2" t="str">
        <x:f>IF(COUNTA(A973:F973)=0,"",IF(OR(A973="",B973="",C973="",D973="",NOT(ISNUMBER(E973))),"Missing / invalid input",IF(G973&gt;1,"Duplicate key in this source",IF(H973=0,"Missing in other source",IF(H973&gt;1,"Duplicate in other source",IF(SUMIFS('App Data'!$M$2:$M$1001,'App Data'!$L$2:$L$1001,SUBSTITUTE(SUBSTITUTE(SUBSTITUTE(L973,"~","~~"),"*","~*"),"?","~?"))&lt;&gt;1,"Other amount is invalid",IF(J973&lt;&gt;0,"Amount differs","Matched")))))))</x:f>
      </x:c>
      <x:c r="L973" t="str">
        <x:f>IF(COUNTA(A973:F973)=0,"",LEN(A973)&amp;":"&amp;A973&amp;LEN(B973)&amp;":"&amp;B973&amp;LEN(C973)&amp;":"&amp;C973&amp;LEN(D973)&amp;":"&amp;D973)</x:f>
      </x:c>
      <x:c r="M973" t="str">
        <x:f>IF(COUNTA(A973:F973)=0,"",IF(ISNUMBER(E973),1,0))</x:f>
      </x:c>
    </x:row>
    <x:row r="974">
      <x:c r="A974" s="11"/>
      <x:c r="B974" s="11"/>
      <x:c r="C974" s="11"/>
      <x:c r="D974" s="11"/>
      <x:c r="E974" s="12"/>
      <x:c r="F974" s="10"/>
      <x:c r="G974" s="2" t="str">
        <x:f>IF(COUNTA(A974:F974)=0,"",COUNTIFS('External Data'!$L$2:$L$1001,SUBSTITUTE(SUBSTITUTE(SUBSTITUTE(L974,"~","~~"),"*","~*"),"?","~?")))</x:f>
      </x:c>
      <x:c r="H974" s="2" t="str">
        <x:f>IF(COUNTA(A974:F974)=0,"",COUNTIFS('App Data'!$L$2:$L$1001,SUBSTITUTE(SUBSTITUTE(SUBSTITUTE(L974,"~","~~"),"*","~*"),"?","~?")))</x:f>
      </x:c>
      <x:c r="I974" s="13" t="str">
        <x:f>IF(OR(H974&lt;&gt;1,G974&lt;&gt;1),"",SUMIFS('App Data'!$E$2:$E$1001,'App Data'!$L$2:$L$1001,SUBSTITUTE(SUBSTITUTE(SUBSTITUTE(L974,"~","~~"),"*","~*"),"?","~?")))</x:f>
      </x:c>
      <x:c r="J974" s="13" t="str">
        <x:f>IF(OR(NOT(ISNUMBER(E974)),NOT(ISNUMBER(I974))),"",ROUND(E974-I974,2))</x:f>
      </x:c>
      <x:c r="K974" s="2" t="str">
        <x:f>IF(COUNTA(A974:F974)=0,"",IF(OR(A974="",B974="",C974="",D974="",NOT(ISNUMBER(E974))),"Missing / invalid input",IF(G974&gt;1,"Duplicate key in this source",IF(H974=0,"Missing in other source",IF(H974&gt;1,"Duplicate in other source",IF(SUMIFS('App Data'!$M$2:$M$1001,'App Data'!$L$2:$L$1001,SUBSTITUTE(SUBSTITUTE(SUBSTITUTE(L974,"~","~~"),"*","~*"),"?","~?"))&lt;&gt;1,"Other amount is invalid",IF(J974&lt;&gt;0,"Amount differs","Matched")))))))</x:f>
      </x:c>
      <x:c r="L974" t="str">
        <x:f>IF(COUNTA(A974:F974)=0,"",LEN(A974)&amp;":"&amp;A974&amp;LEN(B974)&amp;":"&amp;B974&amp;LEN(C974)&amp;":"&amp;C974&amp;LEN(D974)&amp;":"&amp;D974)</x:f>
      </x:c>
      <x:c r="M974" t="str">
        <x:f>IF(COUNTA(A974:F974)=0,"",IF(ISNUMBER(E974),1,0))</x:f>
      </x:c>
    </x:row>
    <x:row r="975">
      <x:c r="A975" s="11"/>
      <x:c r="B975" s="11"/>
      <x:c r="C975" s="11"/>
      <x:c r="D975" s="11"/>
      <x:c r="E975" s="12"/>
      <x:c r="F975" s="10"/>
      <x:c r="G975" s="2" t="str">
        <x:f>IF(COUNTA(A975:F975)=0,"",COUNTIFS('External Data'!$L$2:$L$1001,SUBSTITUTE(SUBSTITUTE(SUBSTITUTE(L975,"~","~~"),"*","~*"),"?","~?")))</x:f>
      </x:c>
      <x:c r="H975" s="2" t="str">
        <x:f>IF(COUNTA(A975:F975)=0,"",COUNTIFS('App Data'!$L$2:$L$1001,SUBSTITUTE(SUBSTITUTE(SUBSTITUTE(L975,"~","~~"),"*","~*"),"?","~?")))</x:f>
      </x:c>
      <x:c r="I975" s="13" t="str">
        <x:f>IF(OR(H975&lt;&gt;1,G975&lt;&gt;1),"",SUMIFS('App Data'!$E$2:$E$1001,'App Data'!$L$2:$L$1001,SUBSTITUTE(SUBSTITUTE(SUBSTITUTE(L975,"~","~~"),"*","~*"),"?","~?")))</x:f>
      </x:c>
      <x:c r="J975" s="13" t="str">
        <x:f>IF(OR(NOT(ISNUMBER(E975)),NOT(ISNUMBER(I975))),"",ROUND(E975-I975,2))</x:f>
      </x:c>
      <x:c r="K975" s="2" t="str">
        <x:f>IF(COUNTA(A975:F975)=0,"",IF(OR(A975="",B975="",C975="",D975="",NOT(ISNUMBER(E975))),"Missing / invalid input",IF(G975&gt;1,"Duplicate key in this source",IF(H975=0,"Missing in other source",IF(H975&gt;1,"Duplicate in other source",IF(SUMIFS('App Data'!$M$2:$M$1001,'App Data'!$L$2:$L$1001,SUBSTITUTE(SUBSTITUTE(SUBSTITUTE(L975,"~","~~"),"*","~*"),"?","~?"))&lt;&gt;1,"Other amount is invalid",IF(J975&lt;&gt;0,"Amount differs","Matched")))))))</x:f>
      </x:c>
      <x:c r="L975" t="str">
        <x:f>IF(COUNTA(A975:F975)=0,"",LEN(A975)&amp;":"&amp;A975&amp;LEN(B975)&amp;":"&amp;B975&amp;LEN(C975)&amp;":"&amp;C975&amp;LEN(D975)&amp;":"&amp;D975)</x:f>
      </x:c>
      <x:c r="M975" t="str">
        <x:f>IF(COUNTA(A975:F975)=0,"",IF(ISNUMBER(E975),1,0))</x:f>
      </x:c>
    </x:row>
    <x:row r="976">
      <x:c r="A976" s="11"/>
      <x:c r="B976" s="11"/>
      <x:c r="C976" s="11"/>
      <x:c r="D976" s="11"/>
      <x:c r="E976" s="12"/>
      <x:c r="F976" s="10"/>
      <x:c r="G976" s="2" t="str">
        <x:f>IF(COUNTA(A976:F976)=0,"",COUNTIFS('External Data'!$L$2:$L$1001,SUBSTITUTE(SUBSTITUTE(SUBSTITUTE(L976,"~","~~"),"*","~*"),"?","~?")))</x:f>
      </x:c>
      <x:c r="H976" s="2" t="str">
        <x:f>IF(COUNTA(A976:F976)=0,"",COUNTIFS('App Data'!$L$2:$L$1001,SUBSTITUTE(SUBSTITUTE(SUBSTITUTE(L976,"~","~~"),"*","~*"),"?","~?")))</x:f>
      </x:c>
      <x:c r="I976" s="13" t="str">
        <x:f>IF(OR(H976&lt;&gt;1,G976&lt;&gt;1),"",SUMIFS('App Data'!$E$2:$E$1001,'App Data'!$L$2:$L$1001,SUBSTITUTE(SUBSTITUTE(SUBSTITUTE(L976,"~","~~"),"*","~*"),"?","~?")))</x:f>
      </x:c>
      <x:c r="J976" s="13" t="str">
        <x:f>IF(OR(NOT(ISNUMBER(E976)),NOT(ISNUMBER(I976))),"",ROUND(E976-I976,2))</x:f>
      </x:c>
      <x:c r="K976" s="2" t="str">
        <x:f>IF(COUNTA(A976:F976)=0,"",IF(OR(A976="",B976="",C976="",D976="",NOT(ISNUMBER(E976))),"Missing / invalid input",IF(G976&gt;1,"Duplicate key in this source",IF(H976=0,"Missing in other source",IF(H976&gt;1,"Duplicate in other source",IF(SUMIFS('App Data'!$M$2:$M$1001,'App Data'!$L$2:$L$1001,SUBSTITUTE(SUBSTITUTE(SUBSTITUTE(L976,"~","~~"),"*","~*"),"?","~?"))&lt;&gt;1,"Other amount is invalid",IF(J976&lt;&gt;0,"Amount differs","Matched")))))))</x:f>
      </x:c>
      <x:c r="L976" t="str">
        <x:f>IF(COUNTA(A976:F976)=0,"",LEN(A976)&amp;":"&amp;A976&amp;LEN(B976)&amp;":"&amp;B976&amp;LEN(C976)&amp;":"&amp;C976&amp;LEN(D976)&amp;":"&amp;D976)</x:f>
      </x:c>
      <x:c r="M976" t="str">
        <x:f>IF(COUNTA(A976:F976)=0,"",IF(ISNUMBER(E976),1,0))</x:f>
      </x:c>
    </x:row>
    <x:row r="977">
      <x:c r="A977" s="11"/>
      <x:c r="B977" s="11"/>
      <x:c r="C977" s="11"/>
      <x:c r="D977" s="11"/>
      <x:c r="E977" s="12"/>
      <x:c r="F977" s="10"/>
      <x:c r="G977" s="2" t="str">
        <x:f>IF(COUNTA(A977:F977)=0,"",COUNTIFS('External Data'!$L$2:$L$1001,SUBSTITUTE(SUBSTITUTE(SUBSTITUTE(L977,"~","~~"),"*","~*"),"?","~?")))</x:f>
      </x:c>
      <x:c r="H977" s="2" t="str">
        <x:f>IF(COUNTA(A977:F977)=0,"",COUNTIFS('App Data'!$L$2:$L$1001,SUBSTITUTE(SUBSTITUTE(SUBSTITUTE(L977,"~","~~"),"*","~*"),"?","~?")))</x:f>
      </x:c>
      <x:c r="I977" s="13" t="str">
        <x:f>IF(OR(H977&lt;&gt;1,G977&lt;&gt;1),"",SUMIFS('App Data'!$E$2:$E$1001,'App Data'!$L$2:$L$1001,SUBSTITUTE(SUBSTITUTE(SUBSTITUTE(L977,"~","~~"),"*","~*"),"?","~?")))</x:f>
      </x:c>
      <x:c r="J977" s="13" t="str">
        <x:f>IF(OR(NOT(ISNUMBER(E977)),NOT(ISNUMBER(I977))),"",ROUND(E977-I977,2))</x:f>
      </x:c>
      <x:c r="K977" s="2" t="str">
        <x:f>IF(COUNTA(A977:F977)=0,"",IF(OR(A977="",B977="",C977="",D977="",NOT(ISNUMBER(E977))),"Missing / invalid input",IF(G977&gt;1,"Duplicate key in this source",IF(H977=0,"Missing in other source",IF(H977&gt;1,"Duplicate in other source",IF(SUMIFS('App Data'!$M$2:$M$1001,'App Data'!$L$2:$L$1001,SUBSTITUTE(SUBSTITUTE(SUBSTITUTE(L977,"~","~~"),"*","~*"),"?","~?"))&lt;&gt;1,"Other amount is invalid",IF(J977&lt;&gt;0,"Amount differs","Matched")))))))</x:f>
      </x:c>
      <x:c r="L977" t="str">
        <x:f>IF(COUNTA(A977:F977)=0,"",LEN(A977)&amp;":"&amp;A977&amp;LEN(B977)&amp;":"&amp;B977&amp;LEN(C977)&amp;":"&amp;C977&amp;LEN(D977)&amp;":"&amp;D977)</x:f>
      </x:c>
      <x:c r="M977" t="str">
        <x:f>IF(COUNTA(A977:F977)=0,"",IF(ISNUMBER(E977),1,0))</x:f>
      </x:c>
    </x:row>
    <x:row r="978">
      <x:c r="A978" s="11"/>
      <x:c r="B978" s="11"/>
      <x:c r="C978" s="11"/>
      <x:c r="D978" s="11"/>
      <x:c r="E978" s="12"/>
      <x:c r="F978" s="10"/>
      <x:c r="G978" s="2" t="str">
        <x:f>IF(COUNTA(A978:F978)=0,"",COUNTIFS('External Data'!$L$2:$L$1001,SUBSTITUTE(SUBSTITUTE(SUBSTITUTE(L978,"~","~~"),"*","~*"),"?","~?")))</x:f>
      </x:c>
      <x:c r="H978" s="2" t="str">
        <x:f>IF(COUNTA(A978:F978)=0,"",COUNTIFS('App Data'!$L$2:$L$1001,SUBSTITUTE(SUBSTITUTE(SUBSTITUTE(L978,"~","~~"),"*","~*"),"?","~?")))</x:f>
      </x:c>
      <x:c r="I978" s="13" t="str">
        <x:f>IF(OR(H978&lt;&gt;1,G978&lt;&gt;1),"",SUMIFS('App Data'!$E$2:$E$1001,'App Data'!$L$2:$L$1001,SUBSTITUTE(SUBSTITUTE(SUBSTITUTE(L978,"~","~~"),"*","~*"),"?","~?")))</x:f>
      </x:c>
      <x:c r="J978" s="13" t="str">
        <x:f>IF(OR(NOT(ISNUMBER(E978)),NOT(ISNUMBER(I978))),"",ROUND(E978-I978,2))</x:f>
      </x:c>
      <x:c r="K978" s="2" t="str">
        <x:f>IF(COUNTA(A978:F978)=0,"",IF(OR(A978="",B978="",C978="",D978="",NOT(ISNUMBER(E978))),"Missing / invalid input",IF(G978&gt;1,"Duplicate key in this source",IF(H978=0,"Missing in other source",IF(H978&gt;1,"Duplicate in other source",IF(SUMIFS('App Data'!$M$2:$M$1001,'App Data'!$L$2:$L$1001,SUBSTITUTE(SUBSTITUTE(SUBSTITUTE(L978,"~","~~"),"*","~*"),"?","~?"))&lt;&gt;1,"Other amount is invalid",IF(J978&lt;&gt;0,"Amount differs","Matched")))))))</x:f>
      </x:c>
      <x:c r="L978" t="str">
        <x:f>IF(COUNTA(A978:F978)=0,"",LEN(A978)&amp;":"&amp;A978&amp;LEN(B978)&amp;":"&amp;B978&amp;LEN(C978)&amp;":"&amp;C978&amp;LEN(D978)&amp;":"&amp;D978)</x:f>
      </x:c>
      <x:c r="M978" t="str">
        <x:f>IF(COUNTA(A978:F978)=0,"",IF(ISNUMBER(E978),1,0))</x:f>
      </x:c>
    </x:row>
    <x:row r="979">
      <x:c r="A979" s="11"/>
      <x:c r="B979" s="11"/>
      <x:c r="C979" s="11"/>
      <x:c r="D979" s="11"/>
      <x:c r="E979" s="12"/>
      <x:c r="F979" s="10"/>
      <x:c r="G979" s="2" t="str">
        <x:f>IF(COUNTA(A979:F979)=0,"",COUNTIFS('External Data'!$L$2:$L$1001,SUBSTITUTE(SUBSTITUTE(SUBSTITUTE(L979,"~","~~"),"*","~*"),"?","~?")))</x:f>
      </x:c>
      <x:c r="H979" s="2" t="str">
        <x:f>IF(COUNTA(A979:F979)=0,"",COUNTIFS('App Data'!$L$2:$L$1001,SUBSTITUTE(SUBSTITUTE(SUBSTITUTE(L979,"~","~~"),"*","~*"),"?","~?")))</x:f>
      </x:c>
      <x:c r="I979" s="13" t="str">
        <x:f>IF(OR(H979&lt;&gt;1,G979&lt;&gt;1),"",SUMIFS('App Data'!$E$2:$E$1001,'App Data'!$L$2:$L$1001,SUBSTITUTE(SUBSTITUTE(SUBSTITUTE(L979,"~","~~"),"*","~*"),"?","~?")))</x:f>
      </x:c>
      <x:c r="J979" s="13" t="str">
        <x:f>IF(OR(NOT(ISNUMBER(E979)),NOT(ISNUMBER(I979))),"",ROUND(E979-I979,2))</x:f>
      </x:c>
      <x:c r="K979" s="2" t="str">
        <x:f>IF(COUNTA(A979:F979)=0,"",IF(OR(A979="",B979="",C979="",D979="",NOT(ISNUMBER(E979))),"Missing / invalid input",IF(G979&gt;1,"Duplicate key in this source",IF(H979=0,"Missing in other source",IF(H979&gt;1,"Duplicate in other source",IF(SUMIFS('App Data'!$M$2:$M$1001,'App Data'!$L$2:$L$1001,SUBSTITUTE(SUBSTITUTE(SUBSTITUTE(L979,"~","~~"),"*","~*"),"?","~?"))&lt;&gt;1,"Other amount is invalid",IF(J979&lt;&gt;0,"Amount differs","Matched")))))))</x:f>
      </x:c>
      <x:c r="L979" t="str">
        <x:f>IF(COUNTA(A979:F979)=0,"",LEN(A979)&amp;":"&amp;A979&amp;LEN(B979)&amp;":"&amp;B979&amp;LEN(C979)&amp;":"&amp;C979&amp;LEN(D979)&amp;":"&amp;D979)</x:f>
      </x:c>
      <x:c r="M979" t="str">
        <x:f>IF(COUNTA(A979:F979)=0,"",IF(ISNUMBER(E979),1,0))</x:f>
      </x:c>
    </x:row>
    <x:row r="980">
      <x:c r="A980" s="11"/>
      <x:c r="B980" s="11"/>
      <x:c r="C980" s="11"/>
      <x:c r="D980" s="11"/>
      <x:c r="E980" s="12"/>
      <x:c r="F980" s="10"/>
      <x:c r="G980" s="2" t="str">
        <x:f>IF(COUNTA(A980:F980)=0,"",COUNTIFS('External Data'!$L$2:$L$1001,SUBSTITUTE(SUBSTITUTE(SUBSTITUTE(L980,"~","~~"),"*","~*"),"?","~?")))</x:f>
      </x:c>
      <x:c r="H980" s="2" t="str">
        <x:f>IF(COUNTA(A980:F980)=0,"",COUNTIFS('App Data'!$L$2:$L$1001,SUBSTITUTE(SUBSTITUTE(SUBSTITUTE(L980,"~","~~"),"*","~*"),"?","~?")))</x:f>
      </x:c>
      <x:c r="I980" s="13" t="str">
        <x:f>IF(OR(H980&lt;&gt;1,G980&lt;&gt;1),"",SUMIFS('App Data'!$E$2:$E$1001,'App Data'!$L$2:$L$1001,SUBSTITUTE(SUBSTITUTE(SUBSTITUTE(L980,"~","~~"),"*","~*"),"?","~?")))</x:f>
      </x:c>
      <x:c r="J980" s="13" t="str">
        <x:f>IF(OR(NOT(ISNUMBER(E980)),NOT(ISNUMBER(I980))),"",ROUND(E980-I980,2))</x:f>
      </x:c>
      <x:c r="K980" s="2" t="str">
        <x:f>IF(COUNTA(A980:F980)=0,"",IF(OR(A980="",B980="",C980="",D980="",NOT(ISNUMBER(E980))),"Missing / invalid input",IF(G980&gt;1,"Duplicate key in this source",IF(H980=0,"Missing in other source",IF(H980&gt;1,"Duplicate in other source",IF(SUMIFS('App Data'!$M$2:$M$1001,'App Data'!$L$2:$L$1001,SUBSTITUTE(SUBSTITUTE(SUBSTITUTE(L980,"~","~~"),"*","~*"),"?","~?"))&lt;&gt;1,"Other amount is invalid",IF(J980&lt;&gt;0,"Amount differs","Matched")))))))</x:f>
      </x:c>
      <x:c r="L980" t="str">
        <x:f>IF(COUNTA(A980:F980)=0,"",LEN(A980)&amp;":"&amp;A980&amp;LEN(B980)&amp;":"&amp;B980&amp;LEN(C980)&amp;":"&amp;C980&amp;LEN(D980)&amp;":"&amp;D980)</x:f>
      </x:c>
      <x:c r="M980" t="str">
        <x:f>IF(COUNTA(A980:F980)=0,"",IF(ISNUMBER(E980),1,0))</x:f>
      </x:c>
    </x:row>
    <x:row r="981">
      <x:c r="A981" s="11"/>
      <x:c r="B981" s="11"/>
      <x:c r="C981" s="11"/>
      <x:c r="D981" s="11"/>
      <x:c r="E981" s="12"/>
      <x:c r="F981" s="10"/>
      <x:c r="G981" s="2" t="str">
        <x:f>IF(COUNTA(A981:F981)=0,"",COUNTIFS('External Data'!$L$2:$L$1001,SUBSTITUTE(SUBSTITUTE(SUBSTITUTE(L981,"~","~~"),"*","~*"),"?","~?")))</x:f>
      </x:c>
      <x:c r="H981" s="2" t="str">
        <x:f>IF(COUNTA(A981:F981)=0,"",COUNTIFS('App Data'!$L$2:$L$1001,SUBSTITUTE(SUBSTITUTE(SUBSTITUTE(L981,"~","~~"),"*","~*"),"?","~?")))</x:f>
      </x:c>
      <x:c r="I981" s="13" t="str">
        <x:f>IF(OR(H981&lt;&gt;1,G981&lt;&gt;1),"",SUMIFS('App Data'!$E$2:$E$1001,'App Data'!$L$2:$L$1001,SUBSTITUTE(SUBSTITUTE(SUBSTITUTE(L981,"~","~~"),"*","~*"),"?","~?")))</x:f>
      </x:c>
      <x:c r="J981" s="13" t="str">
        <x:f>IF(OR(NOT(ISNUMBER(E981)),NOT(ISNUMBER(I981))),"",ROUND(E981-I981,2))</x:f>
      </x:c>
      <x:c r="K981" s="2" t="str">
        <x:f>IF(COUNTA(A981:F981)=0,"",IF(OR(A981="",B981="",C981="",D981="",NOT(ISNUMBER(E981))),"Missing / invalid input",IF(G981&gt;1,"Duplicate key in this source",IF(H981=0,"Missing in other source",IF(H981&gt;1,"Duplicate in other source",IF(SUMIFS('App Data'!$M$2:$M$1001,'App Data'!$L$2:$L$1001,SUBSTITUTE(SUBSTITUTE(SUBSTITUTE(L981,"~","~~"),"*","~*"),"?","~?"))&lt;&gt;1,"Other amount is invalid",IF(J981&lt;&gt;0,"Amount differs","Matched")))))))</x:f>
      </x:c>
      <x:c r="L981" t="str">
        <x:f>IF(COUNTA(A981:F981)=0,"",LEN(A981)&amp;":"&amp;A981&amp;LEN(B981)&amp;":"&amp;B981&amp;LEN(C981)&amp;":"&amp;C981&amp;LEN(D981)&amp;":"&amp;D981)</x:f>
      </x:c>
      <x:c r="M981" t="str">
        <x:f>IF(COUNTA(A981:F981)=0,"",IF(ISNUMBER(E981),1,0))</x:f>
      </x:c>
    </x:row>
    <x:row r="982">
      <x:c r="A982" s="11"/>
      <x:c r="B982" s="11"/>
      <x:c r="C982" s="11"/>
      <x:c r="D982" s="11"/>
      <x:c r="E982" s="12"/>
      <x:c r="F982" s="10"/>
      <x:c r="G982" s="2" t="str">
        <x:f>IF(COUNTA(A982:F982)=0,"",COUNTIFS('External Data'!$L$2:$L$1001,SUBSTITUTE(SUBSTITUTE(SUBSTITUTE(L982,"~","~~"),"*","~*"),"?","~?")))</x:f>
      </x:c>
      <x:c r="H982" s="2" t="str">
        <x:f>IF(COUNTA(A982:F982)=0,"",COUNTIFS('App Data'!$L$2:$L$1001,SUBSTITUTE(SUBSTITUTE(SUBSTITUTE(L982,"~","~~"),"*","~*"),"?","~?")))</x:f>
      </x:c>
      <x:c r="I982" s="13" t="str">
        <x:f>IF(OR(H982&lt;&gt;1,G982&lt;&gt;1),"",SUMIFS('App Data'!$E$2:$E$1001,'App Data'!$L$2:$L$1001,SUBSTITUTE(SUBSTITUTE(SUBSTITUTE(L982,"~","~~"),"*","~*"),"?","~?")))</x:f>
      </x:c>
      <x:c r="J982" s="13" t="str">
        <x:f>IF(OR(NOT(ISNUMBER(E982)),NOT(ISNUMBER(I982))),"",ROUND(E982-I982,2))</x:f>
      </x:c>
      <x:c r="K982" s="2" t="str">
        <x:f>IF(COUNTA(A982:F982)=0,"",IF(OR(A982="",B982="",C982="",D982="",NOT(ISNUMBER(E982))),"Missing / invalid input",IF(G982&gt;1,"Duplicate key in this source",IF(H982=0,"Missing in other source",IF(H982&gt;1,"Duplicate in other source",IF(SUMIFS('App Data'!$M$2:$M$1001,'App Data'!$L$2:$L$1001,SUBSTITUTE(SUBSTITUTE(SUBSTITUTE(L982,"~","~~"),"*","~*"),"?","~?"))&lt;&gt;1,"Other amount is invalid",IF(J982&lt;&gt;0,"Amount differs","Matched")))))))</x:f>
      </x:c>
      <x:c r="L982" t="str">
        <x:f>IF(COUNTA(A982:F982)=0,"",LEN(A982)&amp;":"&amp;A982&amp;LEN(B982)&amp;":"&amp;B982&amp;LEN(C982)&amp;":"&amp;C982&amp;LEN(D982)&amp;":"&amp;D982)</x:f>
      </x:c>
      <x:c r="M982" t="str">
        <x:f>IF(COUNTA(A982:F982)=0,"",IF(ISNUMBER(E982),1,0))</x:f>
      </x:c>
    </x:row>
    <x:row r="983">
      <x:c r="A983" s="11"/>
      <x:c r="B983" s="11"/>
      <x:c r="C983" s="11"/>
      <x:c r="D983" s="11"/>
      <x:c r="E983" s="12"/>
      <x:c r="F983" s="10"/>
      <x:c r="G983" s="2" t="str">
        <x:f>IF(COUNTA(A983:F983)=0,"",COUNTIFS('External Data'!$L$2:$L$1001,SUBSTITUTE(SUBSTITUTE(SUBSTITUTE(L983,"~","~~"),"*","~*"),"?","~?")))</x:f>
      </x:c>
      <x:c r="H983" s="2" t="str">
        <x:f>IF(COUNTA(A983:F983)=0,"",COUNTIFS('App Data'!$L$2:$L$1001,SUBSTITUTE(SUBSTITUTE(SUBSTITUTE(L983,"~","~~"),"*","~*"),"?","~?")))</x:f>
      </x:c>
      <x:c r="I983" s="13" t="str">
        <x:f>IF(OR(H983&lt;&gt;1,G983&lt;&gt;1),"",SUMIFS('App Data'!$E$2:$E$1001,'App Data'!$L$2:$L$1001,SUBSTITUTE(SUBSTITUTE(SUBSTITUTE(L983,"~","~~"),"*","~*"),"?","~?")))</x:f>
      </x:c>
      <x:c r="J983" s="13" t="str">
        <x:f>IF(OR(NOT(ISNUMBER(E983)),NOT(ISNUMBER(I983))),"",ROUND(E983-I983,2))</x:f>
      </x:c>
      <x:c r="K983" s="2" t="str">
        <x:f>IF(COUNTA(A983:F983)=0,"",IF(OR(A983="",B983="",C983="",D983="",NOT(ISNUMBER(E983))),"Missing / invalid input",IF(G983&gt;1,"Duplicate key in this source",IF(H983=0,"Missing in other source",IF(H983&gt;1,"Duplicate in other source",IF(SUMIFS('App Data'!$M$2:$M$1001,'App Data'!$L$2:$L$1001,SUBSTITUTE(SUBSTITUTE(SUBSTITUTE(L983,"~","~~"),"*","~*"),"?","~?"))&lt;&gt;1,"Other amount is invalid",IF(J983&lt;&gt;0,"Amount differs","Matched")))))))</x:f>
      </x:c>
      <x:c r="L983" t="str">
        <x:f>IF(COUNTA(A983:F983)=0,"",LEN(A983)&amp;":"&amp;A983&amp;LEN(B983)&amp;":"&amp;B983&amp;LEN(C983)&amp;":"&amp;C983&amp;LEN(D983)&amp;":"&amp;D983)</x:f>
      </x:c>
      <x:c r="M983" t="str">
        <x:f>IF(COUNTA(A983:F983)=0,"",IF(ISNUMBER(E983),1,0))</x:f>
      </x:c>
    </x:row>
    <x:row r="984">
      <x:c r="A984" s="11"/>
      <x:c r="B984" s="11"/>
      <x:c r="C984" s="11"/>
      <x:c r="D984" s="11"/>
      <x:c r="E984" s="12"/>
      <x:c r="F984" s="10"/>
      <x:c r="G984" s="2" t="str">
        <x:f>IF(COUNTA(A984:F984)=0,"",COUNTIFS('External Data'!$L$2:$L$1001,SUBSTITUTE(SUBSTITUTE(SUBSTITUTE(L984,"~","~~"),"*","~*"),"?","~?")))</x:f>
      </x:c>
      <x:c r="H984" s="2" t="str">
        <x:f>IF(COUNTA(A984:F984)=0,"",COUNTIFS('App Data'!$L$2:$L$1001,SUBSTITUTE(SUBSTITUTE(SUBSTITUTE(L984,"~","~~"),"*","~*"),"?","~?")))</x:f>
      </x:c>
      <x:c r="I984" s="13" t="str">
        <x:f>IF(OR(H984&lt;&gt;1,G984&lt;&gt;1),"",SUMIFS('App Data'!$E$2:$E$1001,'App Data'!$L$2:$L$1001,SUBSTITUTE(SUBSTITUTE(SUBSTITUTE(L984,"~","~~"),"*","~*"),"?","~?")))</x:f>
      </x:c>
      <x:c r="J984" s="13" t="str">
        <x:f>IF(OR(NOT(ISNUMBER(E984)),NOT(ISNUMBER(I984))),"",ROUND(E984-I984,2))</x:f>
      </x:c>
      <x:c r="K984" s="2" t="str">
        <x:f>IF(COUNTA(A984:F984)=0,"",IF(OR(A984="",B984="",C984="",D984="",NOT(ISNUMBER(E984))),"Missing / invalid input",IF(G984&gt;1,"Duplicate key in this source",IF(H984=0,"Missing in other source",IF(H984&gt;1,"Duplicate in other source",IF(SUMIFS('App Data'!$M$2:$M$1001,'App Data'!$L$2:$L$1001,SUBSTITUTE(SUBSTITUTE(SUBSTITUTE(L984,"~","~~"),"*","~*"),"?","~?"))&lt;&gt;1,"Other amount is invalid",IF(J984&lt;&gt;0,"Amount differs","Matched")))))))</x:f>
      </x:c>
      <x:c r="L984" t="str">
        <x:f>IF(COUNTA(A984:F984)=0,"",LEN(A984)&amp;":"&amp;A984&amp;LEN(B984)&amp;":"&amp;B984&amp;LEN(C984)&amp;":"&amp;C984&amp;LEN(D984)&amp;":"&amp;D984)</x:f>
      </x:c>
      <x:c r="M984" t="str">
        <x:f>IF(COUNTA(A984:F984)=0,"",IF(ISNUMBER(E984),1,0))</x:f>
      </x:c>
    </x:row>
    <x:row r="985">
      <x:c r="A985" s="11"/>
      <x:c r="B985" s="11"/>
      <x:c r="C985" s="11"/>
      <x:c r="D985" s="11"/>
      <x:c r="E985" s="12"/>
      <x:c r="F985" s="10"/>
      <x:c r="G985" s="2" t="str">
        <x:f>IF(COUNTA(A985:F985)=0,"",COUNTIFS('External Data'!$L$2:$L$1001,SUBSTITUTE(SUBSTITUTE(SUBSTITUTE(L985,"~","~~"),"*","~*"),"?","~?")))</x:f>
      </x:c>
      <x:c r="H985" s="2" t="str">
        <x:f>IF(COUNTA(A985:F985)=0,"",COUNTIFS('App Data'!$L$2:$L$1001,SUBSTITUTE(SUBSTITUTE(SUBSTITUTE(L985,"~","~~"),"*","~*"),"?","~?")))</x:f>
      </x:c>
      <x:c r="I985" s="13" t="str">
        <x:f>IF(OR(H985&lt;&gt;1,G985&lt;&gt;1),"",SUMIFS('App Data'!$E$2:$E$1001,'App Data'!$L$2:$L$1001,SUBSTITUTE(SUBSTITUTE(SUBSTITUTE(L985,"~","~~"),"*","~*"),"?","~?")))</x:f>
      </x:c>
      <x:c r="J985" s="13" t="str">
        <x:f>IF(OR(NOT(ISNUMBER(E985)),NOT(ISNUMBER(I985))),"",ROUND(E985-I985,2))</x:f>
      </x:c>
      <x:c r="K985" s="2" t="str">
        <x:f>IF(COUNTA(A985:F985)=0,"",IF(OR(A985="",B985="",C985="",D985="",NOT(ISNUMBER(E985))),"Missing / invalid input",IF(G985&gt;1,"Duplicate key in this source",IF(H985=0,"Missing in other source",IF(H985&gt;1,"Duplicate in other source",IF(SUMIFS('App Data'!$M$2:$M$1001,'App Data'!$L$2:$L$1001,SUBSTITUTE(SUBSTITUTE(SUBSTITUTE(L985,"~","~~"),"*","~*"),"?","~?"))&lt;&gt;1,"Other amount is invalid",IF(J985&lt;&gt;0,"Amount differs","Matched")))))))</x:f>
      </x:c>
      <x:c r="L985" t="str">
        <x:f>IF(COUNTA(A985:F985)=0,"",LEN(A985)&amp;":"&amp;A985&amp;LEN(B985)&amp;":"&amp;B985&amp;LEN(C985)&amp;":"&amp;C985&amp;LEN(D985)&amp;":"&amp;D985)</x:f>
      </x:c>
      <x:c r="M985" t="str">
        <x:f>IF(COUNTA(A985:F985)=0,"",IF(ISNUMBER(E985),1,0))</x:f>
      </x:c>
    </x:row>
    <x:row r="986">
      <x:c r="A986" s="11"/>
      <x:c r="B986" s="11"/>
      <x:c r="C986" s="11"/>
      <x:c r="D986" s="11"/>
      <x:c r="E986" s="12"/>
      <x:c r="F986" s="10"/>
      <x:c r="G986" s="2" t="str">
        <x:f>IF(COUNTA(A986:F986)=0,"",COUNTIFS('External Data'!$L$2:$L$1001,SUBSTITUTE(SUBSTITUTE(SUBSTITUTE(L986,"~","~~"),"*","~*"),"?","~?")))</x:f>
      </x:c>
      <x:c r="H986" s="2" t="str">
        <x:f>IF(COUNTA(A986:F986)=0,"",COUNTIFS('App Data'!$L$2:$L$1001,SUBSTITUTE(SUBSTITUTE(SUBSTITUTE(L986,"~","~~"),"*","~*"),"?","~?")))</x:f>
      </x:c>
      <x:c r="I986" s="13" t="str">
        <x:f>IF(OR(H986&lt;&gt;1,G986&lt;&gt;1),"",SUMIFS('App Data'!$E$2:$E$1001,'App Data'!$L$2:$L$1001,SUBSTITUTE(SUBSTITUTE(SUBSTITUTE(L986,"~","~~"),"*","~*"),"?","~?")))</x:f>
      </x:c>
      <x:c r="J986" s="13" t="str">
        <x:f>IF(OR(NOT(ISNUMBER(E986)),NOT(ISNUMBER(I986))),"",ROUND(E986-I986,2))</x:f>
      </x:c>
      <x:c r="K986" s="2" t="str">
        <x:f>IF(COUNTA(A986:F986)=0,"",IF(OR(A986="",B986="",C986="",D986="",NOT(ISNUMBER(E986))),"Missing / invalid input",IF(G986&gt;1,"Duplicate key in this source",IF(H986=0,"Missing in other source",IF(H986&gt;1,"Duplicate in other source",IF(SUMIFS('App Data'!$M$2:$M$1001,'App Data'!$L$2:$L$1001,SUBSTITUTE(SUBSTITUTE(SUBSTITUTE(L986,"~","~~"),"*","~*"),"?","~?"))&lt;&gt;1,"Other amount is invalid",IF(J986&lt;&gt;0,"Amount differs","Matched")))))))</x:f>
      </x:c>
      <x:c r="L986" t="str">
        <x:f>IF(COUNTA(A986:F986)=0,"",LEN(A986)&amp;":"&amp;A986&amp;LEN(B986)&amp;":"&amp;B986&amp;LEN(C986)&amp;":"&amp;C986&amp;LEN(D986)&amp;":"&amp;D986)</x:f>
      </x:c>
      <x:c r="M986" t="str">
        <x:f>IF(COUNTA(A986:F986)=0,"",IF(ISNUMBER(E986),1,0))</x:f>
      </x:c>
    </x:row>
    <x:row r="987">
      <x:c r="A987" s="11"/>
      <x:c r="B987" s="11"/>
      <x:c r="C987" s="11"/>
      <x:c r="D987" s="11"/>
      <x:c r="E987" s="12"/>
      <x:c r="F987" s="10"/>
      <x:c r="G987" s="2" t="str">
        <x:f>IF(COUNTA(A987:F987)=0,"",COUNTIFS('External Data'!$L$2:$L$1001,SUBSTITUTE(SUBSTITUTE(SUBSTITUTE(L987,"~","~~"),"*","~*"),"?","~?")))</x:f>
      </x:c>
      <x:c r="H987" s="2" t="str">
        <x:f>IF(COUNTA(A987:F987)=0,"",COUNTIFS('App Data'!$L$2:$L$1001,SUBSTITUTE(SUBSTITUTE(SUBSTITUTE(L987,"~","~~"),"*","~*"),"?","~?")))</x:f>
      </x:c>
      <x:c r="I987" s="13" t="str">
        <x:f>IF(OR(H987&lt;&gt;1,G987&lt;&gt;1),"",SUMIFS('App Data'!$E$2:$E$1001,'App Data'!$L$2:$L$1001,SUBSTITUTE(SUBSTITUTE(SUBSTITUTE(L987,"~","~~"),"*","~*"),"?","~?")))</x:f>
      </x:c>
      <x:c r="J987" s="13" t="str">
        <x:f>IF(OR(NOT(ISNUMBER(E987)),NOT(ISNUMBER(I987))),"",ROUND(E987-I987,2))</x:f>
      </x:c>
      <x:c r="K987" s="2" t="str">
        <x:f>IF(COUNTA(A987:F987)=0,"",IF(OR(A987="",B987="",C987="",D987="",NOT(ISNUMBER(E987))),"Missing / invalid input",IF(G987&gt;1,"Duplicate key in this source",IF(H987=0,"Missing in other source",IF(H987&gt;1,"Duplicate in other source",IF(SUMIFS('App Data'!$M$2:$M$1001,'App Data'!$L$2:$L$1001,SUBSTITUTE(SUBSTITUTE(SUBSTITUTE(L987,"~","~~"),"*","~*"),"?","~?"))&lt;&gt;1,"Other amount is invalid",IF(J987&lt;&gt;0,"Amount differs","Matched")))))))</x:f>
      </x:c>
      <x:c r="L987" t="str">
        <x:f>IF(COUNTA(A987:F987)=0,"",LEN(A987)&amp;":"&amp;A987&amp;LEN(B987)&amp;":"&amp;B987&amp;LEN(C987)&amp;":"&amp;C987&amp;LEN(D987)&amp;":"&amp;D987)</x:f>
      </x:c>
      <x:c r="M987" t="str">
        <x:f>IF(COUNTA(A987:F987)=0,"",IF(ISNUMBER(E987),1,0))</x:f>
      </x:c>
    </x:row>
    <x:row r="988">
      <x:c r="A988" s="11"/>
      <x:c r="B988" s="11"/>
      <x:c r="C988" s="11"/>
      <x:c r="D988" s="11"/>
      <x:c r="E988" s="12"/>
      <x:c r="F988" s="10"/>
      <x:c r="G988" s="2" t="str">
        <x:f>IF(COUNTA(A988:F988)=0,"",COUNTIFS('External Data'!$L$2:$L$1001,SUBSTITUTE(SUBSTITUTE(SUBSTITUTE(L988,"~","~~"),"*","~*"),"?","~?")))</x:f>
      </x:c>
      <x:c r="H988" s="2" t="str">
        <x:f>IF(COUNTA(A988:F988)=0,"",COUNTIFS('App Data'!$L$2:$L$1001,SUBSTITUTE(SUBSTITUTE(SUBSTITUTE(L988,"~","~~"),"*","~*"),"?","~?")))</x:f>
      </x:c>
      <x:c r="I988" s="13" t="str">
        <x:f>IF(OR(H988&lt;&gt;1,G988&lt;&gt;1),"",SUMIFS('App Data'!$E$2:$E$1001,'App Data'!$L$2:$L$1001,SUBSTITUTE(SUBSTITUTE(SUBSTITUTE(L988,"~","~~"),"*","~*"),"?","~?")))</x:f>
      </x:c>
      <x:c r="J988" s="13" t="str">
        <x:f>IF(OR(NOT(ISNUMBER(E988)),NOT(ISNUMBER(I988))),"",ROUND(E988-I988,2))</x:f>
      </x:c>
      <x:c r="K988" s="2" t="str">
        <x:f>IF(COUNTA(A988:F988)=0,"",IF(OR(A988="",B988="",C988="",D988="",NOT(ISNUMBER(E988))),"Missing / invalid input",IF(G988&gt;1,"Duplicate key in this source",IF(H988=0,"Missing in other source",IF(H988&gt;1,"Duplicate in other source",IF(SUMIFS('App Data'!$M$2:$M$1001,'App Data'!$L$2:$L$1001,SUBSTITUTE(SUBSTITUTE(SUBSTITUTE(L988,"~","~~"),"*","~*"),"?","~?"))&lt;&gt;1,"Other amount is invalid",IF(J988&lt;&gt;0,"Amount differs","Matched")))))))</x:f>
      </x:c>
      <x:c r="L988" t="str">
        <x:f>IF(COUNTA(A988:F988)=0,"",LEN(A988)&amp;":"&amp;A988&amp;LEN(B988)&amp;":"&amp;B988&amp;LEN(C988)&amp;":"&amp;C988&amp;LEN(D988)&amp;":"&amp;D988)</x:f>
      </x:c>
      <x:c r="M988" t="str">
        <x:f>IF(COUNTA(A988:F988)=0,"",IF(ISNUMBER(E988),1,0))</x:f>
      </x:c>
    </x:row>
    <x:row r="989">
      <x:c r="A989" s="11"/>
      <x:c r="B989" s="11"/>
      <x:c r="C989" s="11"/>
      <x:c r="D989" s="11"/>
      <x:c r="E989" s="12"/>
      <x:c r="F989" s="10"/>
      <x:c r="G989" s="2" t="str">
        <x:f>IF(COUNTA(A989:F989)=0,"",COUNTIFS('External Data'!$L$2:$L$1001,SUBSTITUTE(SUBSTITUTE(SUBSTITUTE(L989,"~","~~"),"*","~*"),"?","~?")))</x:f>
      </x:c>
      <x:c r="H989" s="2" t="str">
        <x:f>IF(COUNTA(A989:F989)=0,"",COUNTIFS('App Data'!$L$2:$L$1001,SUBSTITUTE(SUBSTITUTE(SUBSTITUTE(L989,"~","~~"),"*","~*"),"?","~?")))</x:f>
      </x:c>
      <x:c r="I989" s="13" t="str">
        <x:f>IF(OR(H989&lt;&gt;1,G989&lt;&gt;1),"",SUMIFS('App Data'!$E$2:$E$1001,'App Data'!$L$2:$L$1001,SUBSTITUTE(SUBSTITUTE(SUBSTITUTE(L989,"~","~~"),"*","~*"),"?","~?")))</x:f>
      </x:c>
      <x:c r="J989" s="13" t="str">
        <x:f>IF(OR(NOT(ISNUMBER(E989)),NOT(ISNUMBER(I989))),"",ROUND(E989-I989,2))</x:f>
      </x:c>
      <x:c r="K989" s="2" t="str">
        <x:f>IF(COUNTA(A989:F989)=0,"",IF(OR(A989="",B989="",C989="",D989="",NOT(ISNUMBER(E989))),"Missing / invalid input",IF(G989&gt;1,"Duplicate key in this source",IF(H989=0,"Missing in other source",IF(H989&gt;1,"Duplicate in other source",IF(SUMIFS('App Data'!$M$2:$M$1001,'App Data'!$L$2:$L$1001,SUBSTITUTE(SUBSTITUTE(SUBSTITUTE(L989,"~","~~"),"*","~*"),"?","~?"))&lt;&gt;1,"Other amount is invalid",IF(J989&lt;&gt;0,"Amount differs","Matched")))))))</x:f>
      </x:c>
      <x:c r="L989" t="str">
        <x:f>IF(COUNTA(A989:F989)=0,"",LEN(A989)&amp;":"&amp;A989&amp;LEN(B989)&amp;":"&amp;B989&amp;LEN(C989)&amp;":"&amp;C989&amp;LEN(D989)&amp;":"&amp;D989)</x:f>
      </x:c>
      <x:c r="M989" t="str">
        <x:f>IF(COUNTA(A989:F989)=0,"",IF(ISNUMBER(E989),1,0))</x:f>
      </x:c>
    </x:row>
    <x:row r="990">
      <x:c r="A990" s="11"/>
      <x:c r="B990" s="11"/>
      <x:c r="C990" s="11"/>
      <x:c r="D990" s="11"/>
      <x:c r="E990" s="12"/>
      <x:c r="F990" s="10"/>
      <x:c r="G990" s="2" t="str">
        <x:f>IF(COUNTA(A990:F990)=0,"",COUNTIFS('External Data'!$L$2:$L$1001,SUBSTITUTE(SUBSTITUTE(SUBSTITUTE(L990,"~","~~"),"*","~*"),"?","~?")))</x:f>
      </x:c>
      <x:c r="H990" s="2" t="str">
        <x:f>IF(COUNTA(A990:F990)=0,"",COUNTIFS('App Data'!$L$2:$L$1001,SUBSTITUTE(SUBSTITUTE(SUBSTITUTE(L990,"~","~~"),"*","~*"),"?","~?")))</x:f>
      </x:c>
      <x:c r="I990" s="13" t="str">
        <x:f>IF(OR(H990&lt;&gt;1,G990&lt;&gt;1),"",SUMIFS('App Data'!$E$2:$E$1001,'App Data'!$L$2:$L$1001,SUBSTITUTE(SUBSTITUTE(SUBSTITUTE(L990,"~","~~"),"*","~*"),"?","~?")))</x:f>
      </x:c>
      <x:c r="J990" s="13" t="str">
        <x:f>IF(OR(NOT(ISNUMBER(E990)),NOT(ISNUMBER(I990))),"",ROUND(E990-I990,2))</x:f>
      </x:c>
      <x:c r="K990" s="2" t="str">
        <x:f>IF(COUNTA(A990:F990)=0,"",IF(OR(A990="",B990="",C990="",D990="",NOT(ISNUMBER(E990))),"Missing / invalid input",IF(G990&gt;1,"Duplicate key in this source",IF(H990=0,"Missing in other source",IF(H990&gt;1,"Duplicate in other source",IF(SUMIFS('App Data'!$M$2:$M$1001,'App Data'!$L$2:$L$1001,SUBSTITUTE(SUBSTITUTE(SUBSTITUTE(L990,"~","~~"),"*","~*"),"?","~?"))&lt;&gt;1,"Other amount is invalid",IF(J990&lt;&gt;0,"Amount differs","Matched")))))))</x:f>
      </x:c>
      <x:c r="L990" t="str">
        <x:f>IF(COUNTA(A990:F990)=0,"",LEN(A990)&amp;":"&amp;A990&amp;LEN(B990)&amp;":"&amp;B990&amp;LEN(C990)&amp;":"&amp;C990&amp;LEN(D990)&amp;":"&amp;D990)</x:f>
      </x:c>
      <x:c r="M990" t="str">
        <x:f>IF(COUNTA(A990:F990)=0,"",IF(ISNUMBER(E990),1,0))</x:f>
      </x:c>
    </x:row>
    <x:row r="991">
      <x:c r="A991" s="11"/>
      <x:c r="B991" s="11"/>
      <x:c r="C991" s="11"/>
      <x:c r="D991" s="11"/>
      <x:c r="E991" s="12"/>
      <x:c r="F991" s="10"/>
      <x:c r="G991" s="2" t="str">
        <x:f>IF(COUNTA(A991:F991)=0,"",COUNTIFS('External Data'!$L$2:$L$1001,SUBSTITUTE(SUBSTITUTE(SUBSTITUTE(L991,"~","~~"),"*","~*"),"?","~?")))</x:f>
      </x:c>
      <x:c r="H991" s="2" t="str">
        <x:f>IF(COUNTA(A991:F991)=0,"",COUNTIFS('App Data'!$L$2:$L$1001,SUBSTITUTE(SUBSTITUTE(SUBSTITUTE(L991,"~","~~"),"*","~*"),"?","~?")))</x:f>
      </x:c>
      <x:c r="I991" s="13" t="str">
        <x:f>IF(OR(H991&lt;&gt;1,G991&lt;&gt;1),"",SUMIFS('App Data'!$E$2:$E$1001,'App Data'!$L$2:$L$1001,SUBSTITUTE(SUBSTITUTE(SUBSTITUTE(L991,"~","~~"),"*","~*"),"?","~?")))</x:f>
      </x:c>
      <x:c r="J991" s="13" t="str">
        <x:f>IF(OR(NOT(ISNUMBER(E991)),NOT(ISNUMBER(I991))),"",ROUND(E991-I991,2))</x:f>
      </x:c>
      <x:c r="K991" s="2" t="str">
        <x:f>IF(COUNTA(A991:F991)=0,"",IF(OR(A991="",B991="",C991="",D991="",NOT(ISNUMBER(E991))),"Missing / invalid input",IF(G991&gt;1,"Duplicate key in this source",IF(H991=0,"Missing in other source",IF(H991&gt;1,"Duplicate in other source",IF(SUMIFS('App Data'!$M$2:$M$1001,'App Data'!$L$2:$L$1001,SUBSTITUTE(SUBSTITUTE(SUBSTITUTE(L991,"~","~~"),"*","~*"),"?","~?"))&lt;&gt;1,"Other amount is invalid",IF(J991&lt;&gt;0,"Amount differs","Matched")))))))</x:f>
      </x:c>
      <x:c r="L991" t="str">
        <x:f>IF(COUNTA(A991:F991)=0,"",LEN(A991)&amp;":"&amp;A991&amp;LEN(B991)&amp;":"&amp;B991&amp;LEN(C991)&amp;":"&amp;C991&amp;LEN(D991)&amp;":"&amp;D991)</x:f>
      </x:c>
      <x:c r="M991" t="str">
        <x:f>IF(COUNTA(A991:F991)=0,"",IF(ISNUMBER(E991),1,0))</x:f>
      </x:c>
    </x:row>
    <x:row r="992">
      <x:c r="A992" s="11"/>
      <x:c r="B992" s="11"/>
      <x:c r="C992" s="11"/>
      <x:c r="D992" s="11"/>
      <x:c r="E992" s="12"/>
      <x:c r="F992" s="10"/>
      <x:c r="G992" s="2" t="str">
        <x:f>IF(COUNTA(A992:F992)=0,"",COUNTIFS('External Data'!$L$2:$L$1001,SUBSTITUTE(SUBSTITUTE(SUBSTITUTE(L992,"~","~~"),"*","~*"),"?","~?")))</x:f>
      </x:c>
      <x:c r="H992" s="2" t="str">
        <x:f>IF(COUNTA(A992:F992)=0,"",COUNTIFS('App Data'!$L$2:$L$1001,SUBSTITUTE(SUBSTITUTE(SUBSTITUTE(L992,"~","~~"),"*","~*"),"?","~?")))</x:f>
      </x:c>
      <x:c r="I992" s="13" t="str">
        <x:f>IF(OR(H992&lt;&gt;1,G992&lt;&gt;1),"",SUMIFS('App Data'!$E$2:$E$1001,'App Data'!$L$2:$L$1001,SUBSTITUTE(SUBSTITUTE(SUBSTITUTE(L992,"~","~~"),"*","~*"),"?","~?")))</x:f>
      </x:c>
      <x:c r="J992" s="13" t="str">
        <x:f>IF(OR(NOT(ISNUMBER(E992)),NOT(ISNUMBER(I992))),"",ROUND(E992-I992,2))</x:f>
      </x:c>
      <x:c r="K992" s="2" t="str">
        <x:f>IF(COUNTA(A992:F992)=0,"",IF(OR(A992="",B992="",C992="",D992="",NOT(ISNUMBER(E992))),"Missing / invalid input",IF(G992&gt;1,"Duplicate key in this source",IF(H992=0,"Missing in other source",IF(H992&gt;1,"Duplicate in other source",IF(SUMIFS('App Data'!$M$2:$M$1001,'App Data'!$L$2:$L$1001,SUBSTITUTE(SUBSTITUTE(SUBSTITUTE(L992,"~","~~"),"*","~*"),"?","~?"))&lt;&gt;1,"Other amount is invalid",IF(J992&lt;&gt;0,"Amount differs","Matched")))))))</x:f>
      </x:c>
      <x:c r="L992" t="str">
        <x:f>IF(COUNTA(A992:F992)=0,"",LEN(A992)&amp;":"&amp;A992&amp;LEN(B992)&amp;":"&amp;B992&amp;LEN(C992)&amp;":"&amp;C992&amp;LEN(D992)&amp;":"&amp;D992)</x:f>
      </x:c>
      <x:c r="M992" t="str">
        <x:f>IF(COUNTA(A992:F992)=0,"",IF(ISNUMBER(E992),1,0))</x:f>
      </x:c>
    </x:row>
    <x:row r="993">
      <x:c r="A993" s="11"/>
      <x:c r="B993" s="11"/>
      <x:c r="C993" s="11"/>
      <x:c r="D993" s="11"/>
      <x:c r="E993" s="12"/>
      <x:c r="F993" s="10"/>
      <x:c r="G993" s="2" t="str">
        <x:f>IF(COUNTA(A993:F993)=0,"",COUNTIFS('External Data'!$L$2:$L$1001,SUBSTITUTE(SUBSTITUTE(SUBSTITUTE(L993,"~","~~"),"*","~*"),"?","~?")))</x:f>
      </x:c>
      <x:c r="H993" s="2" t="str">
        <x:f>IF(COUNTA(A993:F993)=0,"",COUNTIFS('App Data'!$L$2:$L$1001,SUBSTITUTE(SUBSTITUTE(SUBSTITUTE(L993,"~","~~"),"*","~*"),"?","~?")))</x:f>
      </x:c>
      <x:c r="I993" s="13" t="str">
        <x:f>IF(OR(H993&lt;&gt;1,G993&lt;&gt;1),"",SUMIFS('App Data'!$E$2:$E$1001,'App Data'!$L$2:$L$1001,SUBSTITUTE(SUBSTITUTE(SUBSTITUTE(L993,"~","~~"),"*","~*"),"?","~?")))</x:f>
      </x:c>
      <x:c r="J993" s="13" t="str">
        <x:f>IF(OR(NOT(ISNUMBER(E993)),NOT(ISNUMBER(I993))),"",ROUND(E993-I993,2))</x:f>
      </x:c>
      <x:c r="K993" s="2" t="str">
        <x:f>IF(COUNTA(A993:F993)=0,"",IF(OR(A993="",B993="",C993="",D993="",NOT(ISNUMBER(E993))),"Missing / invalid input",IF(G993&gt;1,"Duplicate key in this source",IF(H993=0,"Missing in other source",IF(H993&gt;1,"Duplicate in other source",IF(SUMIFS('App Data'!$M$2:$M$1001,'App Data'!$L$2:$L$1001,SUBSTITUTE(SUBSTITUTE(SUBSTITUTE(L993,"~","~~"),"*","~*"),"?","~?"))&lt;&gt;1,"Other amount is invalid",IF(J993&lt;&gt;0,"Amount differs","Matched")))))))</x:f>
      </x:c>
      <x:c r="L993" t="str">
        <x:f>IF(COUNTA(A993:F993)=0,"",LEN(A993)&amp;":"&amp;A993&amp;LEN(B993)&amp;":"&amp;B993&amp;LEN(C993)&amp;":"&amp;C993&amp;LEN(D993)&amp;":"&amp;D993)</x:f>
      </x:c>
      <x:c r="M993" t="str">
        <x:f>IF(COUNTA(A993:F993)=0,"",IF(ISNUMBER(E993),1,0))</x:f>
      </x:c>
    </x:row>
    <x:row r="994">
      <x:c r="A994" s="11"/>
      <x:c r="B994" s="11"/>
      <x:c r="C994" s="11"/>
      <x:c r="D994" s="11"/>
      <x:c r="E994" s="12"/>
      <x:c r="F994" s="10"/>
      <x:c r="G994" s="2" t="str">
        <x:f>IF(COUNTA(A994:F994)=0,"",COUNTIFS('External Data'!$L$2:$L$1001,SUBSTITUTE(SUBSTITUTE(SUBSTITUTE(L994,"~","~~"),"*","~*"),"?","~?")))</x:f>
      </x:c>
      <x:c r="H994" s="2" t="str">
        <x:f>IF(COUNTA(A994:F994)=0,"",COUNTIFS('App Data'!$L$2:$L$1001,SUBSTITUTE(SUBSTITUTE(SUBSTITUTE(L994,"~","~~"),"*","~*"),"?","~?")))</x:f>
      </x:c>
      <x:c r="I994" s="13" t="str">
        <x:f>IF(OR(H994&lt;&gt;1,G994&lt;&gt;1),"",SUMIFS('App Data'!$E$2:$E$1001,'App Data'!$L$2:$L$1001,SUBSTITUTE(SUBSTITUTE(SUBSTITUTE(L994,"~","~~"),"*","~*"),"?","~?")))</x:f>
      </x:c>
      <x:c r="J994" s="13" t="str">
        <x:f>IF(OR(NOT(ISNUMBER(E994)),NOT(ISNUMBER(I994))),"",ROUND(E994-I994,2))</x:f>
      </x:c>
      <x:c r="K994" s="2" t="str">
        <x:f>IF(COUNTA(A994:F994)=0,"",IF(OR(A994="",B994="",C994="",D994="",NOT(ISNUMBER(E994))),"Missing / invalid input",IF(G994&gt;1,"Duplicate key in this source",IF(H994=0,"Missing in other source",IF(H994&gt;1,"Duplicate in other source",IF(SUMIFS('App Data'!$M$2:$M$1001,'App Data'!$L$2:$L$1001,SUBSTITUTE(SUBSTITUTE(SUBSTITUTE(L994,"~","~~"),"*","~*"),"?","~?"))&lt;&gt;1,"Other amount is invalid",IF(J994&lt;&gt;0,"Amount differs","Matched")))))))</x:f>
      </x:c>
      <x:c r="L994" t="str">
        <x:f>IF(COUNTA(A994:F994)=0,"",LEN(A994)&amp;":"&amp;A994&amp;LEN(B994)&amp;":"&amp;B994&amp;LEN(C994)&amp;":"&amp;C994&amp;LEN(D994)&amp;":"&amp;D994)</x:f>
      </x:c>
      <x:c r="M994" t="str">
        <x:f>IF(COUNTA(A994:F994)=0,"",IF(ISNUMBER(E994),1,0))</x:f>
      </x:c>
    </x:row>
    <x:row r="995">
      <x:c r="A995" s="11"/>
      <x:c r="B995" s="11"/>
      <x:c r="C995" s="11"/>
      <x:c r="D995" s="11"/>
      <x:c r="E995" s="12"/>
      <x:c r="F995" s="10"/>
      <x:c r="G995" s="2" t="str">
        <x:f>IF(COUNTA(A995:F995)=0,"",COUNTIFS('External Data'!$L$2:$L$1001,SUBSTITUTE(SUBSTITUTE(SUBSTITUTE(L995,"~","~~"),"*","~*"),"?","~?")))</x:f>
      </x:c>
      <x:c r="H995" s="2" t="str">
        <x:f>IF(COUNTA(A995:F995)=0,"",COUNTIFS('App Data'!$L$2:$L$1001,SUBSTITUTE(SUBSTITUTE(SUBSTITUTE(L995,"~","~~"),"*","~*"),"?","~?")))</x:f>
      </x:c>
      <x:c r="I995" s="13" t="str">
        <x:f>IF(OR(H995&lt;&gt;1,G995&lt;&gt;1),"",SUMIFS('App Data'!$E$2:$E$1001,'App Data'!$L$2:$L$1001,SUBSTITUTE(SUBSTITUTE(SUBSTITUTE(L995,"~","~~"),"*","~*"),"?","~?")))</x:f>
      </x:c>
      <x:c r="J995" s="13" t="str">
        <x:f>IF(OR(NOT(ISNUMBER(E995)),NOT(ISNUMBER(I995))),"",ROUND(E995-I995,2))</x:f>
      </x:c>
      <x:c r="K995" s="2" t="str">
        <x:f>IF(COUNTA(A995:F995)=0,"",IF(OR(A995="",B995="",C995="",D995="",NOT(ISNUMBER(E995))),"Missing / invalid input",IF(G995&gt;1,"Duplicate key in this source",IF(H995=0,"Missing in other source",IF(H995&gt;1,"Duplicate in other source",IF(SUMIFS('App Data'!$M$2:$M$1001,'App Data'!$L$2:$L$1001,SUBSTITUTE(SUBSTITUTE(SUBSTITUTE(L995,"~","~~"),"*","~*"),"?","~?"))&lt;&gt;1,"Other amount is invalid",IF(J995&lt;&gt;0,"Amount differs","Matched")))))))</x:f>
      </x:c>
      <x:c r="L995" t="str">
        <x:f>IF(COUNTA(A995:F995)=0,"",LEN(A995)&amp;":"&amp;A995&amp;LEN(B995)&amp;":"&amp;B995&amp;LEN(C995)&amp;":"&amp;C995&amp;LEN(D995)&amp;":"&amp;D995)</x:f>
      </x:c>
      <x:c r="M995" t="str">
        <x:f>IF(COUNTA(A995:F995)=0,"",IF(ISNUMBER(E995),1,0))</x:f>
      </x:c>
    </x:row>
    <x:row r="996">
      <x:c r="A996" s="11"/>
      <x:c r="B996" s="11"/>
      <x:c r="C996" s="11"/>
      <x:c r="D996" s="11"/>
      <x:c r="E996" s="12"/>
      <x:c r="F996" s="10"/>
      <x:c r="G996" s="2" t="str">
        <x:f>IF(COUNTA(A996:F996)=0,"",COUNTIFS('External Data'!$L$2:$L$1001,SUBSTITUTE(SUBSTITUTE(SUBSTITUTE(L996,"~","~~"),"*","~*"),"?","~?")))</x:f>
      </x:c>
      <x:c r="H996" s="2" t="str">
        <x:f>IF(COUNTA(A996:F996)=0,"",COUNTIFS('App Data'!$L$2:$L$1001,SUBSTITUTE(SUBSTITUTE(SUBSTITUTE(L996,"~","~~"),"*","~*"),"?","~?")))</x:f>
      </x:c>
      <x:c r="I996" s="13" t="str">
        <x:f>IF(OR(H996&lt;&gt;1,G996&lt;&gt;1),"",SUMIFS('App Data'!$E$2:$E$1001,'App Data'!$L$2:$L$1001,SUBSTITUTE(SUBSTITUTE(SUBSTITUTE(L996,"~","~~"),"*","~*"),"?","~?")))</x:f>
      </x:c>
      <x:c r="J996" s="13" t="str">
        <x:f>IF(OR(NOT(ISNUMBER(E996)),NOT(ISNUMBER(I996))),"",ROUND(E996-I996,2))</x:f>
      </x:c>
      <x:c r="K996" s="2" t="str">
        <x:f>IF(COUNTA(A996:F996)=0,"",IF(OR(A996="",B996="",C996="",D996="",NOT(ISNUMBER(E996))),"Missing / invalid input",IF(G996&gt;1,"Duplicate key in this source",IF(H996=0,"Missing in other source",IF(H996&gt;1,"Duplicate in other source",IF(SUMIFS('App Data'!$M$2:$M$1001,'App Data'!$L$2:$L$1001,SUBSTITUTE(SUBSTITUTE(SUBSTITUTE(L996,"~","~~"),"*","~*"),"?","~?"))&lt;&gt;1,"Other amount is invalid",IF(J996&lt;&gt;0,"Amount differs","Matched")))))))</x:f>
      </x:c>
      <x:c r="L996" t="str">
        <x:f>IF(COUNTA(A996:F996)=0,"",LEN(A996)&amp;":"&amp;A996&amp;LEN(B996)&amp;":"&amp;B996&amp;LEN(C996)&amp;":"&amp;C996&amp;LEN(D996)&amp;":"&amp;D996)</x:f>
      </x:c>
      <x:c r="M996" t="str">
        <x:f>IF(COUNTA(A996:F996)=0,"",IF(ISNUMBER(E996),1,0))</x:f>
      </x:c>
    </x:row>
    <x:row r="997">
      <x:c r="A997" s="11"/>
      <x:c r="B997" s="11"/>
      <x:c r="C997" s="11"/>
      <x:c r="D997" s="11"/>
      <x:c r="E997" s="12"/>
      <x:c r="F997" s="10"/>
      <x:c r="G997" s="2" t="str">
        <x:f>IF(COUNTA(A997:F997)=0,"",COUNTIFS('External Data'!$L$2:$L$1001,SUBSTITUTE(SUBSTITUTE(SUBSTITUTE(L997,"~","~~"),"*","~*"),"?","~?")))</x:f>
      </x:c>
      <x:c r="H997" s="2" t="str">
        <x:f>IF(COUNTA(A997:F997)=0,"",COUNTIFS('App Data'!$L$2:$L$1001,SUBSTITUTE(SUBSTITUTE(SUBSTITUTE(L997,"~","~~"),"*","~*"),"?","~?")))</x:f>
      </x:c>
      <x:c r="I997" s="13" t="str">
        <x:f>IF(OR(H997&lt;&gt;1,G997&lt;&gt;1),"",SUMIFS('App Data'!$E$2:$E$1001,'App Data'!$L$2:$L$1001,SUBSTITUTE(SUBSTITUTE(SUBSTITUTE(L997,"~","~~"),"*","~*"),"?","~?")))</x:f>
      </x:c>
      <x:c r="J997" s="13" t="str">
        <x:f>IF(OR(NOT(ISNUMBER(E997)),NOT(ISNUMBER(I997))),"",ROUND(E997-I997,2))</x:f>
      </x:c>
      <x:c r="K997" s="2" t="str">
        <x:f>IF(COUNTA(A997:F997)=0,"",IF(OR(A997="",B997="",C997="",D997="",NOT(ISNUMBER(E997))),"Missing / invalid input",IF(G997&gt;1,"Duplicate key in this source",IF(H997=0,"Missing in other source",IF(H997&gt;1,"Duplicate in other source",IF(SUMIFS('App Data'!$M$2:$M$1001,'App Data'!$L$2:$L$1001,SUBSTITUTE(SUBSTITUTE(SUBSTITUTE(L997,"~","~~"),"*","~*"),"?","~?"))&lt;&gt;1,"Other amount is invalid",IF(J997&lt;&gt;0,"Amount differs","Matched")))))))</x:f>
      </x:c>
      <x:c r="L997" t="str">
        <x:f>IF(COUNTA(A997:F997)=0,"",LEN(A997)&amp;":"&amp;A997&amp;LEN(B997)&amp;":"&amp;B997&amp;LEN(C997)&amp;":"&amp;C997&amp;LEN(D997)&amp;":"&amp;D997)</x:f>
      </x:c>
      <x:c r="M997" t="str">
        <x:f>IF(COUNTA(A997:F997)=0,"",IF(ISNUMBER(E997),1,0))</x:f>
      </x:c>
    </x:row>
    <x:row r="998">
      <x:c r="A998" s="11"/>
      <x:c r="B998" s="11"/>
      <x:c r="C998" s="11"/>
      <x:c r="D998" s="11"/>
      <x:c r="E998" s="12"/>
      <x:c r="F998" s="10"/>
      <x:c r="G998" s="2" t="str">
        <x:f>IF(COUNTA(A998:F998)=0,"",COUNTIFS('External Data'!$L$2:$L$1001,SUBSTITUTE(SUBSTITUTE(SUBSTITUTE(L998,"~","~~"),"*","~*"),"?","~?")))</x:f>
      </x:c>
      <x:c r="H998" s="2" t="str">
        <x:f>IF(COUNTA(A998:F998)=0,"",COUNTIFS('App Data'!$L$2:$L$1001,SUBSTITUTE(SUBSTITUTE(SUBSTITUTE(L998,"~","~~"),"*","~*"),"?","~?")))</x:f>
      </x:c>
      <x:c r="I998" s="13" t="str">
        <x:f>IF(OR(H998&lt;&gt;1,G998&lt;&gt;1),"",SUMIFS('App Data'!$E$2:$E$1001,'App Data'!$L$2:$L$1001,SUBSTITUTE(SUBSTITUTE(SUBSTITUTE(L998,"~","~~"),"*","~*"),"?","~?")))</x:f>
      </x:c>
      <x:c r="J998" s="13" t="str">
        <x:f>IF(OR(NOT(ISNUMBER(E998)),NOT(ISNUMBER(I998))),"",ROUND(E998-I998,2))</x:f>
      </x:c>
      <x:c r="K998" s="2" t="str">
        <x:f>IF(COUNTA(A998:F998)=0,"",IF(OR(A998="",B998="",C998="",D998="",NOT(ISNUMBER(E998))),"Missing / invalid input",IF(G998&gt;1,"Duplicate key in this source",IF(H998=0,"Missing in other source",IF(H998&gt;1,"Duplicate in other source",IF(SUMIFS('App Data'!$M$2:$M$1001,'App Data'!$L$2:$L$1001,SUBSTITUTE(SUBSTITUTE(SUBSTITUTE(L998,"~","~~"),"*","~*"),"?","~?"))&lt;&gt;1,"Other amount is invalid",IF(J998&lt;&gt;0,"Amount differs","Matched")))))))</x:f>
      </x:c>
      <x:c r="L998" t="str">
        <x:f>IF(COUNTA(A998:F998)=0,"",LEN(A998)&amp;":"&amp;A998&amp;LEN(B998)&amp;":"&amp;B998&amp;LEN(C998)&amp;":"&amp;C998&amp;LEN(D998)&amp;":"&amp;D998)</x:f>
      </x:c>
      <x:c r="M998" t="str">
        <x:f>IF(COUNTA(A998:F998)=0,"",IF(ISNUMBER(E998),1,0))</x:f>
      </x:c>
    </x:row>
    <x:row r="999">
      <x:c r="A999" s="11"/>
      <x:c r="B999" s="11"/>
      <x:c r="C999" s="11"/>
      <x:c r="D999" s="11"/>
      <x:c r="E999" s="12"/>
      <x:c r="F999" s="10"/>
      <x:c r="G999" s="2" t="str">
        <x:f>IF(COUNTA(A999:F999)=0,"",COUNTIFS('External Data'!$L$2:$L$1001,SUBSTITUTE(SUBSTITUTE(SUBSTITUTE(L999,"~","~~"),"*","~*"),"?","~?")))</x:f>
      </x:c>
      <x:c r="H999" s="2" t="str">
        <x:f>IF(COUNTA(A999:F999)=0,"",COUNTIFS('App Data'!$L$2:$L$1001,SUBSTITUTE(SUBSTITUTE(SUBSTITUTE(L999,"~","~~"),"*","~*"),"?","~?")))</x:f>
      </x:c>
      <x:c r="I999" s="13" t="str">
        <x:f>IF(OR(H999&lt;&gt;1,G999&lt;&gt;1),"",SUMIFS('App Data'!$E$2:$E$1001,'App Data'!$L$2:$L$1001,SUBSTITUTE(SUBSTITUTE(SUBSTITUTE(L999,"~","~~"),"*","~*"),"?","~?")))</x:f>
      </x:c>
      <x:c r="J999" s="13" t="str">
        <x:f>IF(OR(NOT(ISNUMBER(E999)),NOT(ISNUMBER(I999))),"",ROUND(E999-I999,2))</x:f>
      </x:c>
      <x:c r="K999" s="2" t="str">
        <x:f>IF(COUNTA(A999:F999)=0,"",IF(OR(A999="",B999="",C999="",D999="",NOT(ISNUMBER(E999))),"Missing / invalid input",IF(G999&gt;1,"Duplicate key in this source",IF(H999=0,"Missing in other source",IF(H999&gt;1,"Duplicate in other source",IF(SUMIFS('App Data'!$M$2:$M$1001,'App Data'!$L$2:$L$1001,SUBSTITUTE(SUBSTITUTE(SUBSTITUTE(L999,"~","~~"),"*","~*"),"?","~?"))&lt;&gt;1,"Other amount is invalid",IF(J999&lt;&gt;0,"Amount differs","Matched")))))))</x:f>
      </x:c>
      <x:c r="L999" t="str">
        <x:f>IF(COUNTA(A999:F999)=0,"",LEN(A999)&amp;":"&amp;A999&amp;LEN(B999)&amp;":"&amp;B999&amp;LEN(C999)&amp;":"&amp;C999&amp;LEN(D999)&amp;":"&amp;D999)</x:f>
      </x:c>
      <x:c r="M999" t="str">
        <x:f>IF(COUNTA(A999:F999)=0,"",IF(ISNUMBER(E999),1,0))</x:f>
      </x:c>
    </x:row>
    <x:row r="1000">
      <x:c r="A1000" s="11"/>
      <x:c r="B1000" s="11"/>
      <x:c r="C1000" s="11"/>
      <x:c r="D1000" s="11"/>
      <x:c r="E1000" s="12"/>
      <x:c r="F1000" s="10"/>
      <x:c r="G1000" s="2" t="str">
        <x:f>IF(COUNTA(A1000:F1000)=0,"",COUNTIFS('External Data'!$L$2:$L$1001,SUBSTITUTE(SUBSTITUTE(SUBSTITUTE(L1000,"~","~~"),"*","~*"),"?","~?")))</x:f>
      </x:c>
      <x:c r="H1000" s="2" t="str">
        <x:f>IF(COUNTA(A1000:F1000)=0,"",COUNTIFS('App Data'!$L$2:$L$1001,SUBSTITUTE(SUBSTITUTE(SUBSTITUTE(L1000,"~","~~"),"*","~*"),"?","~?")))</x:f>
      </x:c>
      <x:c r="I1000" s="13" t="str">
        <x:f>IF(OR(H1000&lt;&gt;1,G1000&lt;&gt;1),"",SUMIFS('App Data'!$E$2:$E$1001,'App Data'!$L$2:$L$1001,SUBSTITUTE(SUBSTITUTE(SUBSTITUTE(L1000,"~","~~"),"*","~*"),"?","~?")))</x:f>
      </x:c>
      <x:c r="J1000" s="13" t="str">
        <x:f>IF(OR(NOT(ISNUMBER(E1000)),NOT(ISNUMBER(I1000))),"",ROUND(E1000-I1000,2))</x:f>
      </x:c>
      <x:c r="K1000" s="2" t="str">
        <x:f>IF(COUNTA(A1000:F1000)=0,"",IF(OR(A1000="",B1000="",C1000="",D1000="",NOT(ISNUMBER(E1000))),"Missing / invalid input",IF(G1000&gt;1,"Duplicate key in this source",IF(H1000=0,"Missing in other source",IF(H1000&gt;1,"Duplicate in other source",IF(SUMIFS('App Data'!$M$2:$M$1001,'App Data'!$L$2:$L$1001,SUBSTITUTE(SUBSTITUTE(SUBSTITUTE(L1000,"~","~~"),"*","~*"),"?","~?"))&lt;&gt;1,"Other amount is invalid",IF(J1000&lt;&gt;0,"Amount differs","Matched")))))))</x:f>
      </x:c>
      <x:c r="L1000" t="str">
        <x:f>IF(COUNTA(A1000:F1000)=0,"",LEN(A1000)&amp;":"&amp;A1000&amp;LEN(B1000)&amp;":"&amp;B1000&amp;LEN(C1000)&amp;":"&amp;C1000&amp;LEN(D1000)&amp;":"&amp;D1000)</x:f>
      </x:c>
      <x:c r="M1000" t="str">
        <x:f>IF(COUNTA(A1000:F1000)=0,"",IF(ISNUMBER(E1000),1,0))</x:f>
      </x:c>
    </x:row>
    <x:row r="1001">
      <x:c r="A1001" s="11"/>
      <x:c r="B1001" s="11"/>
      <x:c r="C1001" s="11"/>
      <x:c r="D1001" s="11"/>
      <x:c r="E1001" s="12"/>
      <x:c r="F1001" s="10"/>
      <x:c r="G1001" s="2" t="str">
        <x:f>IF(COUNTA(A1001:F1001)=0,"",COUNTIFS('External Data'!$L$2:$L$1001,SUBSTITUTE(SUBSTITUTE(SUBSTITUTE(L1001,"~","~~"),"*","~*"),"?","~?")))</x:f>
      </x:c>
      <x:c r="H1001" s="2" t="str">
        <x:f>IF(COUNTA(A1001:F1001)=0,"",COUNTIFS('App Data'!$L$2:$L$1001,SUBSTITUTE(SUBSTITUTE(SUBSTITUTE(L1001,"~","~~"),"*","~*"),"?","~?")))</x:f>
      </x:c>
      <x:c r="I1001" s="13" t="str">
        <x:f>IF(OR(H1001&lt;&gt;1,G1001&lt;&gt;1),"",SUMIFS('App Data'!$E$2:$E$1001,'App Data'!$L$2:$L$1001,SUBSTITUTE(SUBSTITUTE(SUBSTITUTE(L1001,"~","~~"),"*","~*"),"?","~?")))</x:f>
      </x:c>
      <x:c r="J1001" s="13" t="str">
        <x:f>IF(OR(NOT(ISNUMBER(E1001)),NOT(ISNUMBER(I1001))),"",ROUND(E1001-I1001,2))</x:f>
      </x:c>
      <x:c r="K1001" s="2" t="str">
        <x:f>IF(COUNTA(A1001:F1001)=0,"",IF(OR(A1001="",B1001="",C1001="",D1001="",NOT(ISNUMBER(E1001))),"Missing / invalid input",IF(G1001&gt;1,"Duplicate key in this source",IF(H1001=0,"Missing in other source",IF(H1001&gt;1,"Duplicate in other source",IF(SUMIFS('App Data'!$M$2:$M$1001,'App Data'!$L$2:$L$1001,SUBSTITUTE(SUBSTITUTE(SUBSTITUTE(L1001,"~","~~"),"*","~*"),"?","~?"))&lt;&gt;1,"Other amount is invalid",IF(J1001&lt;&gt;0,"Amount differs","Matched")))))))</x:f>
      </x:c>
      <x:c r="L1001" t="str">
        <x:f>IF(COUNTA(A1001:F1001)=0,"",LEN(A1001)&amp;":"&amp;A1001&amp;LEN(B1001)&amp;":"&amp;B1001&amp;LEN(C1001)&amp;":"&amp;C1001&amp;LEN(D1001)&amp;":"&amp;D1001)</x:f>
      </x:c>
      <x:c r="M1001" t="str">
        <x:f>IF(COUNTA(A1001:F1001)=0,"",IF(ISNUMBER(E1001),1,0))</x:f>
      </x:c>
    </x:row>
  </x:sheetData>
  <x:conditionalFormatting sqref="K2:K1001">
    <x:cfRule type="expression" dxfId="2" priority="1">
      <x:formula>AND(K2&lt;&gt;"",K2&lt;&gt;"Matched")</x:formula>
    </x:cfRule>
  </x:conditionalFormatting>
  <x:conditionalFormatting sqref="J2:J1001">
    <x:cfRule type="expression" dxfId="3" priority="2">
      <x:formula>AND(ISNUMBER(J2),ABS(J2)&gt;0.005)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1a0305ec5e4353"/>
  </x:tableParts>
</x:worksheet>
</file>